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/>
  <workbookPr/>
  <mc:AlternateContent xmlns:mc="http://schemas.openxmlformats.org/markup-compatibility/2006">
    <mc:Choice Requires="x15">
      <x15ac:absPath xmlns:x15ac="http://schemas.microsoft.com/office/spreadsheetml/2010/11/ac" url="/Users/emmersonEmmerson/Documents/Master's/C_forecasting_NL/Final_Carbon_Data_R/Rachael 2022 measurements/"/>
    </mc:Choice>
  </mc:AlternateContent>
  <xr:revisionPtr revIDLastSave="0" documentId="13_ncr:1_{1533AB0B-0765-DF4A-AB32-C381D804A32F}" xr6:coauthVersionLast="47" xr6:coauthVersionMax="47" xr10:uidLastSave="{00000000-0000-0000-0000-000000000000}"/>
  <bookViews>
    <workbookView xWindow="-33720" yWindow="20" windowWidth="27660" windowHeight="17500" activeTab="2" xr2:uid="{00000000-000D-0000-FFFF-FFFF00000000}"/>
  </bookViews>
  <sheets>
    <sheet name="Tree carbon" sheetId="15" r:id="rId1"/>
    <sheet name="Tree root carbon" sheetId="16" r:id="rId2"/>
    <sheet name="DBH only" sheetId="12" r:id="rId3"/>
    <sheet name="DBH only root" sheetId="14" r:id="rId4"/>
    <sheet name="DBH height biomass" sheetId="1" r:id="rId5"/>
    <sheet name="scaled dbh t2" sheetId="11" r:id="rId6"/>
    <sheet name="teams" sheetId="9" r:id="rId7"/>
    <sheet name="Sheet7" sheetId="7" r:id="rId8"/>
    <sheet name="pare measurements" sheetId="8" r:id="rId9"/>
    <sheet name="transect biomass pivot" sheetId="3" r:id="rId10"/>
    <sheet name="transect biomass non pivot" sheetId="6" r:id="rId11"/>
    <sheet name="Tree shrub sapling root eq" sheetId="13" r:id="rId12"/>
    <sheet name="eq" sheetId="2" r:id="rId13"/>
  </sheets>
  <externalReferences>
    <externalReference r:id="rId14"/>
  </externalReferences>
  <definedNames>
    <definedName name="_xlnm._FilterDatabase" localSheetId="10" hidden="1">'transect biomass non pivot'!$A$1:$G$1</definedName>
    <definedName name="eval_dbh2">EVALUATE('scaled dbh t2'!XFD1)</definedName>
    <definedName name="eval_dw">EVALUATE([1]Deadwood!XFD1)</definedName>
    <definedName name="eval_dw2">EVALUATE('[1]Tree dbh biomass'!XFD1)</definedName>
    <definedName name="eval_gc">EVALUATE('[1]Ground cover'!XEY1)</definedName>
    <definedName name="eval_tr" localSheetId="11">EVALUATE('[1]Tree dbh biomass'!XFD1)</definedName>
    <definedName name="eval_tr">EVALUATE('DBH height biomass'!XFD1)</definedName>
    <definedName name="eval_tr_dbh" localSheetId="3">EVALUATE('DBH only root'!XFD1)</definedName>
    <definedName name="eval_tr_dbh">EVALUATE('DBH only'!XFD1)</definedName>
    <definedName name="eval_ts">EVALUATE('[1]Tree shrub and sapling'!XFD1)</definedName>
    <definedName name="eval_vgc">EVALUATE('[1]GC woody'!XFD1)</definedName>
  </definedNames>
  <calcPr calcId="191029"/>
  <pivotCaches>
    <pivotCache cacheId="0" r:id="rId1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2" i="16" l="1"/>
  <c r="C181" i="16"/>
  <c r="C180" i="16"/>
  <c r="C179" i="16"/>
  <c r="C178" i="16"/>
  <c r="C177" i="16"/>
  <c r="C176" i="16"/>
  <c r="C175" i="16"/>
  <c r="C174" i="16"/>
  <c r="C173" i="16"/>
  <c r="C172" i="16"/>
  <c r="C171" i="16"/>
  <c r="C170" i="16"/>
  <c r="C169" i="16"/>
  <c r="C168" i="16"/>
  <c r="C167" i="16"/>
  <c r="C166" i="16"/>
  <c r="C165" i="16"/>
  <c r="C164" i="16"/>
  <c r="C163" i="16"/>
  <c r="C162" i="16"/>
  <c r="C161" i="16"/>
  <c r="C160" i="16"/>
  <c r="C159" i="16"/>
  <c r="C158" i="16"/>
  <c r="C157" i="16"/>
  <c r="C156" i="16"/>
  <c r="C155" i="16"/>
  <c r="C154" i="16"/>
  <c r="C153" i="16"/>
  <c r="C152" i="16"/>
  <c r="C151" i="16"/>
  <c r="C150" i="16"/>
  <c r="C149" i="16"/>
  <c r="C148" i="16"/>
  <c r="C147" i="16"/>
  <c r="C146" i="16"/>
  <c r="C145" i="16"/>
  <c r="C144" i="16"/>
  <c r="C143" i="16"/>
  <c r="C142" i="16"/>
  <c r="C141" i="16"/>
  <c r="C140" i="16"/>
  <c r="C139" i="16"/>
  <c r="C138" i="16"/>
  <c r="C137" i="16"/>
  <c r="C136" i="16"/>
  <c r="C135" i="16"/>
  <c r="C134" i="16"/>
  <c r="C133" i="16"/>
  <c r="C132" i="16"/>
  <c r="C131" i="16"/>
  <c r="C130" i="16"/>
  <c r="C129" i="16"/>
  <c r="C128" i="16"/>
  <c r="C127" i="16"/>
  <c r="C126" i="16"/>
  <c r="C125" i="16"/>
  <c r="C124" i="16"/>
  <c r="C123" i="16"/>
  <c r="C122" i="16"/>
  <c r="C121" i="16"/>
  <c r="C120" i="16"/>
  <c r="C119" i="16"/>
  <c r="C118" i="16"/>
  <c r="C117" i="16"/>
  <c r="C116" i="16"/>
  <c r="C115" i="16"/>
  <c r="C114" i="16"/>
  <c r="C113" i="16"/>
  <c r="C112" i="16"/>
  <c r="C111" i="16"/>
  <c r="C110" i="16"/>
  <c r="C109" i="16"/>
  <c r="C108" i="16"/>
  <c r="C107" i="16"/>
  <c r="C106" i="16"/>
  <c r="C105" i="16"/>
  <c r="C104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C91" i="16"/>
  <c r="C90" i="16"/>
  <c r="C89" i="16"/>
  <c r="C88" i="16"/>
  <c r="C87" i="16"/>
  <c r="C86" i="16"/>
  <c r="C85" i="16"/>
  <c r="C84" i="16"/>
  <c r="C83" i="16"/>
  <c r="C82" i="16"/>
  <c r="C81" i="16"/>
  <c r="C80" i="16"/>
  <c r="C79" i="16"/>
  <c r="C78" i="16"/>
  <c r="C77" i="16"/>
  <c r="C76" i="16"/>
  <c r="C75" i="16"/>
  <c r="C74" i="16"/>
  <c r="C73" i="16"/>
  <c r="C72" i="16"/>
  <c r="C71" i="16"/>
  <c r="C70" i="16"/>
  <c r="C69" i="16"/>
  <c r="C68" i="16"/>
  <c r="C67" i="16"/>
  <c r="C66" i="16"/>
  <c r="C65" i="16"/>
  <c r="C64" i="16"/>
  <c r="C63" i="16"/>
  <c r="C62" i="16"/>
  <c r="C61" i="16"/>
  <c r="C60" i="16"/>
  <c r="C59" i="16"/>
  <c r="C58" i="16"/>
  <c r="C57" i="16"/>
  <c r="C56" i="16"/>
  <c r="C55" i="16"/>
  <c r="C54" i="16"/>
  <c r="C53" i="16"/>
  <c r="C52" i="16"/>
  <c r="C51" i="16"/>
  <c r="C50" i="16"/>
  <c r="C49" i="16"/>
  <c r="C48" i="16"/>
  <c r="C47" i="16"/>
  <c r="C46" i="16"/>
  <c r="C45" i="16"/>
  <c r="C44" i="16"/>
  <c r="C43" i="16"/>
  <c r="C42" i="16"/>
  <c r="C41" i="16"/>
  <c r="C40" i="16"/>
  <c r="C39" i="16"/>
  <c r="C38" i="16"/>
  <c r="C37" i="16"/>
  <c r="C36" i="16"/>
  <c r="C35" i="16"/>
  <c r="C34" i="16"/>
  <c r="C33" i="16"/>
  <c r="C32" i="16"/>
  <c r="C31" i="16"/>
  <c r="C30" i="16"/>
  <c r="C29" i="16"/>
  <c r="C28" i="16"/>
  <c r="C27" i="16"/>
  <c r="C26" i="16"/>
  <c r="C25" i="16"/>
  <c r="C24" i="16"/>
  <c r="C23" i="16"/>
  <c r="C22" i="16"/>
  <c r="C21" i="16"/>
  <c r="C20" i="16"/>
  <c r="C19" i="16"/>
  <c r="C18" i="16"/>
  <c r="C17" i="16"/>
  <c r="C16" i="16"/>
  <c r="C15" i="16"/>
  <c r="C14" i="16"/>
  <c r="C13" i="16"/>
  <c r="C12" i="16"/>
  <c r="C11" i="16"/>
  <c r="C10" i="16"/>
  <c r="C9" i="16"/>
  <c r="C8" i="16"/>
  <c r="C7" i="16"/>
  <c r="C6" i="16"/>
  <c r="C5" i="16"/>
  <c r="C4" i="16"/>
  <c r="C3" i="16"/>
  <c r="C2" i="16"/>
  <c r="B182" i="16"/>
  <c r="B181" i="16"/>
  <c r="B180" i="16"/>
  <c r="B179" i="16"/>
  <c r="B178" i="16"/>
  <c r="B177" i="16"/>
  <c r="B176" i="16"/>
  <c r="B175" i="16"/>
  <c r="B174" i="16"/>
  <c r="B173" i="16"/>
  <c r="B172" i="16"/>
  <c r="B171" i="16"/>
  <c r="B170" i="16"/>
  <c r="B169" i="16"/>
  <c r="B168" i="16"/>
  <c r="B167" i="16"/>
  <c r="B166" i="16"/>
  <c r="B165" i="16"/>
  <c r="B164" i="16"/>
  <c r="B163" i="16"/>
  <c r="B162" i="16"/>
  <c r="B161" i="16"/>
  <c r="B160" i="16"/>
  <c r="B159" i="16"/>
  <c r="B158" i="16"/>
  <c r="B157" i="16"/>
  <c r="B156" i="16"/>
  <c r="B155" i="16"/>
  <c r="B154" i="16"/>
  <c r="B153" i="16"/>
  <c r="B152" i="16"/>
  <c r="B151" i="16"/>
  <c r="B150" i="16"/>
  <c r="B149" i="16"/>
  <c r="B148" i="16"/>
  <c r="B147" i="16"/>
  <c r="B146" i="16"/>
  <c r="B145" i="16"/>
  <c r="B144" i="16"/>
  <c r="B143" i="16"/>
  <c r="B142" i="16"/>
  <c r="B141" i="16"/>
  <c r="B140" i="16"/>
  <c r="B139" i="16"/>
  <c r="B138" i="16"/>
  <c r="B137" i="16"/>
  <c r="B136" i="16"/>
  <c r="B135" i="16"/>
  <c r="B134" i="16"/>
  <c r="B133" i="16"/>
  <c r="B132" i="16"/>
  <c r="B131" i="16"/>
  <c r="B130" i="16"/>
  <c r="B129" i="16"/>
  <c r="B128" i="16"/>
  <c r="B127" i="16"/>
  <c r="B126" i="16"/>
  <c r="B125" i="16"/>
  <c r="B124" i="16"/>
  <c r="B123" i="16"/>
  <c r="B122" i="16"/>
  <c r="B121" i="16"/>
  <c r="B120" i="16"/>
  <c r="B119" i="16"/>
  <c r="B118" i="16"/>
  <c r="B117" i="16"/>
  <c r="B116" i="16"/>
  <c r="B115" i="16"/>
  <c r="B114" i="16"/>
  <c r="B113" i="16"/>
  <c r="B112" i="16"/>
  <c r="B111" i="16"/>
  <c r="B110" i="16"/>
  <c r="B109" i="16"/>
  <c r="B108" i="16"/>
  <c r="B107" i="16"/>
  <c r="B106" i="16"/>
  <c r="B105" i="16"/>
  <c r="B104" i="16"/>
  <c r="B103" i="16"/>
  <c r="B102" i="16"/>
  <c r="B101" i="16"/>
  <c r="B100" i="16"/>
  <c r="B99" i="16"/>
  <c r="B98" i="16"/>
  <c r="B97" i="16"/>
  <c r="B96" i="16"/>
  <c r="B95" i="16"/>
  <c r="B94" i="16"/>
  <c r="B93" i="16"/>
  <c r="B92" i="16"/>
  <c r="B91" i="16"/>
  <c r="B90" i="16"/>
  <c r="B89" i="16"/>
  <c r="B88" i="16"/>
  <c r="B87" i="16"/>
  <c r="B86" i="16"/>
  <c r="B85" i="16"/>
  <c r="B84" i="16"/>
  <c r="B83" i="16"/>
  <c r="B82" i="16"/>
  <c r="B81" i="16"/>
  <c r="B80" i="16"/>
  <c r="B79" i="16"/>
  <c r="B78" i="16"/>
  <c r="B77" i="16"/>
  <c r="B76" i="16"/>
  <c r="B75" i="16"/>
  <c r="B74" i="16"/>
  <c r="B73" i="16"/>
  <c r="B72" i="16"/>
  <c r="B71" i="16"/>
  <c r="B70" i="16"/>
  <c r="B69" i="16"/>
  <c r="B68" i="16"/>
  <c r="B67" i="16"/>
  <c r="B66" i="16"/>
  <c r="B65" i="16"/>
  <c r="B64" i="16"/>
  <c r="B63" i="16"/>
  <c r="B62" i="16"/>
  <c r="B61" i="16"/>
  <c r="B60" i="16"/>
  <c r="B59" i="16"/>
  <c r="B58" i="16"/>
  <c r="B57" i="16"/>
  <c r="B56" i="16"/>
  <c r="B55" i="16"/>
  <c r="B54" i="16"/>
  <c r="B53" i="16"/>
  <c r="B52" i="16"/>
  <c r="B51" i="16"/>
  <c r="B50" i="16"/>
  <c r="B49" i="16"/>
  <c r="B48" i="16"/>
  <c r="B47" i="16"/>
  <c r="B46" i="16"/>
  <c r="B45" i="16"/>
  <c r="B44" i="16"/>
  <c r="B43" i="16"/>
  <c r="B42" i="16"/>
  <c r="B41" i="16"/>
  <c r="B40" i="16"/>
  <c r="B39" i="16"/>
  <c r="B38" i="16"/>
  <c r="B37" i="16"/>
  <c r="B36" i="16"/>
  <c r="B35" i="16"/>
  <c r="B34" i="16"/>
  <c r="B33" i="16"/>
  <c r="B32" i="16"/>
  <c r="B31" i="16"/>
  <c r="B30" i="16"/>
  <c r="B29" i="16"/>
  <c r="B28" i="16"/>
  <c r="B27" i="16"/>
  <c r="B26" i="16"/>
  <c r="B25" i="16"/>
  <c r="B24" i="16"/>
  <c r="B23" i="16"/>
  <c r="B22" i="16"/>
  <c r="B21" i="16"/>
  <c r="B20" i="16"/>
  <c r="B19" i="16"/>
  <c r="B18" i="16"/>
  <c r="B17" i="16"/>
  <c r="B16" i="16"/>
  <c r="B15" i="16"/>
  <c r="B14" i="16"/>
  <c r="B13" i="16"/>
  <c r="B12" i="16"/>
  <c r="B11" i="16"/>
  <c r="B10" i="16"/>
  <c r="B9" i="16"/>
  <c r="B8" i="16"/>
  <c r="B7" i="16"/>
  <c r="B6" i="16"/>
  <c r="B5" i="16"/>
  <c r="B4" i="16"/>
  <c r="B3" i="16"/>
  <c r="B2" i="16"/>
  <c r="Q3" i="14"/>
  <c r="Q4" i="14"/>
  <c r="Q5" i="14"/>
  <c r="Q6" i="14"/>
  <c r="Q7" i="14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Q22" i="14"/>
  <c r="Q23" i="14"/>
  <c r="Q24" i="14"/>
  <c r="Q25" i="14"/>
  <c r="Q26" i="14"/>
  <c r="Q27" i="14"/>
  <c r="Q28" i="14"/>
  <c r="Q29" i="14"/>
  <c r="Q30" i="14"/>
  <c r="Q31" i="14"/>
  <c r="Q32" i="14"/>
  <c r="Q33" i="14"/>
  <c r="Q34" i="14"/>
  <c r="Q35" i="14"/>
  <c r="Q36" i="14"/>
  <c r="Q37" i="14"/>
  <c r="Q38" i="14"/>
  <c r="Q39" i="14"/>
  <c r="Q40" i="14"/>
  <c r="Q41" i="14"/>
  <c r="Q42" i="14"/>
  <c r="Q43" i="14"/>
  <c r="Q44" i="14"/>
  <c r="Q45" i="14"/>
  <c r="Q46" i="14"/>
  <c r="Q47" i="14"/>
  <c r="Q48" i="14"/>
  <c r="Q49" i="14"/>
  <c r="Q50" i="14"/>
  <c r="Q51" i="14"/>
  <c r="Q52" i="14"/>
  <c r="Q53" i="14"/>
  <c r="Q54" i="14"/>
  <c r="Q55" i="14"/>
  <c r="Q56" i="14"/>
  <c r="Q57" i="14"/>
  <c r="Q58" i="14"/>
  <c r="Q59" i="14"/>
  <c r="Q60" i="14"/>
  <c r="Q61" i="14"/>
  <c r="Q62" i="14"/>
  <c r="Q63" i="14"/>
  <c r="Q64" i="14"/>
  <c r="Q65" i="14"/>
  <c r="Q66" i="14"/>
  <c r="Q67" i="14"/>
  <c r="Q68" i="14"/>
  <c r="Q69" i="14"/>
  <c r="Q70" i="14"/>
  <c r="Q71" i="14"/>
  <c r="Q72" i="14"/>
  <c r="Q73" i="14"/>
  <c r="Q74" i="14"/>
  <c r="Q75" i="14"/>
  <c r="Q76" i="14"/>
  <c r="Q77" i="14"/>
  <c r="Q78" i="14"/>
  <c r="Q79" i="14"/>
  <c r="Q80" i="14"/>
  <c r="Q81" i="14"/>
  <c r="Q82" i="14"/>
  <c r="Q83" i="14"/>
  <c r="Q84" i="14"/>
  <c r="Q85" i="14"/>
  <c r="Q86" i="14"/>
  <c r="Q87" i="14"/>
  <c r="Q88" i="14"/>
  <c r="Q89" i="14"/>
  <c r="Q90" i="14"/>
  <c r="Q91" i="14"/>
  <c r="Q92" i="14"/>
  <c r="Q93" i="14"/>
  <c r="Q94" i="14"/>
  <c r="Q95" i="14"/>
  <c r="Q96" i="14"/>
  <c r="Q97" i="14"/>
  <c r="Q98" i="14"/>
  <c r="Q99" i="14"/>
  <c r="Q100" i="14"/>
  <c r="Q101" i="14"/>
  <c r="Q102" i="14"/>
  <c r="Q103" i="14"/>
  <c r="Q104" i="14"/>
  <c r="Q105" i="14"/>
  <c r="Q106" i="14"/>
  <c r="Q107" i="14"/>
  <c r="Q108" i="14"/>
  <c r="Q109" i="14"/>
  <c r="Q110" i="14"/>
  <c r="Q111" i="14"/>
  <c r="Q112" i="14"/>
  <c r="Q113" i="14"/>
  <c r="Q114" i="14"/>
  <c r="Q115" i="14"/>
  <c r="Q116" i="14"/>
  <c r="Q117" i="14"/>
  <c r="Q118" i="14"/>
  <c r="Q119" i="14"/>
  <c r="Q120" i="14"/>
  <c r="Q121" i="14"/>
  <c r="Q122" i="14"/>
  <c r="Q123" i="14"/>
  <c r="Q124" i="14"/>
  <c r="Q125" i="14"/>
  <c r="Q126" i="14"/>
  <c r="Q127" i="14"/>
  <c r="Q128" i="14"/>
  <c r="Q129" i="14"/>
  <c r="Q130" i="14"/>
  <c r="Q131" i="14"/>
  <c r="Q132" i="14"/>
  <c r="Q133" i="14"/>
  <c r="Q134" i="14"/>
  <c r="Q135" i="14"/>
  <c r="Q136" i="14"/>
  <c r="Q137" i="14"/>
  <c r="Q138" i="14"/>
  <c r="Q139" i="14"/>
  <c r="Q140" i="14"/>
  <c r="Q141" i="14"/>
  <c r="Q142" i="14"/>
  <c r="Q143" i="14"/>
  <c r="Q144" i="14"/>
  <c r="Q145" i="14"/>
  <c r="Q146" i="14"/>
  <c r="Q147" i="14"/>
  <c r="Q148" i="14"/>
  <c r="Q149" i="14"/>
  <c r="Q150" i="14"/>
  <c r="Q151" i="14"/>
  <c r="Q152" i="14"/>
  <c r="Q153" i="14"/>
  <c r="Q154" i="14"/>
  <c r="Q155" i="14"/>
  <c r="Q156" i="14"/>
  <c r="Q157" i="14"/>
  <c r="Q158" i="14"/>
  <c r="Q159" i="14"/>
  <c r="Q160" i="14"/>
  <c r="Q161" i="14"/>
  <c r="Q162" i="14"/>
  <c r="Q163" i="14"/>
  <c r="Q164" i="14"/>
  <c r="Q165" i="14"/>
  <c r="Q166" i="14"/>
  <c r="Q167" i="14"/>
  <c r="Q168" i="14"/>
  <c r="Q169" i="14"/>
  <c r="Q170" i="14"/>
  <c r="Q171" i="14"/>
  <c r="Q172" i="14"/>
  <c r="Q173" i="14"/>
  <c r="Q174" i="14"/>
  <c r="Q175" i="14"/>
  <c r="Q176" i="14"/>
  <c r="Q177" i="14"/>
  <c r="Q178" i="14"/>
  <c r="Q179" i="14"/>
  <c r="Q180" i="14"/>
  <c r="Q181" i="14"/>
  <c r="Q182" i="14"/>
  <c r="Q183" i="14"/>
  <c r="Q184" i="14"/>
  <c r="Q185" i="14"/>
  <c r="Q186" i="14"/>
  <c r="Q187" i="14"/>
  <c r="Q188" i="14"/>
  <c r="Q189" i="14"/>
  <c r="Q190" i="14"/>
  <c r="Q191" i="14"/>
  <c r="Q192" i="14"/>
  <c r="Q193" i="14"/>
  <c r="Q194" i="14"/>
  <c r="Q195" i="14"/>
  <c r="Q196" i="14"/>
  <c r="Q197" i="14"/>
  <c r="Q198" i="14"/>
  <c r="Q199" i="14"/>
  <c r="Q200" i="14"/>
  <c r="Q201" i="14"/>
  <c r="Q202" i="14"/>
  <c r="Q203" i="14"/>
  <c r="Q204" i="14"/>
  <c r="Q205" i="14"/>
  <c r="Q206" i="14"/>
  <c r="Q207" i="14"/>
  <c r="Q208" i="14"/>
  <c r="Q209" i="14"/>
  <c r="Q210" i="14"/>
  <c r="Q211" i="14"/>
  <c r="Q212" i="14"/>
  <c r="Q213" i="14"/>
  <c r="Q214" i="14"/>
  <c r="Q215" i="14"/>
  <c r="Q216" i="14"/>
  <c r="Q217" i="14"/>
  <c r="Q218" i="14"/>
  <c r="Q219" i="14"/>
  <c r="Q220" i="14"/>
  <c r="Q221" i="14"/>
  <c r="Q222" i="14"/>
  <c r="Q223" i="14"/>
  <c r="Q224" i="14"/>
  <c r="Q225" i="14"/>
  <c r="Q226" i="14"/>
  <c r="Q227" i="14"/>
  <c r="Q228" i="14"/>
  <c r="Q229" i="14"/>
  <c r="Q230" i="14"/>
  <c r="Q231" i="14"/>
  <c r="Q232" i="14"/>
  <c r="Q233" i="14"/>
  <c r="Q234" i="14"/>
  <c r="Q235" i="14"/>
  <c r="Q236" i="14"/>
  <c r="Q237" i="14"/>
  <c r="Q238" i="14"/>
  <c r="Q239" i="14"/>
  <c r="Q240" i="14"/>
  <c r="Q241" i="14"/>
  <c r="Q242" i="14"/>
  <c r="Q243" i="14"/>
  <c r="Q244" i="14"/>
  <c r="Q245" i="14"/>
  <c r="Q246" i="14"/>
  <c r="Q247" i="14"/>
  <c r="Q248" i="14"/>
  <c r="Q249" i="14"/>
  <c r="Q250" i="14"/>
  <c r="Q251" i="14"/>
  <c r="Q252" i="14"/>
  <c r="Q253" i="14"/>
  <c r="Q254" i="14"/>
  <c r="Q255" i="14"/>
  <c r="Q256" i="14"/>
  <c r="Q257" i="14"/>
  <c r="Q258" i="14"/>
  <c r="Q259" i="14"/>
  <c r="Q260" i="14"/>
  <c r="Q261" i="14"/>
  <c r="Q262" i="14"/>
  <c r="Q263" i="14"/>
  <c r="Q264" i="14"/>
  <c r="Q265" i="14"/>
  <c r="Q266" i="14"/>
  <c r="Q267" i="14"/>
  <c r="Q268" i="14"/>
  <c r="Q269" i="14"/>
  <c r="Q270" i="14"/>
  <c r="Q271" i="14"/>
  <c r="Q272" i="14"/>
  <c r="Q273" i="14"/>
  <c r="Q274" i="14"/>
  <c r="Q275" i="14"/>
  <c r="Q276" i="14"/>
  <c r="Q277" i="14"/>
  <c r="Q278" i="14"/>
  <c r="Q279" i="14"/>
  <c r="Q280" i="14"/>
  <c r="Q281" i="14"/>
  <c r="Q282" i="14"/>
  <c r="Q283" i="14"/>
  <c r="Q284" i="14"/>
  <c r="Q285" i="14"/>
  <c r="Q286" i="14"/>
  <c r="Q287" i="14"/>
  <c r="Q288" i="14"/>
  <c r="Q289" i="14"/>
  <c r="Q290" i="14"/>
  <c r="Q291" i="14"/>
  <c r="Q292" i="14"/>
  <c r="Q293" i="14"/>
  <c r="Q294" i="14"/>
  <c r="Q295" i="14"/>
  <c r="Q296" i="14"/>
  <c r="Q297" i="14"/>
  <c r="Q298" i="14"/>
  <c r="Q299" i="14"/>
  <c r="Q300" i="14"/>
  <c r="Q301" i="14"/>
  <c r="Q302" i="14"/>
  <c r="Q303" i="14"/>
  <c r="Q304" i="14"/>
  <c r="Q305" i="14"/>
  <c r="Q306" i="14"/>
  <c r="Q307" i="14"/>
  <c r="Q308" i="14"/>
  <c r="Q309" i="14"/>
  <c r="Q310" i="14"/>
  <c r="Q311" i="14"/>
  <c r="Q312" i="14"/>
  <c r="Q313" i="14"/>
  <c r="Q314" i="14"/>
  <c r="Q315" i="14"/>
  <c r="Q316" i="14"/>
  <c r="Q2" i="14"/>
  <c r="C3" i="15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48" i="15"/>
  <c r="C49" i="15"/>
  <c r="C50" i="15"/>
  <c r="C51" i="15"/>
  <c r="C52" i="15"/>
  <c r="C53" i="15"/>
  <c r="C54" i="15"/>
  <c r="C55" i="15"/>
  <c r="C56" i="15"/>
  <c r="C57" i="15"/>
  <c r="C58" i="15"/>
  <c r="C59" i="15"/>
  <c r="C60" i="15"/>
  <c r="C61" i="15"/>
  <c r="C62" i="15"/>
  <c r="C63" i="15"/>
  <c r="C64" i="15"/>
  <c r="C65" i="15"/>
  <c r="C66" i="15"/>
  <c r="C67" i="15"/>
  <c r="C68" i="15"/>
  <c r="C69" i="15"/>
  <c r="C70" i="15"/>
  <c r="C71" i="15"/>
  <c r="C72" i="15"/>
  <c r="C73" i="15"/>
  <c r="C74" i="15"/>
  <c r="C75" i="15"/>
  <c r="C76" i="15"/>
  <c r="C77" i="15"/>
  <c r="C78" i="15"/>
  <c r="C79" i="15"/>
  <c r="C80" i="15"/>
  <c r="C81" i="15"/>
  <c r="C82" i="15"/>
  <c r="C83" i="15"/>
  <c r="C84" i="15"/>
  <c r="C85" i="15"/>
  <c r="C86" i="15"/>
  <c r="C87" i="15"/>
  <c r="C88" i="15"/>
  <c r="C89" i="15"/>
  <c r="C90" i="15"/>
  <c r="C91" i="15"/>
  <c r="C92" i="15"/>
  <c r="C93" i="15"/>
  <c r="C94" i="15"/>
  <c r="C95" i="15"/>
  <c r="C96" i="15"/>
  <c r="C97" i="15"/>
  <c r="C98" i="15"/>
  <c r="C99" i="15"/>
  <c r="C100" i="15"/>
  <c r="C101" i="15"/>
  <c r="C102" i="15"/>
  <c r="C103" i="15"/>
  <c r="C104" i="15"/>
  <c r="C105" i="15"/>
  <c r="C106" i="15"/>
  <c r="C107" i="15"/>
  <c r="C108" i="15"/>
  <c r="C109" i="15"/>
  <c r="C110" i="15"/>
  <c r="C111" i="15"/>
  <c r="C112" i="15"/>
  <c r="C113" i="15"/>
  <c r="C114" i="15"/>
  <c r="C115" i="15"/>
  <c r="C116" i="15"/>
  <c r="C117" i="15"/>
  <c r="C118" i="15"/>
  <c r="C119" i="15"/>
  <c r="C120" i="15"/>
  <c r="C121" i="15"/>
  <c r="C122" i="15"/>
  <c r="C123" i="15"/>
  <c r="C124" i="15"/>
  <c r="C125" i="15"/>
  <c r="C126" i="15"/>
  <c r="C127" i="15"/>
  <c r="C128" i="15"/>
  <c r="C129" i="15"/>
  <c r="C130" i="15"/>
  <c r="C131" i="15"/>
  <c r="C132" i="15"/>
  <c r="C133" i="15"/>
  <c r="C134" i="15"/>
  <c r="C135" i="15"/>
  <c r="C136" i="15"/>
  <c r="C137" i="15"/>
  <c r="C138" i="15"/>
  <c r="C139" i="15"/>
  <c r="C140" i="15"/>
  <c r="C141" i="15"/>
  <c r="C142" i="15"/>
  <c r="C143" i="15"/>
  <c r="C144" i="15"/>
  <c r="C145" i="15"/>
  <c r="C146" i="15"/>
  <c r="C147" i="15"/>
  <c r="C148" i="15"/>
  <c r="C149" i="15"/>
  <c r="C150" i="15"/>
  <c r="C151" i="15"/>
  <c r="C152" i="15"/>
  <c r="C153" i="15"/>
  <c r="C154" i="15"/>
  <c r="C155" i="15"/>
  <c r="C156" i="15"/>
  <c r="C157" i="15"/>
  <c r="C158" i="15"/>
  <c r="C159" i="15"/>
  <c r="C160" i="15"/>
  <c r="C161" i="15"/>
  <c r="C162" i="15"/>
  <c r="C163" i="15"/>
  <c r="C164" i="15"/>
  <c r="C165" i="15"/>
  <c r="C166" i="15"/>
  <c r="C167" i="15"/>
  <c r="C168" i="15"/>
  <c r="C169" i="15"/>
  <c r="C170" i="15"/>
  <c r="C171" i="15"/>
  <c r="C172" i="15"/>
  <c r="C173" i="15"/>
  <c r="C174" i="15"/>
  <c r="C175" i="15"/>
  <c r="C176" i="15"/>
  <c r="C177" i="15"/>
  <c r="C178" i="15"/>
  <c r="C179" i="15"/>
  <c r="C180" i="15"/>
  <c r="C181" i="15"/>
  <c r="C182" i="15"/>
  <c r="C2" i="15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31" i="15"/>
  <c r="B32" i="15"/>
  <c r="B33" i="15"/>
  <c r="B34" i="15"/>
  <c r="B35" i="15"/>
  <c r="B36" i="15"/>
  <c r="B37" i="15"/>
  <c r="B38" i="15"/>
  <c r="B39" i="15"/>
  <c r="B40" i="15"/>
  <c r="B41" i="15"/>
  <c r="B42" i="15"/>
  <c r="B43" i="15"/>
  <c r="B44" i="15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B62" i="15"/>
  <c r="B63" i="15"/>
  <c r="B64" i="15"/>
  <c r="B65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B152" i="15"/>
  <c r="B153" i="15"/>
  <c r="B154" i="15"/>
  <c r="B155" i="15"/>
  <c r="B156" i="15"/>
  <c r="B157" i="15"/>
  <c r="B158" i="15"/>
  <c r="B159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174" i="15"/>
  <c r="B175" i="15"/>
  <c r="B176" i="15"/>
  <c r="B177" i="15"/>
  <c r="B178" i="15"/>
  <c r="B179" i="15"/>
  <c r="B180" i="15"/>
  <c r="B181" i="15"/>
  <c r="B182" i="15"/>
  <c r="B2" i="15"/>
  <c r="A2" i="16" a="1"/>
  <c r="A2" i="16" s="1"/>
  <c r="A2" i="15" a="1"/>
  <c r="A2" i="15" s="1"/>
  <c r="P3" i="12"/>
  <c r="P4" i="12"/>
  <c r="P5" i="12"/>
  <c r="P6" i="12"/>
  <c r="P7" i="12"/>
  <c r="P8" i="12"/>
  <c r="P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18" i="12"/>
  <c r="P119" i="12"/>
  <c r="P120" i="12"/>
  <c r="P121" i="12"/>
  <c r="P122" i="12"/>
  <c r="P123" i="12"/>
  <c r="P124" i="12"/>
  <c r="P125" i="12"/>
  <c r="P126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0" i="12"/>
  <c r="P151" i="12"/>
  <c r="P152" i="12"/>
  <c r="P153" i="12"/>
  <c r="P154" i="12"/>
  <c r="P155" i="12"/>
  <c r="P156" i="12"/>
  <c r="P157" i="12"/>
  <c r="P158" i="12"/>
  <c r="P159" i="12"/>
  <c r="P160" i="12"/>
  <c r="P161" i="12"/>
  <c r="P162" i="12"/>
  <c r="P163" i="12"/>
  <c r="P164" i="12"/>
  <c r="P165" i="12"/>
  <c r="P166" i="12"/>
  <c r="P167" i="12"/>
  <c r="P168" i="12"/>
  <c r="P169" i="12"/>
  <c r="P170" i="12"/>
  <c r="P171" i="12"/>
  <c r="P172" i="12"/>
  <c r="P173" i="12"/>
  <c r="P174" i="12"/>
  <c r="P175" i="12"/>
  <c r="P176" i="12"/>
  <c r="P177" i="12"/>
  <c r="P178" i="12"/>
  <c r="P179" i="12"/>
  <c r="P180" i="12"/>
  <c r="P181" i="12"/>
  <c r="P182" i="12"/>
  <c r="P183" i="12"/>
  <c r="P184" i="12"/>
  <c r="P185" i="12"/>
  <c r="P186" i="12"/>
  <c r="P187" i="12"/>
  <c r="P188" i="12"/>
  <c r="P189" i="12"/>
  <c r="P190" i="12"/>
  <c r="P191" i="12"/>
  <c r="P192" i="12"/>
  <c r="P193" i="12"/>
  <c r="P194" i="12"/>
  <c r="P195" i="12"/>
  <c r="P196" i="12"/>
  <c r="P197" i="12"/>
  <c r="P198" i="12"/>
  <c r="P199" i="12"/>
  <c r="P200" i="12"/>
  <c r="P201" i="12"/>
  <c r="P202" i="12"/>
  <c r="P203" i="12"/>
  <c r="P204" i="12"/>
  <c r="P205" i="12"/>
  <c r="P206" i="12"/>
  <c r="P207" i="12"/>
  <c r="P208" i="12"/>
  <c r="P209" i="12"/>
  <c r="P210" i="12"/>
  <c r="P211" i="12"/>
  <c r="P212" i="12"/>
  <c r="P213" i="12"/>
  <c r="P214" i="12"/>
  <c r="P215" i="12"/>
  <c r="P216" i="12"/>
  <c r="P217" i="12"/>
  <c r="P218" i="12"/>
  <c r="P219" i="12"/>
  <c r="P220" i="12"/>
  <c r="P221" i="12"/>
  <c r="P222" i="12"/>
  <c r="P223" i="12"/>
  <c r="P224" i="12"/>
  <c r="P225" i="12"/>
  <c r="P226" i="12"/>
  <c r="P227" i="12"/>
  <c r="P228" i="12"/>
  <c r="P229" i="12"/>
  <c r="P230" i="12"/>
  <c r="P231" i="12"/>
  <c r="P232" i="12"/>
  <c r="P233" i="12"/>
  <c r="P234" i="12"/>
  <c r="P235" i="12"/>
  <c r="P236" i="12"/>
  <c r="P237" i="12"/>
  <c r="P238" i="12"/>
  <c r="P239" i="12"/>
  <c r="P240" i="12"/>
  <c r="P241" i="12"/>
  <c r="P242" i="12"/>
  <c r="P243" i="12"/>
  <c r="P244" i="12"/>
  <c r="P245" i="12"/>
  <c r="P246" i="12"/>
  <c r="P247" i="12"/>
  <c r="P248" i="12"/>
  <c r="P249" i="12"/>
  <c r="P250" i="12"/>
  <c r="P251" i="12"/>
  <c r="P252" i="12"/>
  <c r="P253" i="12"/>
  <c r="P254" i="12"/>
  <c r="P255" i="12"/>
  <c r="P256" i="12"/>
  <c r="P257" i="12"/>
  <c r="P258" i="12"/>
  <c r="P259" i="12"/>
  <c r="P260" i="12"/>
  <c r="P261" i="12"/>
  <c r="P262" i="12"/>
  <c r="P263" i="12"/>
  <c r="P264" i="12"/>
  <c r="P265" i="12"/>
  <c r="P266" i="12"/>
  <c r="P267" i="12"/>
  <c r="P268" i="12"/>
  <c r="P269" i="12"/>
  <c r="P270" i="12"/>
  <c r="P271" i="12"/>
  <c r="P272" i="12"/>
  <c r="P273" i="12"/>
  <c r="P274" i="12"/>
  <c r="P275" i="12"/>
  <c r="P276" i="12"/>
  <c r="P277" i="12"/>
  <c r="P278" i="12"/>
  <c r="P279" i="12"/>
  <c r="P280" i="12"/>
  <c r="P281" i="12"/>
  <c r="P282" i="12"/>
  <c r="P283" i="12"/>
  <c r="P284" i="12"/>
  <c r="P285" i="12"/>
  <c r="P286" i="12"/>
  <c r="P287" i="12"/>
  <c r="P288" i="12"/>
  <c r="P289" i="12"/>
  <c r="P290" i="12"/>
  <c r="P291" i="12"/>
  <c r="P292" i="12"/>
  <c r="P293" i="12"/>
  <c r="P294" i="12"/>
  <c r="P295" i="12"/>
  <c r="P296" i="12"/>
  <c r="P297" i="12"/>
  <c r="P298" i="12"/>
  <c r="P299" i="12"/>
  <c r="P300" i="12"/>
  <c r="P301" i="12"/>
  <c r="P302" i="12"/>
  <c r="P303" i="12"/>
  <c r="P304" i="12"/>
  <c r="P305" i="12"/>
  <c r="P306" i="12"/>
  <c r="P307" i="12"/>
  <c r="P308" i="12"/>
  <c r="P309" i="12"/>
  <c r="P310" i="12"/>
  <c r="P311" i="12"/>
  <c r="P312" i="12"/>
  <c r="P313" i="12"/>
  <c r="P314" i="12"/>
  <c r="P315" i="12"/>
  <c r="P316" i="12"/>
  <c r="P2" i="12"/>
  <c r="O3" i="14"/>
  <c r="O4" i="14"/>
  <c r="O5" i="14"/>
  <c r="O6" i="14"/>
  <c r="O7" i="14"/>
  <c r="O8" i="14"/>
  <c r="O9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2" i="14"/>
  <c r="P3" i="14" a="1"/>
  <c r="P7" i="14" a="1"/>
  <c r="P11" i="14" a="1"/>
  <c r="P15" i="14" a="1"/>
  <c r="P19" i="14" a="1"/>
  <c r="P23" i="14" a="1"/>
  <c r="P27" i="14" a="1"/>
  <c r="P31" i="14" a="1"/>
  <c r="P35" i="14" a="1"/>
  <c r="P39" i="14" a="1"/>
  <c r="P43" i="14" a="1"/>
  <c r="P47" i="14" a="1"/>
  <c r="P51" i="14" a="1"/>
  <c r="P55" i="14" a="1"/>
  <c r="P59" i="14" a="1"/>
  <c r="P63" i="14" a="1"/>
  <c r="P67" i="14" a="1"/>
  <c r="P71" i="14" a="1"/>
  <c r="P75" i="14" a="1"/>
  <c r="P79" i="14" a="1"/>
  <c r="P83" i="14" a="1"/>
  <c r="P87" i="14" a="1"/>
  <c r="P91" i="14" a="1"/>
  <c r="P95" i="14" a="1"/>
  <c r="P99" i="14" a="1"/>
  <c r="P103" i="14" a="1"/>
  <c r="P107" i="14" a="1"/>
  <c r="P111" i="14" a="1"/>
  <c r="P115" i="14" a="1"/>
  <c r="P119" i="14" a="1"/>
  <c r="P123" i="14" a="1"/>
  <c r="P127" i="14" a="1"/>
  <c r="P131" i="14" a="1"/>
  <c r="P135" i="14" a="1"/>
  <c r="P139" i="14" a="1"/>
  <c r="P143" i="14" a="1"/>
  <c r="P147" i="14" a="1"/>
  <c r="P151" i="14" a="1"/>
  <c r="P155" i="14" a="1"/>
  <c r="P159" i="14" a="1"/>
  <c r="P163" i="14" a="1"/>
  <c r="P167" i="14" a="1"/>
  <c r="P171" i="14" a="1"/>
  <c r="P175" i="14" a="1"/>
  <c r="P100" i="14" a="1"/>
  <c r="P132" i="14" a="1"/>
  <c r="P144" i="14" a="1"/>
  <c r="P152" i="14" a="1"/>
  <c r="P156" i="14" a="1"/>
  <c r="P164" i="14" a="1"/>
  <c r="P172" i="14" a="1"/>
  <c r="P180" i="14" a="1"/>
  <c r="P188" i="14" a="1"/>
  <c r="P4" i="14" a="1"/>
  <c r="P8" i="14" a="1"/>
  <c r="P12" i="14" a="1"/>
  <c r="P16" i="14" a="1"/>
  <c r="P20" i="14" a="1"/>
  <c r="P24" i="14" a="1"/>
  <c r="P28" i="14" a="1"/>
  <c r="P32" i="14" a="1"/>
  <c r="P36" i="14" a="1"/>
  <c r="P40" i="14" a="1"/>
  <c r="P44" i="14" a="1"/>
  <c r="P48" i="14" a="1"/>
  <c r="P52" i="14" a="1"/>
  <c r="P56" i="14" a="1"/>
  <c r="P60" i="14" a="1"/>
  <c r="P64" i="14" a="1"/>
  <c r="P68" i="14" a="1"/>
  <c r="P72" i="14" a="1"/>
  <c r="P76" i="14" a="1"/>
  <c r="P80" i="14" a="1"/>
  <c r="P84" i="14" a="1"/>
  <c r="P88" i="14" a="1"/>
  <c r="P92" i="14" a="1"/>
  <c r="P96" i="14" a="1"/>
  <c r="P104" i="14" a="1"/>
  <c r="P108" i="14" a="1"/>
  <c r="P112" i="14" a="1"/>
  <c r="P116" i="14" a="1"/>
  <c r="P120" i="14" a="1"/>
  <c r="P124" i="14" a="1"/>
  <c r="P128" i="14" a="1"/>
  <c r="P136" i="14" a="1"/>
  <c r="P140" i="14" a="1"/>
  <c r="P148" i="14" a="1"/>
  <c r="P160" i="14" a="1"/>
  <c r="P168" i="14" a="1"/>
  <c r="P176" i="14" a="1"/>
  <c r="P184" i="14" a="1"/>
  <c r="P192" i="14" a="1"/>
  <c r="P101" i="14" a="1"/>
  <c r="P137" i="14" a="1"/>
  <c r="P145" i="14" a="1"/>
  <c r="P153" i="14" a="1"/>
  <c r="P161" i="14" a="1"/>
  <c r="P169" i="14" a="1"/>
  <c r="P177" i="14" a="1"/>
  <c r="P185" i="14" a="1"/>
  <c r="P193" i="14" a="1"/>
  <c r="P5" i="14" a="1"/>
  <c r="P9" i="14" a="1"/>
  <c r="P13" i="14" a="1"/>
  <c r="P17" i="14" a="1"/>
  <c r="P21" i="14" a="1"/>
  <c r="P25" i="14" a="1"/>
  <c r="P29" i="14" a="1"/>
  <c r="P33" i="14" a="1"/>
  <c r="P37" i="14" a="1"/>
  <c r="P41" i="14" a="1"/>
  <c r="P45" i="14" a="1"/>
  <c r="P49" i="14" a="1"/>
  <c r="P53" i="14" a="1"/>
  <c r="P57" i="14" a="1"/>
  <c r="P61" i="14" a="1"/>
  <c r="P65" i="14" a="1"/>
  <c r="P69" i="14" a="1"/>
  <c r="P73" i="14" a="1"/>
  <c r="P77" i="14" a="1"/>
  <c r="P81" i="14" a="1"/>
  <c r="P85" i="14" a="1"/>
  <c r="P89" i="14" a="1"/>
  <c r="P93" i="14" a="1"/>
  <c r="P97" i="14" a="1"/>
  <c r="P105" i="14" a="1"/>
  <c r="P109" i="14" a="1"/>
  <c r="P113" i="14" a="1"/>
  <c r="P117" i="14" a="1"/>
  <c r="P121" i="14" a="1"/>
  <c r="P125" i="14" a="1"/>
  <c r="P129" i="14" a="1"/>
  <c r="P133" i="14" a="1"/>
  <c r="P141" i="14" a="1"/>
  <c r="P149" i="14" a="1"/>
  <c r="P157" i="14" a="1"/>
  <c r="P165" i="14" a="1"/>
  <c r="P173" i="14" a="1"/>
  <c r="P181" i="14" a="1"/>
  <c r="P189" i="14" a="1"/>
  <c r="P197" i="14" a="1"/>
  <c r="P6" i="14" a="1"/>
  <c r="P10" i="14" a="1"/>
  <c r="P14" i="14" a="1"/>
  <c r="P18" i="14" a="1"/>
  <c r="P22" i="14" a="1"/>
  <c r="P26" i="14" a="1"/>
  <c r="P30" i="14" a="1"/>
  <c r="P34" i="14" a="1"/>
  <c r="P38" i="14" a="1"/>
  <c r="P42" i="14" a="1"/>
  <c r="P46" i="14" a="1"/>
  <c r="P50" i="14" a="1"/>
  <c r="P54" i="14" a="1"/>
  <c r="P58" i="14" a="1"/>
  <c r="P62" i="14" a="1"/>
  <c r="P66" i="14" a="1"/>
  <c r="P70" i="14" a="1"/>
  <c r="P74" i="14" a="1"/>
  <c r="P78" i="14" a="1"/>
  <c r="P82" i="14" a="1"/>
  <c r="P86" i="14" a="1"/>
  <c r="P90" i="14" a="1"/>
  <c r="P94" i="14" a="1"/>
  <c r="P98" i="14" a="1"/>
  <c r="P102" i="14" a="1"/>
  <c r="P106" i="14" a="1"/>
  <c r="P110" i="14" a="1"/>
  <c r="P114" i="14" a="1"/>
  <c r="P118" i="14" a="1"/>
  <c r="P126" i="14" a="1"/>
  <c r="P130" i="14" a="1"/>
  <c r="P134" i="14" a="1"/>
  <c r="P150" i="14" a="1"/>
  <c r="P166" i="14" a="1"/>
  <c r="P179" i="14" a="1"/>
  <c r="P199" i="14" a="1"/>
  <c r="P206" i="14" a="1"/>
  <c r="P212" i="14" a="1"/>
  <c r="P225" i="14" a="1"/>
  <c r="P231" i="14" a="1"/>
  <c r="P238" i="14" a="1"/>
  <c r="P244" i="14" a="1"/>
  <c r="P257" i="14" a="1"/>
  <c r="P263" i="14" a="1"/>
  <c r="P270" i="14" a="1"/>
  <c r="P276" i="14" a="1"/>
  <c r="P289" i="14" a="1"/>
  <c r="P295" i="14" a="1"/>
  <c r="P302" i="14" a="1"/>
  <c r="P308" i="14" a="1"/>
  <c r="P272" i="14" a="1"/>
  <c r="P298" i="14" a="1"/>
  <c r="P228" i="14" a="1"/>
  <c r="P286" i="14" a="1"/>
  <c r="P196" i="14" a="1"/>
  <c r="P242" i="14" a="1"/>
  <c r="P299" i="14" a="1"/>
  <c r="P287" i="14" a="1"/>
  <c r="P269" i="14" a="1"/>
  <c r="P314" i="14" a="1"/>
  <c r="P182" i="14" a="1"/>
  <c r="P191" i="14" a="1"/>
  <c r="P200" i="14" a="1"/>
  <c r="P213" i="14" a="1"/>
  <c r="P219" i="14" a="1"/>
  <c r="P226" i="14" a="1"/>
  <c r="P232" i="14" a="1"/>
  <c r="P245" i="14" a="1"/>
  <c r="P251" i="14" a="1"/>
  <c r="P258" i="14" a="1"/>
  <c r="P264" i="14" a="1"/>
  <c r="P277" i="14" a="1"/>
  <c r="P283" i="14" a="1"/>
  <c r="P290" i="14" a="1"/>
  <c r="P296" i="14" a="1"/>
  <c r="P309" i="14" a="1"/>
  <c r="P315" i="14" a="1"/>
  <c r="P208" i="14" a="1"/>
  <c r="P221" i="14" a="1"/>
  <c r="P234" i="14" a="1"/>
  <c r="P253" i="14" a="1"/>
  <c r="P291" i="14" a="1"/>
  <c r="P304" i="14" a="1"/>
  <c r="P209" i="14" a="1"/>
  <c r="P273" i="14" a="1"/>
  <c r="P311" i="14" a="1"/>
  <c r="P203" i="14" a="1"/>
  <c r="P235" i="14" a="1"/>
  <c r="P280" i="14" a="1"/>
  <c r="P230" i="14" a="1"/>
  <c r="P281" i="14" a="1"/>
  <c r="P205" i="14" a="1"/>
  <c r="P243" i="14" a="1"/>
  <c r="P301" i="14" a="1"/>
  <c r="P138" i="14" a="1"/>
  <c r="P154" i="14" a="1"/>
  <c r="P170" i="14" a="1"/>
  <c r="P194" i="14" a="1"/>
  <c r="P201" i="14" a="1"/>
  <c r="P207" i="14" a="1"/>
  <c r="P214" i="14" a="1"/>
  <c r="P220" i="14" a="1"/>
  <c r="P233" i="14" a="1"/>
  <c r="P239" i="14" a="1"/>
  <c r="P246" i="14" a="1"/>
  <c r="P252" i="14" a="1"/>
  <c r="P265" i="14" a="1"/>
  <c r="P271" i="14" a="1"/>
  <c r="P278" i="14" a="1"/>
  <c r="P284" i="14" a="1"/>
  <c r="P297" i="14" a="1"/>
  <c r="P303" i="14" a="1"/>
  <c r="P310" i="14" a="1"/>
  <c r="P316" i="14" a="1"/>
  <c r="P202" i="14" a="1"/>
  <c r="P227" i="14" a="1"/>
  <c r="P240" i="14" a="1"/>
  <c r="P259" i="14" a="1"/>
  <c r="P285" i="14" a="1"/>
  <c r="P215" i="14" a="1"/>
  <c r="P260" i="14" a="1"/>
  <c r="P292" i="14" a="1"/>
  <c r="P216" i="14" a="1"/>
  <c r="P248" i="14" a="1"/>
  <c r="P306" i="14" a="1"/>
  <c r="P223" i="14" a="1"/>
  <c r="P300" i="14" a="1"/>
  <c r="P190" i="14" a="1"/>
  <c r="P250" i="14" a="1"/>
  <c r="P183" i="14" a="1"/>
  <c r="P266" i="14" a="1"/>
  <c r="P247" i="14" a="1"/>
  <c r="P210" i="14" a="1"/>
  <c r="P274" i="14" a="1"/>
  <c r="P312" i="14" a="1"/>
  <c r="P217" i="14" a="1"/>
  <c r="P294" i="14" a="1"/>
  <c r="P211" i="14" a="1"/>
  <c r="P256" i="14" a="1"/>
  <c r="P307" i="14" a="1"/>
  <c r="P142" i="14" a="1"/>
  <c r="P158" i="14" a="1"/>
  <c r="P174" i="14" a="1"/>
  <c r="P186" i="14" a="1"/>
  <c r="P195" i="14" a="1"/>
  <c r="P222" i="14" a="1"/>
  <c r="P241" i="14" a="1"/>
  <c r="P254" i="14" a="1"/>
  <c r="P279" i="14" a="1"/>
  <c r="P305" i="14" a="1"/>
  <c r="P229" i="14" a="1"/>
  <c r="P267" i="14" a="1"/>
  <c r="P293" i="14" a="1"/>
  <c r="P255" i="14" a="1"/>
  <c r="P218" i="14" a="1"/>
  <c r="P282" i="14" a="1"/>
  <c r="P122" i="14" a="1"/>
  <c r="P261" i="14" a="1"/>
  <c r="P268" i="14" a="1"/>
  <c r="P237" i="14" a="1"/>
  <c r="P288" i="14" a="1"/>
  <c r="P146" i="14" a="1"/>
  <c r="P162" i="14" a="1"/>
  <c r="P178" i="14" a="1"/>
  <c r="P187" i="14" a="1"/>
  <c r="P198" i="14" a="1"/>
  <c r="P204" i="14" a="1"/>
  <c r="P236" i="14" a="1"/>
  <c r="P249" i="14" a="1"/>
  <c r="P262" i="14" a="1"/>
  <c r="P313" i="14" a="1"/>
  <c r="P224" i="14" a="1"/>
  <c r="P275" i="14" a="1"/>
  <c r="P2" i="14" a="1"/>
  <c r="O3" i="12" a="1"/>
  <c r="O7" i="12" a="1"/>
  <c r="O11" i="12" a="1"/>
  <c r="O15" i="12" a="1"/>
  <c r="O19" i="12" a="1"/>
  <c r="O23" i="12" a="1"/>
  <c r="O27" i="12" a="1"/>
  <c r="O31" i="12" a="1"/>
  <c r="O35" i="12" a="1"/>
  <c r="O39" i="12" a="1"/>
  <c r="O43" i="12" a="1"/>
  <c r="O47" i="12" a="1"/>
  <c r="O51" i="12" a="1"/>
  <c r="O55" i="12" a="1"/>
  <c r="O59" i="12" a="1"/>
  <c r="O63" i="12" a="1"/>
  <c r="O67" i="12" a="1"/>
  <c r="O71" i="12" a="1"/>
  <c r="O75" i="12" a="1"/>
  <c r="O79" i="12" a="1"/>
  <c r="O83" i="12" a="1"/>
  <c r="O87" i="12" a="1"/>
  <c r="O91" i="12" a="1"/>
  <c r="O95" i="12" a="1"/>
  <c r="O99" i="12" a="1"/>
  <c r="O103" i="12" a="1"/>
  <c r="O107" i="12" a="1"/>
  <c r="O111" i="12" a="1"/>
  <c r="O115" i="12" a="1"/>
  <c r="O119" i="12" a="1"/>
  <c r="O123" i="12" a="1"/>
  <c r="O127" i="12" a="1"/>
  <c r="O131" i="12" a="1"/>
  <c r="O16" i="12" a="1"/>
  <c r="O44" i="12" a="1"/>
  <c r="O52" i="12" a="1"/>
  <c r="O60" i="12" a="1"/>
  <c r="O68" i="12" a="1"/>
  <c r="O76" i="12" a="1"/>
  <c r="O80" i="12" a="1"/>
  <c r="O88" i="12" a="1"/>
  <c r="O96" i="12" a="1"/>
  <c r="O4" i="12" a="1"/>
  <c r="O8" i="12" a="1"/>
  <c r="O12" i="12" a="1"/>
  <c r="O20" i="12" a="1"/>
  <c r="O24" i="12" a="1"/>
  <c r="O28" i="12" a="1"/>
  <c r="O32" i="12" a="1"/>
  <c r="O36" i="12" a="1"/>
  <c r="O40" i="12" a="1"/>
  <c r="O48" i="12" a="1"/>
  <c r="O56" i="12" a="1"/>
  <c r="O64" i="12" a="1"/>
  <c r="O72" i="12" a="1"/>
  <c r="O84" i="12" a="1"/>
  <c r="O92" i="12" a="1"/>
  <c r="O100" i="12" a="1"/>
  <c r="O108" i="12" a="1"/>
  <c r="O5" i="12" a="1"/>
  <c r="O6" i="12" a="1"/>
  <c r="O14" i="12" a="1"/>
  <c r="O22" i="12" a="1"/>
  <c r="O30" i="12" a="1"/>
  <c r="O38" i="12" a="1"/>
  <c r="O46" i="12" a="1"/>
  <c r="O54" i="12" a="1"/>
  <c r="O62" i="12" a="1"/>
  <c r="O70" i="12" a="1"/>
  <c r="O78" i="12" a="1"/>
  <c r="O86" i="12" a="1"/>
  <c r="O94" i="12" a="1"/>
  <c r="O102" i="12" a="1"/>
  <c r="O116" i="12" a="1"/>
  <c r="O122" i="12" a="1"/>
  <c r="O129" i="12" a="1"/>
  <c r="O140" i="12" a="1"/>
  <c r="O156" i="12" a="1"/>
  <c r="O172" i="12" a="1"/>
  <c r="O188" i="12" a="1"/>
  <c r="O204" i="12" a="1"/>
  <c r="O220" i="12" a="1"/>
  <c r="O236" i="12" a="1"/>
  <c r="O252" i="12" a="1"/>
  <c r="O268" i="12" a="1"/>
  <c r="O284" i="12" a="1"/>
  <c r="O299" i="12" a="1"/>
  <c r="O304" i="12" a="1"/>
  <c r="O313" i="12" a="1"/>
  <c r="O279" i="12" a="1"/>
  <c r="O290" i="12" a="1"/>
  <c r="O300" i="12" a="1"/>
  <c r="O33" i="12" a="1"/>
  <c r="O81" i="12" a="1"/>
  <c r="O97" i="12" a="1"/>
  <c r="O130" i="12" a="1"/>
  <c r="O152" i="12" a="1"/>
  <c r="O184" i="12" a="1"/>
  <c r="O216" i="12" a="1"/>
  <c r="O264" i="12" a="1"/>
  <c r="O280" i="12" a="1"/>
  <c r="O305" i="12" a="1"/>
  <c r="O105" i="12" a="1"/>
  <c r="O125" i="12" a="1"/>
  <c r="O142" i="12" a="1"/>
  <c r="O163" i="12" a="1"/>
  <c r="O179" i="12" a="1"/>
  <c r="O195" i="12" a="1"/>
  <c r="O211" i="12" a="1"/>
  <c r="O227" i="12" a="1"/>
  <c r="O243" i="12" a="1"/>
  <c r="O259" i="12" a="1"/>
  <c r="O275" i="12" a="1"/>
  <c r="O291" i="12" a="1"/>
  <c r="O66" i="12" a="1"/>
  <c r="O132" i="12" a="1"/>
  <c r="O180" i="12" a="1"/>
  <c r="O228" i="12" a="1"/>
  <c r="O292" i="12" a="1"/>
  <c r="O186" i="12" a="1"/>
  <c r="O223" i="12" a="1"/>
  <c r="O250" i="12" a="1"/>
  <c r="O282" i="12" a="1"/>
  <c r="O316" i="12" a="1"/>
  <c r="O110" i="12" a="1"/>
  <c r="O117" i="12" a="1"/>
  <c r="O135" i="12" a="1"/>
  <c r="O141" i="12" a="1"/>
  <c r="O146" i="12" a="1"/>
  <c r="O151" i="12" a="1"/>
  <c r="O157" i="12" a="1"/>
  <c r="O162" i="12" a="1"/>
  <c r="O167" i="12" a="1"/>
  <c r="O173" i="12" a="1"/>
  <c r="O178" i="12" a="1"/>
  <c r="O183" i="12" a="1"/>
  <c r="O189" i="12" a="1"/>
  <c r="O194" i="12" a="1"/>
  <c r="O199" i="12" a="1"/>
  <c r="O205" i="12" a="1"/>
  <c r="O210" i="12" a="1"/>
  <c r="O215" i="12" a="1"/>
  <c r="O221" i="12" a="1"/>
  <c r="O226" i="12" a="1"/>
  <c r="O231" i="12" a="1"/>
  <c r="O237" i="12" a="1"/>
  <c r="O242" i="12" a="1"/>
  <c r="O247" i="12" a="1"/>
  <c r="O253" i="12" a="1"/>
  <c r="O258" i="12" a="1"/>
  <c r="O263" i="12" a="1"/>
  <c r="O269" i="12" a="1"/>
  <c r="O274" i="12" a="1"/>
  <c r="O285" i="12" a="1"/>
  <c r="O295" i="12" a="1"/>
  <c r="O309" i="12" a="1"/>
  <c r="O41" i="12" a="1"/>
  <c r="O73" i="12" a="1"/>
  <c r="O104" i="12" a="1"/>
  <c r="O124" i="12" a="1"/>
  <c r="O168" i="12" a="1"/>
  <c r="O200" i="12" a="1"/>
  <c r="O232" i="12" a="1"/>
  <c r="O248" i="12" a="1"/>
  <c r="O296" i="12" a="1"/>
  <c r="O314" i="12" a="1"/>
  <c r="O112" i="12" a="1"/>
  <c r="O137" i="12" a="1"/>
  <c r="O158" i="12" a="1"/>
  <c r="O174" i="12" a="1"/>
  <c r="O190" i="12" a="1"/>
  <c r="O206" i="12" a="1"/>
  <c r="O217" i="12" a="1"/>
  <c r="O233" i="12" a="1"/>
  <c r="O254" i="12" a="1"/>
  <c r="O281" i="12" a="1"/>
  <c r="O310" i="12" a="1"/>
  <c r="O90" i="12" a="1"/>
  <c r="O148" i="12" a="1"/>
  <c r="O276" i="12" a="1"/>
  <c r="O315" i="12" a="1"/>
  <c r="O202" i="12" a="1"/>
  <c r="O239" i="12" a="1"/>
  <c r="O266" i="12" a="1"/>
  <c r="O311" i="12" a="1"/>
  <c r="O9" i="12" a="1"/>
  <c r="O17" i="12" a="1"/>
  <c r="O25" i="12" a="1"/>
  <c r="O49" i="12" a="1"/>
  <c r="O57" i="12" a="1"/>
  <c r="O65" i="12" a="1"/>
  <c r="O89" i="12" a="1"/>
  <c r="O136" i="12" a="1"/>
  <c r="O118" i="12" a="1"/>
  <c r="O147" i="12" a="1"/>
  <c r="O169" i="12" a="1"/>
  <c r="O185" i="12" a="1"/>
  <c r="O201" i="12" a="1"/>
  <c r="O222" i="12" a="1"/>
  <c r="O238" i="12" a="1"/>
  <c r="O249" i="12" a="1"/>
  <c r="O270" i="12" a="1"/>
  <c r="O286" i="12" a="1"/>
  <c r="O301" i="12" a="1"/>
  <c r="O74" i="12" a="1"/>
  <c r="O164" i="12" a="1"/>
  <c r="O196" i="12" a="1"/>
  <c r="O260" i="12" a="1"/>
  <c r="O297" i="12" a="1"/>
  <c r="O197" i="12" a="1"/>
  <c r="O213" i="12" a="1"/>
  <c r="O245" i="12" a="1"/>
  <c r="O277" i="12" a="1"/>
  <c r="O302" i="12" a="1"/>
  <c r="O153" i="12" a="1"/>
  <c r="O265" i="12" a="1"/>
  <c r="O212" i="12" a="1"/>
  <c r="O181" i="12" a="1"/>
  <c r="O218" i="12" a="1"/>
  <c r="O255" i="12" a="1"/>
  <c r="O287" i="12" a="1"/>
  <c r="O10" i="12" a="1"/>
  <c r="O18" i="12" a="1"/>
  <c r="O26" i="12" a="1"/>
  <c r="O34" i="12" a="1"/>
  <c r="O42" i="12" a="1"/>
  <c r="O50" i="12" a="1"/>
  <c r="O58" i="12" a="1"/>
  <c r="O82" i="12" a="1"/>
  <c r="O98" i="12" a="1"/>
  <c r="O113" i="12" a="1"/>
  <c r="O244" i="12" a="1"/>
  <c r="O306" i="12" a="1"/>
  <c r="O229" i="12" a="1"/>
  <c r="O261" i="12" a="1"/>
  <c r="O293" i="12" a="1"/>
  <c r="O106" i="12" a="1"/>
  <c r="O120" i="12" a="1"/>
  <c r="O126" i="12" a="1"/>
  <c r="O133" i="12" a="1"/>
  <c r="O138" i="12" a="1"/>
  <c r="O143" i="12" a="1"/>
  <c r="O149" i="12" a="1"/>
  <c r="O154" i="12" a="1"/>
  <c r="O159" i="12" a="1"/>
  <c r="O165" i="12" a="1"/>
  <c r="O170" i="12" a="1"/>
  <c r="O175" i="12" a="1"/>
  <c r="O191" i="12" a="1"/>
  <c r="O207" i="12" a="1"/>
  <c r="O234" i="12" a="1"/>
  <c r="O271" i="12" a="1"/>
  <c r="O13" i="12" a="1"/>
  <c r="O21" i="12" a="1"/>
  <c r="O29" i="12" a="1"/>
  <c r="O37" i="12" a="1"/>
  <c r="O45" i="12" a="1"/>
  <c r="O53" i="12" a="1"/>
  <c r="O61" i="12" a="1"/>
  <c r="O69" i="12" a="1"/>
  <c r="O77" i="12" a="1"/>
  <c r="O85" i="12" a="1"/>
  <c r="O93" i="12" a="1"/>
  <c r="O101" i="12" a="1"/>
  <c r="O114" i="12" a="1"/>
  <c r="O121" i="12" a="1"/>
  <c r="O144" i="12" a="1"/>
  <c r="O134" i="12" a="1"/>
  <c r="O171" i="12" a="1"/>
  <c r="O193" i="12" a="1"/>
  <c r="O214" i="12" a="1"/>
  <c r="O235" i="12" a="1"/>
  <c r="O257" i="12" a="1"/>
  <c r="O278" i="12" a="1"/>
  <c r="O177" i="12" a="1"/>
  <c r="O198" i="12" a="1"/>
  <c r="O241" i="12" a="1"/>
  <c r="O283" i="12" a="1"/>
  <c r="O150" i="12" a="1"/>
  <c r="O288" i="12" a="1"/>
  <c r="O155" i="12" a="1"/>
  <c r="O182" i="12" a="1"/>
  <c r="O225" i="12" a="1"/>
  <c r="O267" i="12" a="1"/>
  <c r="O289" i="12" a="1"/>
  <c r="O160" i="12" a="1"/>
  <c r="O272" i="12" a="1"/>
  <c r="O161" i="12" a="1"/>
  <c r="O209" i="12" a="1"/>
  <c r="O273" i="12" a="1"/>
  <c r="O166" i="12" a="1"/>
  <c r="O256" i="12" a="1"/>
  <c r="O139" i="12" a="1"/>
  <c r="O176" i="12" a="1"/>
  <c r="O240" i="12" a="1"/>
  <c r="O145" i="12" a="1"/>
  <c r="O219" i="12" a="1"/>
  <c r="O262" i="12" a="1"/>
  <c r="O303" i="12" a="1"/>
  <c r="O224" i="12" a="1"/>
  <c r="O307" i="12" a="1"/>
  <c r="O109" i="12" a="1"/>
  <c r="O203" i="12" a="1"/>
  <c r="O246" i="12" a="1"/>
  <c r="O308" i="12" a="1"/>
  <c r="O208" i="12" a="1"/>
  <c r="O312" i="12" a="1"/>
  <c r="O187" i="12" a="1"/>
  <c r="O230" i="12" a="1"/>
  <c r="O251" i="12" a="1"/>
  <c r="O294" i="12" a="1"/>
  <c r="O128" i="12" a="1"/>
  <c r="O192" i="12" a="1"/>
  <c r="O298" i="12" a="1"/>
  <c r="O2" i="12" a="1"/>
  <c r="P275" i="14" l="1"/>
  <c r="P224" i="14"/>
  <c r="P313" i="14"/>
  <c r="P262" i="14"/>
  <c r="P249" i="14"/>
  <c r="P236" i="14"/>
  <c r="P204" i="14"/>
  <c r="P198" i="14"/>
  <c r="P187" i="14"/>
  <c r="P178" i="14"/>
  <c r="P162" i="14"/>
  <c r="P146" i="14"/>
  <c r="P288" i="14"/>
  <c r="P237" i="14"/>
  <c r="P268" i="14"/>
  <c r="P261" i="14"/>
  <c r="P122" i="14"/>
  <c r="P282" i="14"/>
  <c r="P218" i="14"/>
  <c r="P255" i="14"/>
  <c r="P293" i="14"/>
  <c r="P267" i="14"/>
  <c r="P229" i="14"/>
  <c r="P305" i="14"/>
  <c r="P279" i="14"/>
  <c r="P254" i="14"/>
  <c r="P241" i="14"/>
  <c r="P222" i="14"/>
  <c r="P195" i="14"/>
  <c r="P186" i="14"/>
  <c r="P174" i="14"/>
  <c r="P158" i="14"/>
  <c r="P142" i="14"/>
  <c r="P307" i="14"/>
  <c r="P256" i="14"/>
  <c r="P211" i="14"/>
  <c r="P294" i="14"/>
  <c r="P217" i="14"/>
  <c r="P312" i="14"/>
  <c r="P274" i="14"/>
  <c r="P210" i="14"/>
  <c r="P247" i="14"/>
  <c r="P266" i="14"/>
  <c r="P183" i="14"/>
  <c r="P250" i="14"/>
  <c r="P190" i="14"/>
  <c r="P300" i="14"/>
  <c r="P223" i="14"/>
  <c r="P306" i="14"/>
  <c r="P248" i="14"/>
  <c r="P216" i="14"/>
  <c r="P292" i="14"/>
  <c r="P260" i="14"/>
  <c r="P215" i="14"/>
  <c r="P285" i="14"/>
  <c r="P259" i="14"/>
  <c r="P240" i="14"/>
  <c r="P227" i="14"/>
  <c r="P202" i="14"/>
  <c r="P316" i="14"/>
  <c r="P310" i="14"/>
  <c r="P303" i="14"/>
  <c r="P297" i="14"/>
  <c r="P284" i="14"/>
  <c r="P278" i="14"/>
  <c r="P271" i="14"/>
  <c r="P265" i="14"/>
  <c r="P252" i="14"/>
  <c r="P246" i="14"/>
  <c r="P239" i="14"/>
  <c r="P233" i="14"/>
  <c r="P220" i="14"/>
  <c r="P214" i="14"/>
  <c r="P207" i="14"/>
  <c r="P201" i="14"/>
  <c r="P194" i="14"/>
  <c r="P170" i="14"/>
  <c r="P154" i="14"/>
  <c r="P138" i="14"/>
  <c r="P301" i="14"/>
  <c r="P243" i="14"/>
  <c r="P205" i="14"/>
  <c r="P281" i="14"/>
  <c r="P230" i="14"/>
  <c r="P280" i="14"/>
  <c r="P235" i="14"/>
  <c r="P203" i="14"/>
  <c r="P311" i="14"/>
  <c r="P273" i="14"/>
  <c r="P209" i="14"/>
  <c r="P304" i="14"/>
  <c r="P291" i="14"/>
  <c r="P253" i="14"/>
  <c r="P234" i="14"/>
  <c r="P221" i="14"/>
  <c r="P208" i="14"/>
  <c r="P315" i="14"/>
  <c r="P309" i="14"/>
  <c r="P296" i="14"/>
  <c r="P290" i="14"/>
  <c r="P283" i="14"/>
  <c r="P277" i="14"/>
  <c r="P264" i="14"/>
  <c r="P258" i="14"/>
  <c r="P251" i="14"/>
  <c r="P245" i="14"/>
  <c r="P232" i="14"/>
  <c r="P226" i="14"/>
  <c r="P219" i="14"/>
  <c r="P213" i="14"/>
  <c r="P200" i="14"/>
  <c r="P191" i="14"/>
  <c r="P182" i="14"/>
  <c r="P314" i="14"/>
  <c r="P269" i="14"/>
  <c r="P287" i="14"/>
  <c r="P299" i="14"/>
  <c r="P242" i="14"/>
  <c r="P196" i="14"/>
  <c r="P286" i="14"/>
  <c r="P228" i="14"/>
  <c r="P298" i="14"/>
  <c r="P272" i="14"/>
  <c r="P308" i="14"/>
  <c r="P302" i="14"/>
  <c r="P295" i="14"/>
  <c r="P289" i="14"/>
  <c r="P276" i="14"/>
  <c r="P270" i="14"/>
  <c r="P263" i="14"/>
  <c r="P257" i="14"/>
  <c r="P244" i="14"/>
  <c r="P238" i="14"/>
  <c r="P231" i="14"/>
  <c r="P225" i="14"/>
  <c r="P212" i="14"/>
  <c r="P206" i="14"/>
  <c r="P199" i="14"/>
  <c r="P179" i="14"/>
  <c r="P166" i="14"/>
  <c r="P150" i="14"/>
  <c r="P134" i="14"/>
  <c r="P130" i="14"/>
  <c r="P126" i="14"/>
  <c r="P118" i="14"/>
  <c r="P114" i="14"/>
  <c r="P110" i="14"/>
  <c r="P106" i="14"/>
  <c r="P102" i="14"/>
  <c r="P98" i="14"/>
  <c r="P94" i="14"/>
  <c r="P90" i="14"/>
  <c r="P86" i="14"/>
  <c r="P82" i="14"/>
  <c r="P78" i="14"/>
  <c r="P74" i="14"/>
  <c r="P70" i="14"/>
  <c r="P66" i="14"/>
  <c r="P62" i="14"/>
  <c r="P58" i="14"/>
  <c r="P54" i="14"/>
  <c r="P50" i="14"/>
  <c r="P46" i="14"/>
  <c r="P42" i="14"/>
  <c r="P38" i="14"/>
  <c r="P34" i="14"/>
  <c r="P30" i="14"/>
  <c r="P26" i="14"/>
  <c r="P22" i="14"/>
  <c r="P18" i="14"/>
  <c r="P14" i="14"/>
  <c r="P10" i="14"/>
  <c r="P6" i="14"/>
  <c r="P197" i="14"/>
  <c r="P189" i="14"/>
  <c r="P181" i="14"/>
  <c r="P173" i="14"/>
  <c r="P165" i="14"/>
  <c r="P157" i="14"/>
  <c r="P149" i="14"/>
  <c r="P141" i="14"/>
  <c r="P133" i="14"/>
  <c r="P129" i="14"/>
  <c r="P125" i="14"/>
  <c r="P121" i="14"/>
  <c r="P117" i="14"/>
  <c r="P113" i="14"/>
  <c r="P109" i="14"/>
  <c r="P105" i="14"/>
  <c r="P97" i="14"/>
  <c r="P93" i="14"/>
  <c r="P89" i="14"/>
  <c r="P85" i="14"/>
  <c r="P81" i="14"/>
  <c r="P77" i="14"/>
  <c r="P73" i="14"/>
  <c r="P69" i="14"/>
  <c r="P65" i="14"/>
  <c r="P61" i="14"/>
  <c r="P57" i="14"/>
  <c r="P53" i="14"/>
  <c r="P49" i="14"/>
  <c r="P45" i="14"/>
  <c r="P41" i="14"/>
  <c r="P37" i="14"/>
  <c r="P33" i="14"/>
  <c r="P29" i="14"/>
  <c r="P25" i="14"/>
  <c r="P21" i="14"/>
  <c r="P17" i="14"/>
  <c r="P13" i="14"/>
  <c r="P9" i="14"/>
  <c r="P5" i="14"/>
  <c r="P193" i="14"/>
  <c r="P185" i="14"/>
  <c r="P177" i="14"/>
  <c r="P169" i="14"/>
  <c r="P161" i="14"/>
  <c r="P153" i="14"/>
  <c r="P145" i="14"/>
  <c r="P137" i="14"/>
  <c r="P101" i="14"/>
  <c r="P192" i="14"/>
  <c r="P184" i="14"/>
  <c r="P176" i="14"/>
  <c r="P168" i="14"/>
  <c r="P160" i="14"/>
  <c r="P148" i="14"/>
  <c r="P140" i="14"/>
  <c r="P136" i="14"/>
  <c r="P128" i="14"/>
  <c r="P124" i="14"/>
  <c r="P120" i="14"/>
  <c r="P116" i="14"/>
  <c r="P112" i="14"/>
  <c r="P108" i="14"/>
  <c r="P104" i="14"/>
  <c r="P96" i="14"/>
  <c r="P92" i="14"/>
  <c r="P88" i="14"/>
  <c r="P84" i="14"/>
  <c r="P80" i="14"/>
  <c r="P76" i="14"/>
  <c r="P72" i="14"/>
  <c r="P68" i="14"/>
  <c r="P64" i="14"/>
  <c r="P60" i="14"/>
  <c r="P56" i="14"/>
  <c r="P52" i="14"/>
  <c r="P48" i="14"/>
  <c r="P44" i="14"/>
  <c r="P40" i="14"/>
  <c r="P36" i="14"/>
  <c r="P32" i="14"/>
  <c r="P28" i="14"/>
  <c r="P24" i="14"/>
  <c r="P20" i="14"/>
  <c r="P16" i="14"/>
  <c r="P12" i="14"/>
  <c r="P8" i="14"/>
  <c r="P4" i="14"/>
  <c r="P188" i="14"/>
  <c r="P180" i="14"/>
  <c r="P172" i="14"/>
  <c r="P164" i="14"/>
  <c r="P156" i="14"/>
  <c r="P152" i="14"/>
  <c r="P144" i="14"/>
  <c r="P132" i="14"/>
  <c r="P100" i="14"/>
  <c r="P175" i="14"/>
  <c r="P171" i="14"/>
  <c r="P167" i="14"/>
  <c r="P163" i="14"/>
  <c r="P159" i="14"/>
  <c r="P155" i="14"/>
  <c r="P151" i="14"/>
  <c r="P147" i="14"/>
  <c r="P143" i="14"/>
  <c r="P139" i="14"/>
  <c r="P135" i="14"/>
  <c r="P131" i="14"/>
  <c r="P127" i="14"/>
  <c r="P123" i="14"/>
  <c r="P119" i="14"/>
  <c r="P115" i="14"/>
  <c r="P111" i="14"/>
  <c r="P107" i="14"/>
  <c r="P103" i="14"/>
  <c r="P99" i="14"/>
  <c r="P95" i="14"/>
  <c r="P91" i="14"/>
  <c r="P87" i="14"/>
  <c r="P83" i="14"/>
  <c r="P79" i="14"/>
  <c r="P75" i="14"/>
  <c r="P71" i="14"/>
  <c r="P67" i="14"/>
  <c r="P63" i="14"/>
  <c r="P59" i="14"/>
  <c r="P55" i="14"/>
  <c r="P51" i="14"/>
  <c r="P47" i="14"/>
  <c r="P43" i="14"/>
  <c r="P39" i="14"/>
  <c r="P35" i="14"/>
  <c r="P31" i="14"/>
  <c r="P27" i="14"/>
  <c r="P23" i="14"/>
  <c r="P19" i="14"/>
  <c r="P15" i="14"/>
  <c r="P11" i="14"/>
  <c r="P7" i="14"/>
  <c r="P3" i="14"/>
  <c r="P2" i="14"/>
  <c r="O298" i="12"/>
  <c r="O192" i="12"/>
  <c r="O128" i="12"/>
  <c r="O294" i="12"/>
  <c r="O251" i="12"/>
  <c r="O230" i="12"/>
  <c r="O187" i="12"/>
  <c r="O312" i="12"/>
  <c r="O208" i="12"/>
  <c r="O308" i="12"/>
  <c r="O246" i="12"/>
  <c r="O203" i="12"/>
  <c r="O109" i="12"/>
  <c r="O307" i="12"/>
  <c r="O224" i="12"/>
  <c r="O303" i="12"/>
  <c r="O262" i="12"/>
  <c r="O219" i="12"/>
  <c r="O145" i="12"/>
  <c r="O240" i="12"/>
  <c r="O176" i="12"/>
  <c r="O139" i="12"/>
  <c r="O256" i="12"/>
  <c r="O166" i="12"/>
  <c r="O273" i="12"/>
  <c r="O209" i="12"/>
  <c r="O161" i="12"/>
  <c r="O272" i="12"/>
  <c r="O160" i="12"/>
  <c r="O289" i="12"/>
  <c r="O267" i="12"/>
  <c r="O225" i="12"/>
  <c r="O182" i="12"/>
  <c r="O155" i="12"/>
  <c r="O288" i="12"/>
  <c r="O150" i="12"/>
  <c r="O283" i="12"/>
  <c r="O241" i="12"/>
  <c r="O198" i="12"/>
  <c r="O177" i="12"/>
  <c r="O278" i="12"/>
  <c r="O257" i="12"/>
  <c r="O235" i="12"/>
  <c r="O214" i="12"/>
  <c r="O193" i="12"/>
  <c r="O171" i="12"/>
  <c r="O134" i="12"/>
  <c r="O144" i="12"/>
  <c r="O121" i="12"/>
  <c r="O114" i="12"/>
  <c r="O101" i="12"/>
  <c r="O93" i="12"/>
  <c r="O85" i="12"/>
  <c r="O77" i="12"/>
  <c r="O69" i="12"/>
  <c r="O61" i="12"/>
  <c r="O53" i="12"/>
  <c r="O45" i="12"/>
  <c r="O37" i="12"/>
  <c r="O29" i="12"/>
  <c r="O21" i="12"/>
  <c r="O13" i="12"/>
  <c r="O271" i="12"/>
  <c r="O234" i="12"/>
  <c r="O207" i="12"/>
  <c r="O191" i="12"/>
  <c r="O175" i="12"/>
  <c r="O170" i="12"/>
  <c r="O165" i="12"/>
  <c r="O159" i="12"/>
  <c r="O154" i="12"/>
  <c r="O149" i="12"/>
  <c r="O143" i="12"/>
  <c r="O138" i="12"/>
  <c r="O133" i="12"/>
  <c r="O126" i="12"/>
  <c r="O120" i="12"/>
  <c r="O106" i="12"/>
  <c r="O293" i="12"/>
  <c r="O261" i="12"/>
  <c r="O229" i="12"/>
  <c r="O306" i="12"/>
  <c r="O244" i="12"/>
  <c r="O113" i="12"/>
  <c r="O98" i="12"/>
  <c r="O82" i="12"/>
  <c r="O58" i="12"/>
  <c r="O50" i="12"/>
  <c r="O42" i="12"/>
  <c r="O34" i="12"/>
  <c r="O26" i="12"/>
  <c r="O18" i="12"/>
  <c r="O10" i="12"/>
  <c r="O287" i="12"/>
  <c r="O255" i="12"/>
  <c r="O218" i="12"/>
  <c r="O181" i="12"/>
  <c r="O212" i="12"/>
  <c r="O265" i="12"/>
  <c r="O153" i="12"/>
  <c r="O302" i="12"/>
  <c r="O277" i="12"/>
  <c r="O245" i="12"/>
  <c r="O213" i="12"/>
  <c r="O197" i="12"/>
  <c r="O297" i="12"/>
  <c r="O260" i="12"/>
  <c r="O196" i="12"/>
  <c r="O164" i="12"/>
  <c r="O74" i="12"/>
  <c r="O301" i="12"/>
  <c r="O286" i="12"/>
  <c r="O270" i="12"/>
  <c r="O249" i="12"/>
  <c r="O238" i="12"/>
  <c r="O222" i="12"/>
  <c r="O201" i="12"/>
  <c r="O185" i="12"/>
  <c r="O169" i="12"/>
  <c r="O147" i="12"/>
  <c r="O118" i="12"/>
  <c r="O136" i="12"/>
  <c r="O89" i="12"/>
  <c r="O65" i="12"/>
  <c r="O57" i="12"/>
  <c r="O49" i="12"/>
  <c r="O25" i="12"/>
  <c r="O17" i="12"/>
  <c r="O9" i="12"/>
  <c r="O311" i="12"/>
  <c r="O266" i="12"/>
  <c r="O239" i="12"/>
  <c r="O202" i="12"/>
  <c r="O315" i="12"/>
  <c r="O276" i="12"/>
  <c r="O148" i="12"/>
  <c r="O90" i="12"/>
  <c r="O310" i="12"/>
  <c r="O281" i="12"/>
  <c r="O254" i="12"/>
  <c r="O233" i="12"/>
  <c r="O217" i="12"/>
  <c r="O206" i="12"/>
  <c r="O190" i="12"/>
  <c r="O174" i="12"/>
  <c r="O158" i="12"/>
  <c r="O137" i="12"/>
  <c r="O112" i="12"/>
  <c r="O314" i="12"/>
  <c r="O296" i="12"/>
  <c r="O248" i="12"/>
  <c r="O232" i="12"/>
  <c r="O200" i="12"/>
  <c r="O168" i="12"/>
  <c r="O124" i="12"/>
  <c r="O104" i="12"/>
  <c r="O73" i="12"/>
  <c r="O41" i="12"/>
  <c r="O309" i="12"/>
  <c r="O295" i="12"/>
  <c r="O285" i="12"/>
  <c r="O274" i="12"/>
  <c r="O269" i="12"/>
  <c r="O263" i="12"/>
  <c r="O258" i="12"/>
  <c r="O253" i="12"/>
  <c r="O247" i="12"/>
  <c r="O242" i="12"/>
  <c r="O237" i="12"/>
  <c r="O231" i="12"/>
  <c r="O226" i="12"/>
  <c r="O221" i="12"/>
  <c r="O215" i="12"/>
  <c r="O210" i="12"/>
  <c r="O205" i="12"/>
  <c r="O199" i="12"/>
  <c r="O194" i="12"/>
  <c r="O189" i="12"/>
  <c r="O183" i="12"/>
  <c r="O178" i="12"/>
  <c r="O173" i="12"/>
  <c r="O167" i="12"/>
  <c r="O162" i="12"/>
  <c r="O157" i="12"/>
  <c r="O151" i="12"/>
  <c r="O146" i="12"/>
  <c r="O141" i="12"/>
  <c r="O135" i="12"/>
  <c r="O117" i="12"/>
  <c r="O110" i="12"/>
  <c r="O316" i="12"/>
  <c r="O282" i="12"/>
  <c r="O250" i="12"/>
  <c r="O223" i="12"/>
  <c r="O186" i="12"/>
  <c r="O292" i="12"/>
  <c r="O228" i="12"/>
  <c r="O180" i="12"/>
  <c r="O132" i="12"/>
  <c r="O66" i="12"/>
  <c r="O291" i="12"/>
  <c r="O275" i="12"/>
  <c r="O259" i="12"/>
  <c r="O243" i="12"/>
  <c r="O227" i="12"/>
  <c r="O211" i="12"/>
  <c r="O195" i="12"/>
  <c r="O179" i="12"/>
  <c r="O163" i="12"/>
  <c r="O142" i="12"/>
  <c r="O125" i="12"/>
  <c r="O105" i="12"/>
  <c r="O305" i="12"/>
  <c r="O280" i="12"/>
  <c r="O264" i="12"/>
  <c r="O216" i="12"/>
  <c r="O184" i="12"/>
  <c r="O152" i="12"/>
  <c r="O130" i="12"/>
  <c r="O97" i="12"/>
  <c r="O81" i="12"/>
  <c r="O33" i="12"/>
  <c r="O300" i="12"/>
  <c r="O290" i="12"/>
  <c r="O279" i="12"/>
  <c r="O313" i="12"/>
  <c r="O304" i="12"/>
  <c r="O299" i="12"/>
  <c r="O284" i="12"/>
  <c r="O268" i="12"/>
  <c r="O252" i="12"/>
  <c r="O236" i="12"/>
  <c r="O220" i="12"/>
  <c r="O204" i="12"/>
  <c r="O188" i="12"/>
  <c r="O172" i="12"/>
  <c r="O156" i="12"/>
  <c r="O140" i="12"/>
  <c r="O129" i="12"/>
  <c r="O122" i="12"/>
  <c r="O116" i="12"/>
  <c r="O102" i="12"/>
  <c r="O94" i="12"/>
  <c r="O86" i="12"/>
  <c r="O78" i="12"/>
  <c r="O70" i="12"/>
  <c r="O62" i="12"/>
  <c r="O54" i="12"/>
  <c r="O46" i="12"/>
  <c r="O38" i="12"/>
  <c r="O30" i="12"/>
  <c r="O22" i="12"/>
  <c r="O14" i="12"/>
  <c r="O6" i="12"/>
  <c r="O5" i="12"/>
  <c r="O108" i="12"/>
  <c r="O100" i="12"/>
  <c r="O92" i="12"/>
  <c r="O84" i="12"/>
  <c r="O72" i="12"/>
  <c r="O64" i="12"/>
  <c r="O56" i="12"/>
  <c r="O48" i="12"/>
  <c r="O40" i="12"/>
  <c r="O36" i="12"/>
  <c r="O32" i="12"/>
  <c r="O28" i="12"/>
  <c r="O24" i="12"/>
  <c r="O20" i="12"/>
  <c r="O12" i="12"/>
  <c r="O8" i="12"/>
  <c r="O4" i="12"/>
  <c r="O96" i="12"/>
  <c r="O88" i="12"/>
  <c r="O80" i="12"/>
  <c r="O76" i="12"/>
  <c r="O68" i="12"/>
  <c r="O60" i="12"/>
  <c r="O52" i="12"/>
  <c r="O44" i="12"/>
  <c r="O16" i="12"/>
  <c r="O131" i="12"/>
  <c r="O127" i="12"/>
  <c r="O123" i="12"/>
  <c r="O119" i="12"/>
  <c r="O115" i="12"/>
  <c r="O111" i="12"/>
  <c r="O107" i="12"/>
  <c r="O103" i="12"/>
  <c r="O99" i="12"/>
  <c r="O95" i="12"/>
  <c r="O91" i="12"/>
  <c r="O87" i="12"/>
  <c r="O83" i="12"/>
  <c r="O79" i="12"/>
  <c r="O75" i="12"/>
  <c r="O71" i="12"/>
  <c r="O67" i="12"/>
  <c r="O63" i="12"/>
  <c r="O59" i="12"/>
  <c r="O55" i="12"/>
  <c r="O51" i="12"/>
  <c r="O47" i="12"/>
  <c r="O43" i="12"/>
  <c r="O39" i="12"/>
  <c r="O35" i="12"/>
  <c r="O31" i="12"/>
  <c r="O27" i="12"/>
  <c r="O23" i="12"/>
  <c r="O19" i="12"/>
  <c r="O15" i="12"/>
  <c r="O11" i="12"/>
  <c r="O7" i="12"/>
  <c r="O3" i="12"/>
  <c r="O2" i="12"/>
  <c r="N316" i="14"/>
  <c r="N315" i="14"/>
  <c r="N314" i="14"/>
  <c r="N313" i="14"/>
  <c r="N312" i="14"/>
  <c r="N311" i="14"/>
  <c r="N310" i="14"/>
  <c r="N309" i="14"/>
  <c r="N308" i="14"/>
  <c r="N307" i="14"/>
  <c r="N306" i="14"/>
  <c r="N305" i="14"/>
  <c r="N304" i="14"/>
  <c r="N303" i="14"/>
  <c r="N302" i="14"/>
  <c r="N301" i="14"/>
  <c r="N300" i="14"/>
  <c r="N299" i="14"/>
  <c r="N298" i="14"/>
  <c r="N297" i="14"/>
  <c r="N296" i="14"/>
  <c r="N295" i="14"/>
  <c r="N294" i="14"/>
  <c r="N293" i="14"/>
  <c r="N292" i="14"/>
  <c r="N291" i="14"/>
  <c r="N290" i="14"/>
  <c r="N289" i="14"/>
  <c r="N288" i="14"/>
  <c r="N287" i="14"/>
  <c r="N286" i="14"/>
  <c r="N285" i="14"/>
  <c r="N284" i="14"/>
  <c r="N283" i="14"/>
  <c r="N282" i="14"/>
  <c r="N281" i="14"/>
  <c r="N280" i="14"/>
  <c r="N279" i="14"/>
  <c r="N278" i="14"/>
  <c r="N277" i="14"/>
  <c r="N276" i="14"/>
  <c r="N275" i="14"/>
  <c r="N274" i="14"/>
  <c r="N273" i="14"/>
  <c r="N272" i="14"/>
  <c r="N271" i="14"/>
  <c r="N270" i="14"/>
  <c r="N269" i="14"/>
  <c r="N268" i="14"/>
  <c r="N267" i="14"/>
  <c r="N266" i="14"/>
  <c r="N265" i="14"/>
  <c r="N264" i="14"/>
  <c r="N263" i="14"/>
  <c r="N262" i="14"/>
  <c r="N261" i="14"/>
  <c r="N260" i="14"/>
  <c r="N259" i="14"/>
  <c r="N258" i="14"/>
  <c r="N257" i="14"/>
  <c r="N256" i="14"/>
  <c r="N255" i="14"/>
  <c r="N254" i="14"/>
  <c r="N253" i="14"/>
  <c r="N252" i="14"/>
  <c r="N251" i="14"/>
  <c r="N250" i="14"/>
  <c r="N249" i="14"/>
  <c r="N248" i="14"/>
  <c r="N247" i="14"/>
  <c r="N246" i="14"/>
  <c r="N245" i="14"/>
  <c r="N244" i="14"/>
  <c r="N243" i="14"/>
  <c r="N242" i="14"/>
  <c r="N241" i="14"/>
  <c r="N240" i="14"/>
  <c r="N239" i="14"/>
  <c r="N238" i="14"/>
  <c r="N237" i="14"/>
  <c r="N236" i="14"/>
  <c r="N235" i="14"/>
  <c r="N234" i="14"/>
  <c r="N233" i="14"/>
  <c r="N232" i="14"/>
  <c r="N231" i="14"/>
  <c r="N230" i="14"/>
  <c r="N229" i="14"/>
  <c r="N228" i="14"/>
  <c r="N227" i="14"/>
  <c r="N226" i="14"/>
  <c r="N225" i="14"/>
  <c r="N224" i="14"/>
  <c r="N223" i="14"/>
  <c r="N222" i="14"/>
  <c r="N221" i="14"/>
  <c r="N220" i="14"/>
  <c r="N219" i="14"/>
  <c r="N218" i="14"/>
  <c r="N217" i="14"/>
  <c r="N216" i="14"/>
  <c r="N215" i="14"/>
  <c r="N214" i="14"/>
  <c r="N213" i="14"/>
  <c r="N212" i="14"/>
  <c r="N211" i="14"/>
  <c r="N210" i="14"/>
  <c r="N209" i="14"/>
  <c r="N208" i="14"/>
  <c r="N207" i="14"/>
  <c r="N206" i="14"/>
  <c r="N205" i="14"/>
  <c r="N204" i="14"/>
  <c r="N203" i="14"/>
  <c r="N202" i="14"/>
  <c r="N201" i="14"/>
  <c r="N200" i="14"/>
  <c r="N199" i="14"/>
  <c r="N198" i="14"/>
  <c r="N197" i="14"/>
  <c r="N196" i="14"/>
  <c r="N195" i="14"/>
  <c r="N194" i="14"/>
  <c r="N193" i="14"/>
  <c r="N192" i="14"/>
  <c r="N191" i="14"/>
  <c r="N190" i="14"/>
  <c r="N189" i="14"/>
  <c r="N188" i="14"/>
  <c r="N187" i="14"/>
  <c r="N186" i="14"/>
  <c r="N185" i="14"/>
  <c r="N184" i="14"/>
  <c r="N183" i="14"/>
  <c r="N182" i="14"/>
  <c r="N181" i="14"/>
  <c r="N180" i="14"/>
  <c r="N179" i="14"/>
  <c r="N178" i="14"/>
  <c r="N177" i="14"/>
  <c r="N176" i="14"/>
  <c r="N175" i="14"/>
  <c r="N174" i="14"/>
  <c r="N173" i="14"/>
  <c r="N172" i="14"/>
  <c r="N171" i="14"/>
  <c r="N170" i="14"/>
  <c r="N169" i="14"/>
  <c r="N168" i="14"/>
  <c r="N167" i="14"/>
  <c r="N166" i="14"/>
  <c r="N165" i="14"/>
  <c r="N164" i="14"/>
  <c r="N163" i="14"/>
  <c r="N162" i="14"/>
  <c r="N161" i="14"/>
  <c r="N160" i="14"/>
  <c r="N159" i="14"/>
  <c r="N158" i="14"/>
  <c r="N157" i="14"/>
  <c r="N156" i="14"/>
  <c r="N155" i="14"/>
  <c r="N154" i="14"/>
  <c r="N153" i="14"/>
  <c r="N152" i="14"/>
  <c r="N151" i="14"/>
  <c r="N150" i="14"/>
  <c r="N149" i="14"/>
  <c r="N148" i="14"/>
  <c r="N147" i="14"/>
  <c r="N146" i="14"/>
  <c r="N145" i="14"/>
  <c r="N144" i="14"/>
  <c r="N143" i="14"/>
  <c r="N142" i="14"/>
  <c r="N141" i="14"/>
  <c r="N140" i="14"/>
  <c r="N139" i="14"/>
  <c r="N138" i="14"/>
  <c r="N137" i="14"/>
  <c r="N136" i="14"/>
  <c r="N135" i="14"/>
  <c r="N134" i="14"/>
  <c r="N133" i="14"/>
  <c r="N132" i="14"/>
  <c r="N131" i="14"/>
  <c r="N130" i="14"/>
  <c r="N129" i="14"/>
  <c r="N128" i="14"/>
  <c r="N127" i="14"/>
  <c r="N126" i="14"/>
  <c r="N125" i="14"/>
  <c r="N124" i="14"/>
  <c r="N123" i="14"/>
  <c r="N122" i="14"/>
  <c r="N121" i="14"/>
  <c r="N120" i="14"/>
  <c r="N119" i="14"/>
  <c r="N118" i="14"/>
  <c r="N117" i="14"/>
  <c r="N116" i="14"/>
  <c r="N115" i="14"/>
  <c r="N114" i="14"/>
  <c r="N113" i="14"/>
  <c r="N112" i="14"/>
  <c r="N111" i="14"/>
  <c r="N110" i="14"/>
  <c r="N109" i="14"/>
  <c r="N108" i="14"/>
  <c r="N107" i="14"/>
  <c r="N106" i="14"/>
  <c r="N105" i="14"/>
  <c r="N104" i="14"/>
  <c r="N103" i="14"/>
  <c r="N102" i="14"/>
  <c r="N101" i="14"/>
  <c r="N100" i="14"/>
  <c r="N99" i="14"/>
  <c r="N98" i="14"/>
  <c r="N97" i="14"/>
  <c r="N96" i="14"/>
  <c r="N95" i="14"/>
  <c r="N94" i="14"/>
  <c r="N93" i="14"/>
  <c r="N92" i="14"/>
  <c r="N91" i="14"/>
  <c r="N90" i="14"/>
  <c r="N89" i="14"/>
  <c r="N88" i="14"/>
  <c r="N87" i="14"/>
  <c r="N86" i="14"/>
  <c r="N85" i="14"/>
  <c r="N84" i="14"/>
  <c r="N83" i="14"/>
  <c r="N82" i="14"/>
  <c r="N81" i="14"/>
  <c r="N80" i="14"/>
  <c r="N79" i="14"/>
  <c r="N78" i="14"/>
  <c r="N77" i="14"/>
  <c r="N76" i="14"/>
  <c r="N75" i="14"/>
  <c r="N74" i="14"/>
  <c r="N73" i="14"/>
  <c r="N72" i="14"/>
  <c r="N71" i="14"/>
  <c r="N70" i="14"/>
  <c r="N69" i="14"/>
  <c r="N68" i="14"/>
  <c r="N67" i="14"/>
  <c r="N66" i="14"/>
  <c r="N65" i="14"/>
  <c r="N64" i="14"/>
  <c r="N63" i="14"/>
  <c r="N62" i="14"/>
  <c r="N61" i="14"/>
  <c r="N60" i="14"/>
  <c r="N59" i="14"/>
  <c r="N58" i="14"/>
  <c r="N57" i="14"/>
  <c r="N56" i="14"/>
  <c r="N55" i="14"/>
  <c r="N54" i="14"/>
  <c r="N53" i="14"/>
  <c r="N52" i="14"/>
  <c r="N51" i="14"/>
  <c r="N50" i="14"/>
  <c r="N49" i="14"/>
  <c r="N48" i="14"/>
  <c r="N47" i="14"/>
  <c r="N46" i="14"/>
  <c r="N45" i="14"/>
  <c r="N44" i="14"/>
  <c r="N43" i="14"/>
  <c r="N42" i="14"/>
  <c r="N41" i="14"/>
  <c r="N40" i="14"/>
  <c r="N39" i="14"/>
  <c r="N38" i="14"/>
  <c r="N37" i="14"/>
  <c r="N36" i="14"/>
  <c r="N35" i="14"/>
  <c r="N34" i="14"/>
  <c r="N33" i="14"/>
  <c r="N32" i="14"/>
  <c r="N31" i="14"/>
  <c r="N30" i="14"/>
  <c r="N29" i="14"/>
  <c r="N28" i="14"/>
  <c r="N27" i="14"/>
  <c r="N26" i="14"/>
  <c r="N25" i="14"/>
  <c r="N24" i="14"/>
  <c r="N23" i="14"/>
  <c r="N22" i="14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G109" i="7"/>
  <c r="G108" i="7"/>
  <c r="G105" i="7"/>
  <c r="G104" i="7"/>
  <c r="H93" i="7"/>
  <c r="G93" i="7"/>
  <c r="H92" i="7"/>
  <c r="G92" i="7"/>
  <c r="H88" i="7"/>
  <c r="H89" i="7"/>
  <c r="G89" i="7"/>
  <c r="G88" i="7"/>
  <c r="E110" i="7"/>
  <c r="E106" i="7"/>
  <c r="E114" i="7"/>
  <c r="E113" i="7"/>
  <c r="C114" i="7"/>
  <c r="C113" i="7"/>
  <c r="C110" i="7"/>
  <c r="C106" i="7"/>
  <c r="D97" i="7"/>
  <c r="E97" i="7"/>
  <c r="F97" i="7"/>
  <c r="D98" i="7"/>
  <c r="E98" i="7"/>
  <c r="F98" i="7"/>
  <c r="C98" i="7"/>
  <c r="C97" i="7"/>
  <c r="D94" i="7"/>
  <c r="E94" i="7"/>
  <c r="F94" i="7"/>
  <c r="C94" i="7"/>
  <c r="D90" i="7"/>
  <c r="E90" i="7"/>
  <c r="F90" i="7"/>
  <c r="C90" i="7"/>
  <c r="T3" i="2"/>
  <c r="M2" i="1" a="1"/>
  <c r="M6" i="1" a="1"/>
  <c r="M2" i="1" l="1"/>
  <c r="M6" i="1"/>
  <c r="N8" i="12"/>
  <c r="N15" i="12"/>
  <c r="N22" i="12"/>
  <c r="N37" i="12"/>
  <c r="N43" i="12"/>
  <c r="N49" i="12"/>
  <c r="N57" i="12"/>
  <c r="N90" i="12"/>
  <c r="N96" i="12"/>
  <c r="N62" i="12"/>
  <c r="N106" i="12"/>
  <c r="N113" i="12"/>
  <c r="N120" i="12"/>
  <c r="N138" i="12"/>
  <c r="N145" i="12"/>
  <c r="N152" i="12"/>
  <c r="N155" i="12"/>
  <c r="N162" i="12"/>
  <c r="N169" i="12"/>
  <c r="N177" i="12"/>
  <c r="N74" i="12"/>
  <c r="N200" i="12"/>
  <c r="N206" i="12"/>
  <c r="N81" i="12"/>
  <c r="N217" i="12"/>
  <c r="N220" i="12"/>
  <c r="N224" i="12"/>
  <c r="N181" i="12"/>
  <c r="N228" i="12"/>
  <c r="N254" i="12"/>
  <c r="N230" i="12"/>
  <c r="N242" i="12"/>
  <c r="N246" i="12"/>
  <c r="N271" i="12"/>
  <c r="N275" i="12"/>
  <c r="N289" i="12"/>
  <c r="N298" i="12"/>
  <c r="N293" i="12"/>
  <c r="N306" i="12"/>
  <c r="M17" i="12"/>
  <c r="N17" i="12" s="1"/>
  <c r="M3" i="12"/>
  <c r="N3" i="12" s="1"/>
  <c r="M4" i="12"/>
  <c r="N4" i="12" s="1"/>
  <c r="M5" i="12"/>
  <c r="N5" i="12" s="1"/>
  <c r="M6" i="12"/>
  <c r="N6" i="12" s="1"/>
  <c r="M7" i="12"/>
  <c r="N7" i="12" s="1"/>
  <c r="M18" i="12"/>
  <c r="N18" i="12" s="1"/>
  <c r="M8" i="12"/>
  <c r="M19" i="12"/>
  <c r="N19" i="12" s="1"/>
  <c r="M9" i="12"/>
  <c r="N9" i="12" s="1"/>
  <c r="M10" i="12"/>
  <c r="N10" i="12" s="1"/>
  <c r="M11" i="12"/>
  <c r="N11" i="12" s="1"/>
  <c r="M12" i="12"/>
  <c r="N12" i="12" s="1"/>
  <c r="M13" i="12"/>
  <c r="N13" i="12" s="1"/>
  <c r="M14" i="12"/>
  <c r="N14" i="12" s="1"/>
  <c r="M15" i="12"/>
  <c r="M16" i="12"/>
  <c r="N16" i="12" s="1"/>
  <c r="M29" i="12"/>
  <c r="N29" i="12" s="1"/>
  <c r="M20" i="12"/>
  <c r="N20" i="12" s="1"/>
  <c r="M30" i="12"/>
  <c r="N30" i="12" s="1"/>
  <c r="M21" i="12"/>
  <c r="N21" i="12" s="1"/>
  <c r="M31" i="12"/>
  <c r="N31" i="12" s="1"/>
  <c r="M32" i="12"/>
  <c r="N32" i="12" s="1"/>
  <c r="M22" i="12"/>
  <c r="M23" i="12"/>
  <c r="N23" i="12" s="1"/>
  <c r="M33" i="12"/>
  <c r="N33" i="12" s="1"/>
  <c r="M34" i="12"/>
  <c r="N34" i="12" s="1"/>
  <c r="M35" i="12"/>
  <c r="N35" i="12" s="1"/>
  <c r="M36" i="12"/>
  <c r="N36" i="12" s="1"/>
  <c r="M24" i="12"/>
  <c r="N24" i="12" s="1"/>
  <c r="M25" i="12"/>
  <c r="N25" i="12" s="1"/>
  <c r="M37" i="12"/>
  <c r="M38" i="12"/>
  <c r="N38" i="12" s="1"/>
  <c r="M26" i="12"/>
  <c r="N26" i="12" s="1"/>
  <c r="M39" i="12"/>
  <c r="N39" i="12" s="1"/>
  <c r="M27" i="12"/>
  <c r="N27" i="12" s="1"/>
  <c r="M40" i="12"/>
  <c r="N40" i="12" s="1"/>
  <c r="M41" i="12"/>
  <c r="N41" i="12" s="1"/>
  <c r="M42" i="12"/>
  <c r="N42" i="12" s="1"/>
  <c r="M43" i="12"/>
  <c r="M44" i="12"/>
  <c r="N44" i="12" s="1"/>
  <c r="M45" i="12"/>
  <c r="N45" i="12" s="1"/>
  <c r="M46" i="12"/>
  <c r="N46" i="12" s="1"/>
  <c r="M47" i="12"/>
  <c r="N47" i="12" s="1"/>
  <c r="M28" i="12"/>
  <c r="N28" i="12" s="1"/>
  <c r="M55" i="12"/>
  <c r="N55" i="12" s="1"/>
  <c r="M48" i="12"/>
  <c r="N48" i="12" s="1"/>
  <c r="M49" i="12"/>
  <c r="M50" i="12"/>
  <c r="N50" i="12" s="1"/>
  <c r="M56" i="12"/>
  <c r="N56" i="12" s="1"/>
  <c r="M51" i="12"/>
  <c r="N51" i="12" s="1"/>
  <c r="M52" i="12"/>
  <c r="N52" i="12" s="1"/>
  <c r="M53" i="12"/>
  <c r="N53" i="12" s="1"/>
  <c r="M54" i="12"/>
  <c r="N54" i="12" s="1"/>
  <c r="M82" i="12"/>
  <c r="N82" i="12" s="1"/>
  <c r="M57" i="12"/>
  <c r="M83" i="12"/>
  <c r="N83" i="12" s="1"/>
  <c r="M84" i="12"/>
  <c r="N84" i="12" s="1"/>
  <c r="M85" i="12"/>
  <c r="N85" i="12" s="1"/>
  <c r="M86" i="12"/>
  <c r="N86" i="12" s="1"/>
  <c r="M87" i="12"/>
  <c r="N87" i="12" s="1"/>
  <c r="M88" i="12"/>
  <c r="N88" i="12" s="1"/>
  <c r="M89" i="12"/>
  <c r="N89" i="12" s="1"/>
  <c r="M90" i="12"/>
  <c r="M91" i="12"/>
  <c r="N91" i="12" s="1"/>
  <c r="M92" i="12"/>
  <c r="N92" i="12" s="1"/>
  <c r="M93" i="12"/>
  <c r="N93" i="12" s="1"/>
  <c r="M94" i="12"/>
  <c r="N94" i="12" s="1"/>
  <c r="M58" i="12"/>
  <c r="N58" i="12" s="1"/>
  <c r="M59" i="12"/>
  <c r="N59" i="12" s="1"/>
  <c r="M95" i="12"/>
  <c r="N95" i="12" s="1"/>
  <c r="M96" i="12"/>
  <c r="M97" i="12"/>
  <c r="N97" i="12" s="1"/>
  <c r="M98" i="12"/>
  <c r="N98" i="12" s="1"/>
  <c r="M60" i="12"/>
  <c r="N60" i="12" s="1"/>
  <c r="M61" i="12"/>
  <c r="N61" i="12" s="1"/>
  <c r="M99" i="12"/>
  <c r="N99" i="12" s="1"/>
  <c r="M100" i="12"/>
  <c r="N100" i="12" s="1"/>
  <c r="M101" i="12"/>
  <c r="N101" i="12" s="1"/>
  <c r="M62" i="12"/>
  <c r="M63" i="12"/>
  <c r="N63" i="12" s="1"/>
  <c r="M102" i="12"/>
  <c r="N102" i="12" s="1"/>
  <c r="M64" i="12"/>
  <c r="N64" i="12" s="1"/>
  <c r="M103" i="12"/>
  <c r="N103" i="12" s="1"/>
  <c r="M65" i="12"/>
  <c r="N65" i="12" s="1"/>
  <c r="M104" i="12"/>
  <c r="N104" i="12" s="1"/>
  <c r="M105" i="12"/>
  <c r="N105" i="12" s="1"/>
  <c r="M106" i="12"/>
  <c r="M107" i="12"/>
  <c r="N107" i="12" s="1"/>
  <c r="M108" i="12"/>
  <c r="N108" i="12" s="1"/>
  <c r="M109" i="12"/>
  <c r="N109" i="12" s="1"/>
  <c r="M110" i="12"/>
  <c r="N110" i="12" s="1"/>
  <c r="M111" i="12"/>
  <c r="N111" i="12" s="1"/>
  <c r="M112" i="12"/>
  <c r="N112" i="12" s="1"/>
  <c r="M66" i="12"/>
  <c r="N66" i="12" s="1"/>
  <c r="M113" i="12"/>
  <c r="M114" i="12"/>
  <c r="N114" i="12" s="1"/>
  <c r="M115" i="12"/>
  <c r="N115" i="12" s="1"/>
  <c r="M116" i="12"/>
  <c r="N116" i="12" s="1"/>
  <c r="M117" i="12"/>
  <c r="N117" i="12" s="1"/>
  <c r="M67" i="12"/>
  <c r="N67" i="12" s="1"/>
  <c r="M118" i="12"/>
  <c r="N118" i="12" s="1"/>
  <c r="M119" i="12"/>
  <c r="N119" i="12" s="1"/>
  <c r="M120" i="12"/>
  <c r="M121" i="12"/>
  <c r="N121" i="12" s="1"/>
  <c r="M122" i="12"/>
  <c r="N122" i="12" s="1"/>
  <c r="M123" i="12"/>
  <c r="N123" i="12" s="1"/>
  <c r="M124" i="12"/>
  <c r="N124" i="12" s="1"/>
  <c r="M135" i="12"/>
  <c r="N135" i="12" s="1"/>
  <c r="M136" i="12"/>
  <c r="N136" i="12" s="1"/>
  <c r="M137" i="12"/>
  <c r="N137" i="12" s="1"/>
  <c r="M138" i="12"/>
  <c r="M139" i="12"/>
  <c r="N139" i="12" s="1"/>
  <c r="M140" i="12"/>
  <c r="N140" i="12" s="1"/>
  <c r="M141" i="12"/>
  <c r="N141" i="12" s="1"/>
  <c r="M68" i="12"/>
  <c r="N68" i="12" s="1"/>
  <c r="M142" i="12"/>
  <c r="N142" i="12" s="1"/>
  <c r="M143" i="12"/>
  <c r="N143" i="12" s="1"/>
  <c r="M144" i="12"/>
  <c r="N144" i="12" s="1"/>
  <c r="M145" i="12"/>
  <c r="M146" i="12"/>
  <c r="N146" i="12" s="1"/>
  <c r="M147" i="12"/>
  <c r="N147" i="12" s="1"/>
  <c r="M148" i="12"/>
  <c r="N148" i="12" s="1"/>
  <c r="M69" i="12"/>
  <c r="N69" i="12" s="1"/>
  <c r="M149" i="12"/>
  <c r="N149" i="12" s="1"/>
  <c r="M150" i="12"/>
  <c r="N150" i="12" s="1"/>
  <c r="M151" i="12"/>
  <c r="N151" i="12" s="1"/>
  <c r="M152" i="12"/>
  <c r="M153" i="12"/>
  <c r="N153" i="12" s="1"/>
  <c r="M313" i="12"/>
  <c r="N313" i="12" s="1"/>
  <c r="M70" i="12"/>
  <c r="N70" i="12" s="1"/>
  <c r="M314" i="12"/>
  <c r="N314" i="12" s="1"/>
  <c r="M315" i="12"/>
  <c r="N315" i="12" s="1"/>
  <c r="M316" i="12"/>
  <c r="N316" i="12" s="1"/>
  <c r="M154" i="12"/>
  <c r="N154" i="12" s="1"/>
  <c r="M155" i="12"/>
  <c r="M156" i="12"/>
  <c r="N156" i="12" s="1"/>
  <c r="M157" i="12"/>
  <c r="N157" i="12" s="1"/>
  <c r="M158" i="12"/>
  <c r="N158" i="12" s="1"/>
  <c r="M159" i="12"/>
  <c r="N159" i="12" s="1"/>
  <c r="M160" i="12"/>
  <c r="N160" i="12" s="1"/>
  <c r="M71" i="12"/>
  <c r="N71" i="12" s="1"/>
  <c r="M161" i="12"/>
  <c r="N161" i="12" s="1"/>
  <c r="M162" i="12"/>
  <c r="M72" i="12"/>
  <c r="N72" i="12" s="1"/>
  <c r="M163" i="12"/>
  <c r="N163" i="12" s="1"/>
  <c r="M164" i="12"/>
  <c r="N164" i="12" s="1"/>
  <c r="M165" i="12"/>
  <c r="N165" i="12" s="1"/>
  <c r="M166" i="12"/>
  <c r="N166" i="12" s="1"/>
  <c r="M167" i="12"/>
  <c r="N167" i="12" s="1"/>
  <c r="M168" i="12"/>
  <c r="N168" i="12" s="1"/>
  <c r="M169" i="12"/>
  <c r="M170" i="12"/>
  <c r="N170" i="12" s="1"/>
  <c r="M171" i="12"/>
  <c r="N171" i="12" s="1"/>
  <c r="M172" i="12"/>
  <c r="N172" i="12" s="1"/>
  <c r="M173" i="12"/>
  <c r="N173" i="12" s="1"/>
  <c r="M174" i="12"/>
  <c r="N174" i="12" s="1"/>
  <c r="M175" i="12"/>
  <c r="N175" i="12" s="1"/>
  <c r="M176" i="12"/>
  <c r="N176" i="12" s="1"/>
  <c r="M177" i="12"/>
  <c r="M178" i="12"/>
  <c r="N178" i="12" s="1"/>
  <c r="M179" i="12"/>
  <c r="N179" i="12" s="1"/>
  <c r="M191" i="12"/>
  <c r="N191" i="12" s="1"/>
  <c r="M73" i="12"/>
  <c r="N73" i="12" s="1"/>
  <c r="M192" i="12"/>
  <c r="N192" i="12" s="1"/>
  <c r="M193" i="12"/>
  <c r="N193" i="12" s="1"/>
  <c r="M194" i="12"/>
  <c r="N194" i="12" s="1"/>
  <c r="M74" i="12"/>
  <c r="M195" i="12"/>
  <c r="N195" i="12" s="1"/>
  <c r="M75" i="12"/>
  <c r="N75" i="12" s="1"/>
  <c r="M196" i="12"/>
  <c r="N196" i="12" s="1"/>
  <c r="M197" i="12"/>
  <c r="N197" i="12" s="1"/>
  <c r="M198" i="12"/>
  <c r="N198" i="12" s="1"/>
  <c r="M76" i="12"/>
  <c r="N76" i="12" s="1"/>
  <c r="M199" i="12"/>
  <c r="N199" i="12" s="1"/>
  <c r="M200" i="12"/>
  <c r="M201" i="12"/>
  <c r="N201" i="12" s="1"/>
  <c r="M77" i="12"/>
  <c r="N77" i="12" s="1"/>
  <c r="M78" i="12"/>
  <c r="N78" i="12" s="1"/>
  <c r="M202" i="12"/>
  <c r="N202" i="12" s="1"/>
  <c r="M203" i="12"/>
  <c r="N203" i="12" s="1"/>
  <c r="M204" i="12"/>
  <c r="N204" i="12" s="1"/>
  <c r="M205" i="12"/>
  <c r="N205" i="12" s="1"/>
  <c r="M206" i="12"/>
  <c r="M207" i="12"/>
  <c r="N207" i="12" s="1"/>
  <c r="M208" i="12"/>
  <c r="N208" i="12" s="1"/>
  <c r="M209" i="12"/>
  <c r="N209" i="12" s="1"/>
  <c r="M79" i="12"/>
  <c r="N79" i="12" s="1"/>
  <c r="M210" i="12"/>
  <c r="N210" i="12" s="1"/>
  <c r="M80" i="12"/>
  <c r="N80" i="12" s="1"/>
  <c r="M211" i="12"/>
  <c r="N211" i="12" s="1"/>
  <c r="M81" i="12"/>
  <c r="M212" i="12"/>
  <c r="N212" i="12" s="1"/>
  <c r="M125" i="12"/>
  <c r="N125" i="12" s="1"/>
  <c r="M126" i="12"/>
  <c r="N126" i="12" s="1"/>
  <c r="M213" i="12"/>
  <c r="N213" i="12" s="1"/>
  <c r="M214" i="12"/>
  <c r="N214" i="12" s="1"/>
  <c r="M215" i="12"/>
  <c r="N215" i="12" s="1"/>
  <c r="M216" i="12"/>
  <c r="N216" i="12" s="1"/>
  <c r="M217" i="12"/>
  <c r="M127" i="12"/>
  <c r="N127" i="12" s="1"/>
  <c r="M128" i="12"/>
  <c r="N128" i="12" s="1"/>
  <c r="M129" i="12"/>
  <c r="N129" i="12" s="1"/>
  <c r="M130" i="12"/>
  <c r="N130" i="12" s="1"/>
  <c r="M218" i="12"/>
  <c r="N218" i="12" s="1"/>
  <c r="M219" i="12"/>
  <c r="N219" i="12" s="1"/>
  <c r="M131" i="12"/>
  <c r="N131" i="12" s="1"/>
  <c r="M220" i="12"/>
  <c r="M221" i="12"/>
  <c r="N221" i="12" s="1"/>
  <c r="M132" i="12"/>
  <c r="N132" i="12" s="1"/>
  <c r="M133" i="12"/>
  <c r="N133" i="12" s="1"/>
  <c r="M134" i="12"/>
  <c r="N134" i="12" s="1"/>
  <c r="M307" i="12"/>
  <c r="N307" i="12" s="1"/>
  <c r="M222" i="12"/>
  <c r="N222" i="12" s="1"/>
  <c r="M223" i="12"/>
  <c r="N223" i="12" s="1"/>
  <c r="M224" i="12"/>
  <c r="M225" i="12"/>
  <c r="N225" i="12" s="1"/>
  <c r="M308" i="12"/>
  <c r="N308" i="12" s="1"/>
  <c r="M309" i="12"/>
  <c r="N309" i="12" s="1"/>
  <c r="M310" i="12"/>
  <c r="N310" i="12" s="1"/>
  <c r="M311" i="12"/>
  <c r="N311" i="12" s="1"/>
  <c r="M312" i="12"/>
  <c r="N312" i="12" s="1"/>
  <c r="M180" i="12"/>
  <c r="N180" i="12" s="1"/>
  <c r="M181" i="12"/>
  <c r="M182" i="12"/>
  <c r="N182" i="12" s="1"/>
  <c r="M183" i="12"/>
  <c r="N183" i="12" s="1"/>
  <c r="M184" i="12"/>
  <c r="N184" i="12" s="1"/>
  <c r="M185" i="12"/>
  <c r="N185" i="12" s="1"/>
  <c r="M186" i="12"/>
  <c r="N186" i="12" s="1"/>
  <c r="M226" i="12"/>
  <c r="N226" i="12" s="1"/>
  <c r="M227" i="12"/>
  <c r="N227" i="12" s="1"/>
  <c r="M228" i="12"/>
  <c r="M229" i="12"/>
  <c r="N229" i="12" s="1"/>
  <c r="M234" i="12"/>
  <c r="N234" i="12" s="1"/>
  <c r="M235" i="12"/>
  <c r="N235" i="12" s="1"/>
  <c r="M236" i="12"/>
  <c r="N236" i="12" s="1"/>
  <c r="M237" i="12"/>
  <c r="N237" i="12" s="1"/>
  <c r="M252" i="12"/>
  <c r="N252" i="12" s="1"/>
  <c r="M253" i="12"/>
  <c r="N253" i="12" s="1"/>
  <c r="M254" i="12"/>
  <c r="M255" i="12"/>
  <c r="N255" i="12" s="1"/>
  <c r="M256" i="12"/>
  <c r="N256" i="12" s="1"/>
  <c r="M257" i="12"/>
  <c r="N257" i="12" s="1"/>
  <c r="M187" i="12"/>
  <c r="N187" i="12" s="1"/>
  <c r="M188" i="12"/>
  <c r="N188" i="12" s="1"/>
  <c r="M189" i="12"/>
  <c r="N189" i="12" s="1"/>
  <c r="M190" i="12"/>
  <c r="N190" i="12" s="1"/>
  <c r="M230" i="12"/>
  <c r="M231" i="12"/>
  <c r="N231" i="12" s="1"/>
  <c r="M232" i="12"/>
  <c r="N232" i="12" s="1"/>
  <c r="M233" i="12"/>
  <c r="N233" i="12" s="1"/>
  <c r="M238" i="12"/>
  <c r="N238" i="12" s="1"/>
  <c r="M239" i="12"/>
  <c r="N239" i="12" s="1"/>
  <c r="M240" i="12"/>
  <c r="N240" i="12" s="1"/>
  <c r="M241" i="12"/>
  <c r="N241" i="12" s="1"/>
  <c r="M242" i="12"/>
  <c r="M243" i="12"/>
  <c r="N243" i="12" s="1"/>
  <c r="M244" i="12"/>
  <c r="N244" i="12" s="1"/>
  <c r="M245" i="12"/>
  <c r="N245" i="12" s="1"/>
  <c r="M258" i="12"/>
  <c r="N258" i="12" s="1"/>
  <c r="M259" i="12"/>
  <c r="N259" i="12" s="1"/>
  <c r="M264" i="12"/>
  <c r="N264" i="12" s="1"/>
  <c r="M265" i="12"/>
  <c r="N265" i="12" s="1"/>
  <c r="M246" i="12"/>
  <c r="M247" i="12"/>
  <c r="N247" i="12" s="1"/>
  <c r="M248" i="12"/>
  <c r="N248" i="12" s="1"/>
  <c r="M266" i="12"/>
  <c r="N266" i="12" s="1"/>
  <c r="M267" i="12"/>
  <c r="N267" i="12" s="1"/>
  <c r="M268" i="12"/>
  <c r="N268" i="12" s="1"/>
  <c r="M269" i="12"/>
  <c r="N269" i="12" s="1"/>
  <c r="M270" i="12"/>
  <c r="N270" i="12" s="1"/>
  <c r="M271" i="12"/>
  <c r="M272" i="12"/>
  <c r="N272" i="12" s="1"/>
  <c r="M249" i="12"/>
  <c r="N249" i="12" s="1"/>
  <c r="M250" i="12"/>
  <c r="N250" i="12" s="1"/>
  <c r="M251" i="12"/>
  <c r="N251" i="12" s="1"/>
  <c r="M260" i="12"/>
  <c r="N260" i="12" s="1"/>
  <c r="M273" i="12"/>
  <c r="N273" i="12" s="1"/>
  <c r="M274" i="12"/>
  <c r="N274" i="12" s="1"/>
  <c r="M275" i="12"/>
  <c r="M261" i="12"/>
  <c r="N261" i="12" s="1"/>
  <c r="M262" i="12"/>
  <c r="N262" i="12" s="1"/>
  <c r="M263" i="12"/>
  <c r="N263" i="12" s="1"/>
  <c r="M285" i="12"/>
  <c r="N285" i="12" s="1"/>
  <c r="M286" i="12"/>
  <c r="N286" i="12" s="1"/>
  <c r="M287" i="12"/>
  <c r="N287" i="12" s="1"/>
  <c r="M288" i="12"/>
  <c r="N288" i="12" s="1"/>
  <c r="M289" i="12"/>
  <c r="M276" i="12"/>
  <c r="N276" i="12" s="1"/>
  <c r="M277" i="12"/>
  <c r="N277" i="12" s="1"/>
  <c r="M278" i="12"/>
  <c r="N278" i="12" s="1"/>
  <c r="M279" i="12"/>
  <c r="N279" i="12" s="1"/>
  <c r="M290" i="12"/>
  <c r="N290" i="12" s="1"/>
  <c r="M291" i="12"/>
  <c r="N291" i="12" s="1"/>
  <c r="M297" i="12"/>
  <c r="N297" i="12" s="1"/>
  <c r="M298" i="12"/>
  <c r="M280" i="12"/>
  <c r="N280" i="12" s="1"/>
  <c r="M281" i="12"/>
  <c r="N281" i="12" s="1"/>
  <c r="M282" i="12"/>
  <c r="N282" i="12" s="1"/>
  <c r="M283" i="12"/>
  <c r="N283" i="12" s="1"/>
  <c r="M284" i="12"/>
  <c r="N284" i="12" s="1"/>
  <c r="M292" i="12"/>
  <c r="N292" i="12" s="1"/>
  <c r="M299" i="12"/>
  <c r="N299" i="12" s="1"/>
  <c r="M293" i="12"/>
  <c r="M294" i="12"/>
  <c r="N294" i="12" s="1"/>
  <c r="M300" i="12"/>
  <c r="N300" i="12" s="1"/>
  <c r="M301" i="12"/>
  <c r="N301" i="12" s="1"/>
  <c r="M302" i="12"/>
  <c r="N302" i="12" s="1"/>
  <c r="M303" i="12"/>
  <c r="N303" i="12" s="1"/>
  <c r="M304" i="12"/>
  <c r="N304" i="12" s="1"/>
  <c r="M305" i="12"/>
  <c r="N305" i="12" s="1"/>
  <c r="M306" i="12"/>
  <c r="M295" i="12"/>
  <c r="N295" i="12" s="1"/>
  <c r="M296" i="12"/>
  <c r="N296" i="12" s="1"/>
  <c r="M2" i="12"/>
  <c r="N2" i="12" s="1"/>
  <c r="T4" i="2"/>
  <c r="T5" i="2"/>
  <c r="T6" i="2"/>
  <c r="T7" i="2"/>
  <c r="T8" i="2"/>
  <c r="T9" i="2"/>
  <c r="T10" i="2"/>
  <c r="T11" i="2"/>
  <c r="T12" i="2"/>
  <c r="T13" i="2"/>
  <c r="F75" i="7" l="1"/>
  <c r="F77" i="7"/>
  <c r="F78" i="7"/>
  <c r="F74" i="7"/>
  <c r="J77" i="7"/>
  <c r="E77" i="7"/>
  <c r="C77" i="7"/>
  <c r="E75" i="7"/>
  <c r="E74" i="7"/>
  <c r="Q52" i="7"/>
  <c r="P38" i="7"/>
  <c r="D2" i="9" l="1"/>
  <c r="D3" i="9"/>
  <c r="K67" i="7"/>
  <c r="K66" i="7"/>
  <c r="K65" i="7"/>
  <c r="K49" i="7"/>
  <c r="F3" i="6"/>
  <c r="G3" i="6" s="1"/>
  <c r="F4" i="6"/>
  <c r="G4" i="6" s="1"/>
  <c r="F5" i="6"/>
  <c r="G5" i="6" s="1"/>
  <c r="F6" i="6"/>
  <c r="G6" i="6" s="1"/>
  <c r="F7" i="6"/>
  <c r="G7" i="6" s="1"/>
  <c r="F8" i="6"/>
  <c r="G8" i="6" s="1"/>
  <c r="F9" i="6"/>
  <c r="G9" i="6" s="1"/>
  <c r="F10" i="6"/>
  <c r="G10" i="6" s="1"/>
  <c r="F11" i="6"/>
  <c r="G11" i="6" s="1"/>
  <c r="F12" i="6"/>
  <c r="G12" i="6" s="1"/>
  <c r="F13" i="6"/>
  <c r="G13" i="6" s="1"/>
  <c r="F14" i="6"/>
  <c r="G14" i="6" s="1"/>
  <c r="F15" i="6"/>
  <c r="G15" i="6" s="1"/>
  <c r="F16" i="6"/>
  <c r="G16" i="6" s="1"/>
  <c r="F17" i="6"/>
  <c r="G17" i="6" s="1"/>
  <c r="F18" i="6"/>
  <c r="G18" i="6" s="1"/>
  <c r="F19" i="6"/>
  <c r="G19" i="6" s="1"/>
  <c r="F20" i="6"/>
  <c r="G20" i="6" s="1"/>
  <c r="F21" i="6"/>
  <c r="G21" i="6" s="1"/>
  <c r="F22" i="6"/>
  <c r="G22" i="6" s="1"/>
  <c r="F23" i="6"/>
  <c r="G23" i="6" s="1"/>
  <c r="F24" i="6"/>
  <c r="G24" i="6" s="1"/>
  <c r="F25" i="6"/>
  <c r="G25" i="6" s="1"/>
  <c r="F26" i="6"/>
  <c r="G26" i="6" s="1"/>
  <c r="F27" i="6"/>
  <c r="G27" i="6" s="1"/>
  <c r="F28" i="6"/>
  <c r="G28" i="6" s="1"/>
  <c r="F29" i="6"/>
  <c r="G29" i="6" s="1"/>
  <c r="F30" i="6"/>
  <c r="G30" i="6" s="1"/>
  <c r="F31" i="6"/>
  <c r="G31" i="6" s="1"/>
  <c r="F32" i="6"/>
  <c r="G32" i="6" s="1"/>
  <c r="F33" i="6"/>
  <c r="G33" i="6" s="1"/>
  <c r="F34" i="6"/>
  <c r="G34" i="6" s="1"/>
  <c r="F35" i="6"/>
  <c r="G35" i="6" s="1"/>
  <c r="F36" i="6"/>
  <c r="G36" i="6" s="1"/>
  <c r="F37" i="6"/>
  <c r="G37" i="6" s="1"/>
  <c r="F38" i="6"/>
  <c r="G38" i="6" s="1"/>
  <c r="F39" i="6"/>
  <c r="G39" i="6" s="1"/>
  <c r="F40" i="6"/>
  <c r="G40" i="6" s="1"/>
  <c r="F41" i="6"/>
  <c r="G41" i="6" s="1"/>
  <c r="F42" i="6"/>
  <c r="G42" i="6" s="1"/>
  <c r="F43" i="6"/>
  <c r="G43" i="6" s="1"/>
  <c r="F44" i="6"/>
  <c r="G44" i="6" s="1"/>
  <c r="F45" i="6"/>
  <c r="G45" i="6" s="1"/>
  <c r="F46" i="6"/>
  <c r="G46" i="6" s="1"/>
  <c r="F47" i="6"/>
  <c r="G47" i="6" s="1"/>
  <c r="F48" i="6"/>
  <c r="G48" i="6" s="1"/>
  <c r="F49" i="6"/>
  <c r="G49" i="6" s="1"/>
  <c r="F50" i="6"/>
  <c r="G50" i="6" s="1"/>
  <c r="F51" i="6"/>
  <c r="G51" i="6" s="1"/>
  <c r="F52" i="6"/>
  <c r="G52" i="6" s="1"/>
  <c r="F53" i="6"/>
  <c r="G53" i="6" s="1"/>
  <c r="F54" i="6"/>
  <c r="G54" i="6" s="1"/>
  <c r="F55" i="6"/>
  <c r="G55" i="6" s="1"/>
  <c r="F56" i="6"/>
  <c r="G56" i="6" s="1"/>
  <c r="F57" i="6"/>
  <c r="G57" i="6" s="1"/>
  <c r="F58" i="6"/>
  <c r="G58" i="6" s="1"/>
  <c r="F59" i="6"/>
  <c r="G59" i="6" s="1"/>
  <c r="F60" i="6"/>
  <c r="G60" i="6" s="1"/>
  <c r="F61" i="6"/>
  <c r="G61" i="6" s="1"/>
  <c r="F62" i="6"/>
  <c r="G62" i="6" s="1"/>
  <c r="F63" i="6"/>
  <c r="G63" i="6" s="1"/>
  <c r="F64" i="6"/>
  <c r="G64" i="6" s="1"/>
  <c r="F65" i="6"/>
  <c r="G65" i="6" s="1"/>
  <c r="F66" i="6"/>
  <c r="G66" i="6" s="1"/>
  <c r="F67" i="6"/>
  <c r="G67" i="6" s="1"/>
  <c r="F68" i="6"/>
  <c r="G68" i="6" s="1"/>
  <c r="F69" i="6"/>
  <c r="G69" i="6" s="1"/>
  <c r="F70" i="6"/>
  <c r="G70" i="6" s="1"/>
  <c r="F71" i="6"/>
  <c r="G71" i="6" s="1"/>
  <c r="F72" i="6"/>
  <c r="G72" i="6" s="1"/>
  <c r="F73" i="6"/>
  <c r="G73" i="6" s="1"/>
  <c r="F74" i="6"/>
  <c r="G74" i="6" s="1"/>
  <c r="F75" i="6"/>
  <c r="G75" i="6" s="1"/>
  <c r="F76" i="6"/>
  <c r="G76" i="6" s="1"/>
  <c r="F77" i="6"/>
  <c r="G77" i="6" s="1"/>
  <c r="F78" i="6"/>
  <c r="G78" i="6" s="1"/>
  <c r="F79" i="6"/>
  <c r="G79" i="6" s="1"/>
  <c r="F80" i="6"/>
  <c r="G80" i="6" s="1"/>
  <c r="F81" i="6"/>
  <c r="G81" i="6" s="1"/>
  <c r="F82" i="6"/>
  <c r="G82" i="6" s="1"/>
  <c r="F83" i="6"/>
  <c r="G83" i="6" s="1"/>
  <c r="F84" i="6"/>
  <c r="G84" i="6" s="1"/>
  <c r="F85" i="6"/>
  <c r="G85" i="6" s="1"/>
  <c r="F86" i="6"/>
  <c r="G86" i="6" s="1"/>
  <c r="F87" i="6"/>
  <c r="G87" i="6" s="1"/>
  <c r="F88" i="6"/>
  <c r="G88" i="6" s="1"/>
  <c r="F89" i="6"/>
  <c r="G89" i="6" s="1"/>
  <c r="F90" i="6"/>
  <c r="G90" i="6" s="1"/>
  <c r="F91" i="6"/>
  <c r="G91" i="6" s="1"/>
  <c r="F92" i="6"/>
  <c r="G92" i="6" s="1"/>
  <c r="F93" i="6"/>
  <c r="G93" i="6" s="1"/>
  <c r="F94" i="6"/>
  <c r="G94" i="6" s="1"/>
  <c r="F95" i="6"/>
  <c r="G95" i="6" s="1"/>
  <c r="F96" i="6"/>
  <c r="G96" i="6" s="1"/>
  <c r="F97" i="6"/>
  <c r="G97" i="6" s="1"/>
  <c r="F98" i="6"/>
  <c r="G98" i="6" s="1"/>
  <c r="F99" i="6"/>
  <c r="G99" i="6" s="1"/>
  <c r="F100" i="6"/>
  <c r="G100" i="6" s="1"/>
  <c r="F101" i="6"/>
  <c r="G101" i="6" s="1"/>
  <c r="F102" i="6"/>
  <c r="G102" i="6" s="1"/>
  <c r="F103" i="6"/>
  <c r="G103" i="6" s="1"/>
  <c r="F104" i="6"/>
  <c r="G104" i="6" s="1"/>
  <c r="F105" i="6"/>
  <c r="G105" i="6" s="1"/>
  <c r="F106" i="6"/>
  <c r="G106" i="6" s="1"/>
  <c r="F107" i="6"/>
  <c r="G107" i="6" s="1"/>
  <c r="F108" i="6"/>
  <c r="G108" i="6" s="1"/>
  <c r="F109" i="6"/>
  <c r="G109" i="6" s="1"/>
  <c r="F110" i="6"/>
  <c r="G110" i="6" s="1"/>
  <c r="F111" i="6"/>
  <c r="G111" i="6" s="1"/>
  <c r="F112" i="6"/>
  <c r="G112" i="6" s="1"/>
  <c r="F113" i="6"/>
  <c r="G113" i="6" s="1"/>
  <c r="F114" i="6"/>
  <c r="G114" i="6" s="1"/>
  <c r="F115" i="6"/>
  <c r="G115" i="6" s="1"/>
  <c r="F116" i="6"/>
  <c r="G116" i="6" s="1"/>
  <c r="F117" i="6"/>
  <c r="G117" i="6" s="1"/>
  <c r="F118" i="6"/>
  <c r="G118" i="6" s="1"/>
  <c r="F119" i="6"/>
  <c r="G119" i="6" s="1"/>
  <c r="F120" i="6"/>
  <c r="G120" i="6" s="1"/>
  <c r="F121" i="6"/>
  <c r="G121" i="6" s="1"/>
  <c r="F122" i="6"/>
  <c r="G122" i="6" s="1"/>
  <c r="F123" i="6"/>
  <c r="G123" i="6" s="1"/>
  <c r="F124" i="6"/>
  <c r="G124" i="6" s="1"/>
  <c r="F125" i="6"/>
  <c r="G125" i="6" s="1"/>
  <c r="F126" i="6"/>
  <c r="G126" i="6" s="1"/>
  <c r="F127" i="6"/>
  <c r="G127" i="6" s="1"/>
  <c r="F128" i="6"/>
  <c r="G128" i="6" s="1"/>
  <c r="F129" i="6"/>
  <c r="G129" i="6" s="1"/>
  <c r="F130" i="6"/>
  <c r="G130" i="6" s="1"/>
  <c r="F131" i="6"/>
  <c r="G131" i="6" s="1"/>
  <c r="F132" i="6"/>
  <c r="G132" i="6" s="1"/>
  <c r="F133" i="6"/>
  <c r="G133" i="6" s="1"/>
  <c r="F134" i="6"/>
  <c r="G134" i="6" s="1"/>
  <c r="F135" i="6"/>
  <c r="G135" i="6" s="1"/>
  <c r="F136" i="6"/>
  <c r="G136" i="6" s="1"/>
  <c r="F137" i="6"/>
  <c r="G137" i="6" s="1"/>
  <c r="F138" i="6"/>
  <c r="G138" i="6" s="1"/>
  <c r="F139" i="6"/>
  <c r="G139" i="6" s="1"/>
  <c r="F140" i="6"/>
  <c r="G140" i="6" s="1"/>
  <c r="F141" i="6"/>
  <c r="G141" i="6" s="1"/>
  <c r="F142" i="6"/>
  <c r="G142" i="6" s="1"/>
  <c r="F143" i="6"/>
  <c r="G143" i="6" s="1"/>
  <c r="F144" i="6"/>
  <c r="G144" i="6" s="1"/>
  <c r="F145" i="6"/>
  <c r="G145" i="6" s="1"/>
  <c r="F146" i="6"/>
  <c r="G146" i="6" s="1"/>
  <c r="F147" i="6"/>
  <c r="G147" i="6" s="1"/>
  <c r="F148" i="6"/>
  <c r="G148" i="6" s="1"/>
  <c r="F149" i="6"/>
  <c r="G149" i="6" s="1"/>
  <c r="F150" i="6"/>
  <c r="G150" i="6" s="1"/>
  <c r="F151" i="6"/>
  <c r="G151" i="6" s="1"/>
  <c r="F152" i="6"/>
  <c r="G152" i="6" s="1"/>
  <c r="F153" i="6"/>
  <c r="G153" i="6" s="1"/>
  <c r="F154" i="6"/>
  <c r="G154" i="6" s="1"/>
  <c r="F155" i="6"/>
  <c r="G155" i="6" s="1"/>
  <c r="F156" i="6"/>
  <c r="G156" i="6" s="1"/>
  <c r="F157" i="6"/>
  <c r="G157" i="6" s="1"/>
  <c r="F158" i="6"/>
  <c r="G158" i="6" s="1"/>
  <c r="F159" i="6"/>
  <c r="G159" i="6" s="1"/>
  <c r="F160" i="6"/>
  <c r="G160" i="6" s="1"/>
  <c r="F161" i="6"/>
  <c r="G161" i="6" s="1"/>
  <c r="F162" i="6"/>
  <c r="G162" i="6" s="1"/>
  <c r="F163" i="6"/>
  <c r="G163" i="6" s="1"/>
  <c r="F164" i="6"/>
  <c r="G164" i="6" s="1"/>
  <c r="F165" i="6"/>
  <c r="G165" i="6" s="1"/>
  <c r="F166" i="6"/>
  <c r="G166" i="6" s="1"/>
  <c r="F167" i="6"/>
  <c r="G167" i="6" s="1"/>
  <c r="F168" i="6"/>
  <c r="G168" i="6" s="1"/>
  <c r="F169" i="6"/>
  <c r="G169" i="6" s="1"/>
  <c r="F170" i="6"/>
  <c r="G170" i="6" s="1"/>
  <c r="F171" i="6"/>
  <c r="G171" i="6" s="1"/>
  <c r="F172" i="6"/>
  <c r="G172" i="6" s="1"/>
  <c r="F173" i="6"/>
  <c r="G173" i="6" s="1"/>
  <c r="F174" i="6"/>
  <c r="G174" i="6" s="1"/>
  <c r="F175" i="6"/>
  <c r="G175" i="6" s="1"/>
  <c r="F176" i="6"/>
  <c r="G176" i="6" s="1"/>
  <c r="F177" i="6"/>
  <c r="G177" i="6" s="1"/>
  <c r="F178" i="6"/>
  <c r="G178" i="6" s="1"/>
  <c r="F179" i="6"/>
  <c r="G179" i="6" s="1"/>
  <c r="F180" i="6"/>
  <c r="G180" i="6" s="1"/>
  <c r="F181" i="6"/>
  <c r="G181" i="6" s="1"/>
  <c r="F182" i="6"/>
  <c r="G182" i="6" s="1"/>
  <c r="F2" i="6"/>
  <c r="G2" i="6" s="1"/>
  <c r="O195" i="1"/>
  <c r="P195" i="1" s="1"/>
  <c r="O242" i="1"/>
  <c r="P242" i="1" s="1"/>
  <c r="O196" i="1"/>
  <c r="P196" i="1" s="1"/>
  <c r="O197" i="1"/>
  <c r="P197" i="1" s="1"/>
  <c r="O198" i="1"/>
  <c r="P198" i="1" s="1"/>
  <c r="O199" i="1"/>
  <c r="P199" i="1" s="1"/>
  <c r="O200" i="1"/>
  <c r="P200" i="1" s="1"/>
  <c r="O243" i="1"/>
  <c r="P243" i="1" s="1"/>
  <c r="O201" i="1"/>
  <c r="P201" i="1" s="1"/>
  <c r="O244" i="1"/>
  <c r="P244" i="1" s="1"/>
  <c r="O273" i="1"/>
  <c r="P273" i="1" s="1"/>
  <c r="O33" i="1"/>
  <c r="P33" i="1" s="1"/>
  <c r="O274" i="1"/>
  <c r="P274" i="1" s="1"/>
  <c r="O275" i="1"/>
  <c r="P275" i="1" s="1"/>
  <c r="O135" i="1"/>
  <c r="P135" i="1" s="1"/>
  <c r="O202" i="1"/>
  <c r="P202" i="1" s="1"/>
  <c r="O276" i="1"/>
  <c r="P276" i="1" s="1"/>
  <c r="O203" i="1"/>
  <c r="P203" i="1" s="1"/>
  <c r="O34" i="1"/>
  <c r="P34" i="1" s="1"/>
  <c r="O307" i="1"/>
  <c r="P307" i="1" s="1"/>
  <c r="O82" i="1"/>
  <c r="P82" i="1" s="1"/>
  <c r="O245" i="1"/>
  <c r="P245" i="1" s="1"/>
  <c r="O158" i="1"/>
  <c r="P158" i="1" s="1"/>
  <c r="O204" i="1"/>
  <c r="P204" i="1" s="1"/>
  <c r="O184" i="1"/>
  <c r="P184" i="1" s="1"/>
  <c r="O125" i="1"/>
  <c r="P125" i="1" s="1"/>
  <c r="O205" i="1"/>
  <c r="P205" i="1" s="1"/>
  <c r="O35" i="1"/>
  <c r="P35" i="1" s="1"/>
  <c r="O159" i="1"/>
  <c r="P159" i="1" s="1"/>
  <c r="O277" i="1"/>
  <c r="P277" i="1" s="1"/>
  <c r="O297" i="1"/>
  <c r="P297" i="1" s="1"/>
  <c r="O246" i="1"/>
  <c r="P246" i="1" s="1"/>
  <c r="O97" i="1"/>
  <c r="P97" i="1" s="1"/>
  <c r="O160" i="1"/>
  <c r="P160" i="1" s="1"/>
  <c r="O247" i="1"/>
  <c r="P247" i="1" s="1"/>
  <c r="O206" i="1"/>
  <c r="P206" i="1" s="1"/>
  <c r="O126" i="1"/>
  <c r="P126" i="1" s="1"/>
  <c r="O36" i="1"/>
  <c r="P36" i="1" s="1"/>
  <c r="O207" i="1"/>
  <c r="P207" i="1" s="1"/>
  <c r="O278" i="1"/>
  <c r="P278" i="1" s="1"/>
  <c r="O191" i="1"/>
  <c r="P191" i="1" s="1"/>
  <c r="O161" i="1"/>
  <c r="P161" i="1" s="1"/>
  <c r="O162" i="1"/>
  <c r="P162" i="1" s="1"/>
  <c r="O208" i="1"/>
  <c r="P208" i="1" s="1"/>
  <c r="O163" i="1"/>
  <c r="P163" i="1" s="1"/>
  <c r="O127" i="1"/>
  <c r="P127" i="1" s="1"/>
  <c r="O185" i="1"/>
  <c r="P185" i="1" s="1"/>
  <c r="O37" i="1"/>
  <c r="P37" i="1" s="1"/>
  <c r="O164" i="1"/>
  <c r="P164" i="1" s="1"/>
  <c r="O209" i="1"/>
  <c r="P209" i="1" s="1"/>
  <c r="O128" i="1"/>
  <c r="P128" i="1" s="1"/>
  <c r="O165" i="1"/>
  <c r="P165" i="1" s="1"/>
  <c r="O166" i="1"/>
  <c r="P166" i="1" s="1"/>
  <c r="O98" i="1"/>
  <c r="P98" i="1" s="1"/>
  <c r="O99" i="1"/>
  <c r="P99" i="1" s="1"/>
  <c r="O6" i="1"/>
  <c r="P6" i="1" s="1"/>
  <c r="O129" i="1"/>
  <c r="P129" i="1" s="1"/>
  <c r="O7" i="1"/>
  <c r="P7" i="1" s="1"/>
  <c r="O8" i="1"/>
  <c r="P8" i="1" s="1"/>
  <c r="O217" i="1"/>
  <c r="P217" i="1" s="1"/>
  <c r="O210" i="1"/>
  <c r="P210" i="1" s="1"/>
  <c r="O100" i="1"/>
  <c r="P100" i="1" s="1"/>
  <c r="O9" i="1"/>
  <c r="P9" i="1" s="1"/>
  <c r="O167" i="1"/>
  <c r="P167" i="1" s="1"/>
  <c r="O211" i="1"/>
  <c r="P211" i="1" s="1"/>
  <c r="O107" i="1"/>
  <c r="P107" i="1" s="1"/>
  <c r="O38" i="1"/>
  <c r="P38" i="1" s="1"/>
  <c r="O136" i="1"/>
  <c r="P136" i="1" s="1"/>
  <c r="O168" i="1"/>
  <c r="P168" i="1" s="1"/>
  <c r="O308" i="1"/>
  <c r="P308" i="1" s="1"/>
  <c r="O130" i="1"/>
  <c r="P130" i="1" s="1"/>
  <c r="O169" i="1"/>
  <c r="P169" i="1" s="1"/>
  <c r="O170" i="1"/>
  <c r="P170" i="1" s="1"/>
  <c r="O137" i="1"/>
  <c r="P137" i="1" s="1"/>
  <c r="O256" i="1"/>
  <c r="P256" i="1" s="1"/>
  <c r="O186" i="1"/>
  <c r="P186" i="1" s="1"/>
  <c r="O187" i="1"/>
  <c r="P187" i="1" s="1"/>
  <c r="O212" i="1"/>
  <c r="P212" i="1" s="1"/>
  <c r="O83" i="1"/>
  <c r="P83" i="1" s="1"/>
  <c r="O171" i="1"/>
  <c r="P171" i="1" s="1"/>
  <c r="O309" i="1"/>
  <c r="P309" i="1" s="1"/>
  <c r="O188" i="1"/>
  <c r="P188" i="1" s="1"/>
  <c r="O172" i="1"/>
  <c r="P172" i="1" s="1"/>
  <c r="O189" i="1"/>
  <c r="P189" i="1" s="1"/>
  <c r="O39" i="1"/>
  <c r="P39" i="1" s="1"/>
  <c r="O131" i="1"/>
  <c r="P131" i="1" s="1"/>
  <c r="O213" i="1"/>
  <c r="P213" i="1" s="1"/>
  <c r="O101" i="1"/>
  <c r="P101" i="1" s="1"/>
  <c r="O138" i="1"/>
  <c r="P138" i="1" s="1"/>
  <c r="O173" i="1"/>
  <c r="P173" i="1" s="1"/>
  <c r="O10" i="1"/>
  <c r="P10" i="1" s="1"/>
  <c r="O225" i="1"/>
  <c r="P225" i="1" s="1"/>
  <c r="O108" i="1"/>
  <c r="P108" i="1" s="1"/>
  <c r="O84" i="1"/>
  <c r="P84" i="1" s="1"/>
  <c r="O252" i="1"/>
  <c r="P252" i="1" s="1"/>
  <c r="O302" i="1"/>
  <c r="P302" i="1" s="1"/>
  <c r="O257" i="1"/>
  <c r="P257" i="1" s="1"/>
  <c r="O174" i="1"/>
  <c r="P174" i="1" s="1"/>
  <c r="O218" i="1"/>
  <c r="P218" i="1" s="1"/>
  <c r="O175" i="1"/>
  <c r="P175" i="1" s="1"/>
  <c r="O85" i="1"/>
  <c r="P85" i="1" s="1"/>
  <c r="O310" i="1"/>
  <c r="P310" i="1" s="1"/>
  <c r="O86" i="1"/>
  <c r="P86" i="1" s="1"/>
  <c r="O214" i="1"/>
  <c r="P214" i="1" s="1"/>
  <c r="O109" i="1"/>
  <c r="P109" i="1" s="1"/>
  <c r="O87" i="1"/>
  <c r="P87" i="1" s="1"/>
  <c r="O176" i="1"/>
  <c r="P176" i="1" s="1"/>
  <c r="O215" i="1"/>
  <c r="P215" i="1" s="1"/>
  <c r="O110" i="1"/>
  <c r="P110" i="1" s="1"/>
  <c r="O219" i="1"/>
  <c r="P219" i="1" s="1"/>
  <c r="O177" i="1"/>
  <c r="P177" i="1" s="1"/>
  <c r="O139" i="1"/>
  <c r="P139" i="1" s="1"/>
  <c r="O140" i="1"/>
  <c r="P140" i="1" s="1"/>
  <c r="O216" i="1"/>
  <c r="P216" i="1" s="1"/>
  <c r="O178" i="1"/>
  <c r="P178" i="1" s="1"/>
  <c r="O102" i="1"/>
  <c r="P102" i="1" s="1"/>
  <c r="O132" i="1"/>
  <c r="P132" i="1" s="1"/>
  <c r="O179" i="1"/>
  <c r="P179" i="1" s="1"/>
  <c r="O88" i="1"/>
  <c r="P88" i="1" s="1"/>
  <c r="O141" i="1"/>
  <c r="P141" i="1" s="1"/>
  <c r="O142" i="1"/>
  <c r="P142" i="1" s="1"/>
  <c r="O220" i="1"/>
  <c r="P220" i="1" s="1"/>
  <c r="O111" i="1"/>
  <c r="P111" i="1" s="1"/>
  <c r="O103" i="1"/>
  <c r="P103" i="1" s="1"/>
  <c r="O190" i="1"/>
  <c r="P190" i="1" s="1"/>
  <c r="O112" i="1"/>
  <c r="P112" i="1" s="1"/>
  <c r="O40" i="1"/>
  <c r="P40" i="1" s="1"/>
  <c r="O89" i="1"/>
  <c r="P89" i="1" s="1"/>
  <c r="O143" i="1"/>
  <c r="P143" i="1" s="1"/>
  <c r="O104" i="1"/>
  <c r="P104" i="1" s="1"/>
  <c r="O90" i="1"/>
  <c r="P90" i="1" s="1"/>
  <c r="O133" i="1"/>
  <c r="P133" i="1" s="1"/>
  <c r="O113" i="1"/>
  <c r="P113" i="1" s="1"/>
  <c r="O41" i="1"/>
  <c r="P41" i="1" s="1"/>
  <c r="O114" i="1"/>
  <c r="P114" i="1" s="1"/>
  <c r="O115" i="1"/>
  <c r="P115" i="1" s="1"/>
  <c r="O116" i="1"/>
  <c r="P116" i="1" s="1"/>
  <c r="O144" i="1"/>
  <c r="P144" i="1" s="1"/>
  <c r="O145" i="1"/>
  <c r="P145" i="1" s="1"/>
  <c r="O117" i="1"/>
  <c r="P117" i="1" s="1"/>
  <c r="O118" i="1"/>
  <c r="P118" i="1" s="1"/>
  <c r="O11" i="1"/>
  <c r="P11" i="1" s="1"/>
  <c r="O77" i="1"/>
  <c r="P77" i="1" s="1"/>
  <c r="O119" i="1"/>
  <c r="P119" i="1" s="1"/>
  <c r="O12" i="1"/>
  <c r="P12" i="1" s="1"/>
  <c r="O63" i="1"/>
  <c r="P63" i="1" s="1"/>
  <c r="O13" i="1"/>
  <c r="P13" i="1" s="1"/>
  <c r="O14" i="1"/>
  <c r="P14" i="1" s="1"/>
  <c r="O91" i="1"/>
  <c r="P91" i="1" s="1"/>
  <c r="O15" i="1"/>
  <c r="P15" i="1" s="1"/>
  <c r="O120" i="1"/>
  <c r="P120" i="1" s="1"/>
  <c r="O121" i="1"/>
  <c r="P121" i="1" s="1"/>
  <c r="O42" i="1"/>
  <c r="P42" i="1" s="1"/>
  <c r="O92" i="1"/>
  <c r="P92" i="1" s="1"/>
  <c r="O146" i="1"/>
  <c r="P146" i="1" s="1"/>
  <c r="O292" i="1"/>
  <c r="P292" i="1" s="1"/>
  <c r="O268" i="1"/>
  <c r="P268" i="1" s="1"/>
  <c r="O122" i="1"/>
  <c r="P122" i="1" s="1"/>
  <c r="O123" i="1"/>
  <c r="P123" i="1" s="1"/>
  <c r="O16" i="1"/>
  <c r="P16" i="1" s="1"/>
  <c r="O147" i="1"/>
  <c r="P147" i="1" s="1"/>
  <c r="O148" i="1"/>
  <c r="P148" i="1" s="1"/>
  <c r="O93" i="1"/>
  <c r="P93" i="1" s="1"/>
  <c r="O279" i="1"/>
  <c r="P279" i="1" s="1"/>
  <c r="O134" i="1"/>
  <c r="P134" i="1" s="1"/>
  <c r="O149" i="1"/>
  <c r="P149" i="1" s="1"/>
  <c r="O150" i="1"/>
  <c r="P150" i="1" s="1"/>
  <c r="O94" i="1"/>
  <c r="P94" i="1" s="1"/>
  <c r="O78" i="1"/>
  <c r="P78" i="1" s="1"/>
  <c r="O151" i="1"/>
  <c r="P151" i="1" s="1"/>
  <c r="O79" i="1"/>
  <c r="P79" i="1" s="1"/>
  <c r="O313" i="1"/>
  <c r="P313" i="1" s="1"/>
  <c r="O95" i="1"/>
  <c r="P95" i="1" s="1"/>
  <c r="O221" i="1"/>
  <c r="P221" i="1" s="1"/>
  <c r="O71" i="1"/>
  <c r="P71" i="1" s="1"/>
  <c r="O51" i="1"/>
  <c r="P51" i="1" s="1"/>
  <c r="O96" i="1"/>
  <c r="P96" i="1" s="1"/>
  <c r="O314" i="1"/>
  <c r="P314" i="1" s="1"/>
  <c r="O72" i="1"/>
  <c r="P72" i="1" s="1"/>
  <c r="O311" i="1"/>
  <c r="P311" i="1" s="1"/>
  <c r="O105" i="1"/>
  <c r="P105" i="1" s="1"/>
  <c r="O124" i="1"/>
  <c r="P124" i="1" s="1"/>
  <c r="O293" i="1"/>
  <c r="P293" i="1" s="1"/>
  <c r="O154" i="1"/>
  <c r="P154" i="1" s="1"/>
  <c r="O226" i="1"/>
  <c r="P226" i="1" s="1"/>
  <c r="O43" i="1"/>
  <c r="P43" i="1" s="1"/>
  <c r="O258" i="1"/>
  <c r="P258" i="1" s="1"/>
  <c r="O280" i="1"/>
  <c r="P280" i="1" s="1"/>
  <c r="O80" i="1"/>
  <c r="P80" i="1" s="1"/>
  <c r="O152" i="1"/>
  <c r="P152" i="1" s="1"/>
  <c r="O180" i="1"/>
  <c r="P180" i="1" s="1"/>
  <c r="O227" i="1"/>
  <c r="P227" i="1" s="1"/>
  <c r="O73" i="1"/>
  <c r="P73" i="1" s="1"/>
  <c r="O294" i="1"/>
  <c r="P294" i="1" s="1"/>
  <c r="O303" i="1"/>
  <c r="P303" i="1" s="1"/>
  <c r="O285" i="1"/>
  <c r="P285" i="1" s="1"/>
  <c r="O153" i="1"/>
  <c r="P153" i="1" s="1"/>
  <c r="O281" i="1"/>
  <c r="P281" i="1" s="1"/>
  <c r="O282" i="1"/>
  <c r="P282" i="1" s="1"/>
  <c r="O269" i="1"/>
  <c r="P269" i="1" s="1"/>
  <c r="O270" i="1"/>
  <c r="P270" i="1" s="1"/>
  <c r="O286" i="1"/>
  <c r="P286" i="1" s="1"/>
  <c r="O298" i="1"/>
  <c r="P298" i="1" s="1"/>
  <c r="O287" i="1"/>
  <c r="P287" i="1" s="1"/>
  <c r="O288" i="1"/>
  <c r="P288" i="1" s="1"/>
  <c r="O283" i="1"/>
  <c r="P283" i="1" s="1"/>
  <c r="O284" i="1"/>
  <c r="P284" i="1" s="1"/>
  <c r="O74" i="1"/>
  <c r="P74" i="1" s="1"/>
  <c r="O228" i="1"/>
  <c r="P228" i="1" s="1"/>
  <c r="O234" i="1"/>
  <c r="P234" i="1" s="1"/>
  <c r="O289" i="1"/>
  <c r="P289" i="1" s="1"/>
  <c r="O75" i="1"/>
  <c r="P75" i="1" s="1"/>
  <c r="O290" i="1"/>
  <c r="P290" i="1" s="1"/>
  <c r="O76" i="1"/>
  <c r="P76" i="1" s="1"/>
  <c r="O2" i="1"/>
  <c r="P2" i="1" s="1"/>
  <c r="O3" i="1"/>
  <c r="P3" i="1" s="1"/>
  <c r="O4" i="1"/>
  <c r="P4" i="1" s="1"/>
  <c r="O5" i="1"/>
  <c r="P5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O27" i="1"/>
  <c r="P27" i="1" s="1"/>
  <c r="O28" i="1"/>
  <c r="P28" i="1" s="1"/>
  <c r="O29" i="1"/>
  <c r="P29" i="1" s="1"/>
  <c r="O30" i="1"/>
  <c r="P30" i="1" s="1"/>
  <c r="O31" i="1"/>
  <c r="P31" i="1" s="1"/>
  <c r="O32" i="1"/>
  <c r="P32" i="1" s="1"/>
  <c r="O44" i="1"/>
  <c r="P44" i="1" s="1"/>
  <c r="O45" i="1"/>
  <c r="P45" i="1" s="1"/>
  <c r="O46" i="1"/>
  <c r="P46" i="1" s="1"/>
  <c r="O47" i="1"/>
  <c r="P47" i="1" s="1"/>
  <c r="O48" i="1"/>
  <c r="P48" i="1" s="1"/>
  <c r="O49" i="1"/>
  <c r="P49" i="1" s="1"/>
  <c r="O50" i="1"/>
  <c r="P50" i="1" s="1"/>
  <c r="O52" i="1"/>
  <c r="P52" i="1" s="1"/>
  <c r="O53" i="1"/>
  <c r="P53" i="1" s="1"/>
  <c r="O54" i="1"/>
  <c r="P54" i="1" s="1"/>
  <c r="O55" i="1"/>
  <c r="P55" i="1" s="1"/>
  <c r="O56" i="1"/>
  <c r="P56" i="1" s="1"/>
  <c r="O57" i="1"/>
  <c r="P57" i="1" s="1"/>
  <c r="O58" i="1"/>
  <c r="P58" i="1" s="1"/>
  <c r="O59" i="1"/>
  <c r="P59" i="1" s="1"/>
  <c r="O60" i="1"/>
  <c r="P60" i="1" s="1"/>
  <c r="O61" i="1"/>
  <c r="P61" i="1" s="1"/>
  <c r="O62" i="1"/>
  <c r="P62" i="1" s="1"/>
  <c r="O64" i="1"/>
  <c r="P64" i="1" s="1"/>
  <c r="O65" i="1"/>
  <c r="P65" i="1" s="1"/>
  <c r="O66" i="1"/>
  <c r="P66" i="1" s="1"/>
  <c r="O67" i="1"/>
  <c r="P67" i="1" s="1"/>
  <c r="O68" i="1"/>
  <c r="P68" i="1" s="1"/>
  <c r="O69" i="1"/>
  <c r="P69" i="1" s="1"/>
  <c r="O70" i="1"/>
  <c r="P70" i="1" s="1"/>
  <c r="O81" i="1"/>
  <c r="P81" i="1" s="1"/>
  <c r="O106" i="1"/>
  <c r="P106" i="1" s="1"/>
  <c r="O155" i="1"/>
  <c r="P155" i="1" s="1"/>
  <c r="O156" i="1"/>
  <c r="P156" i="1" s="1"/>
  <c r="O157" i="1"/>
  <c r="P157" i="1" s="1"/>
  <c r="O181" i="1"/>
  <c r="P181" i="1" s="1"/>
  <c r="O182" i="1"/>
  <c r="P182" i="1" s="1"/>
  <c r="O183" i="1"/>
  <c r="P183" i="1" s="1"/>
  <c r="O192" i="1"/>
  <c r="P192" i="1" s="1"/>
  <c r="O193" i="1"/>
  <c r="P193" i="1" s="1"/>
  <c r="O194" i="1"/>
  <c r="P194" i="1" s="1"/>
  <c r="O222" i="1"/>
  <c r="P222" i="1" s="1"/>
  <c r="O229" i="1"/>
  <c r="P229" i="1" s="1"/>
  <c r="O223" i="1"/>
  <c r="P223" i="1" s="1"/>
  <c r="O224" i="1"/>
  <c r="P224" i="1" s="1"/>
  <c r="O230" i="1"/>
  <c r="P230" i="1" s="1"/>
  <c r="O231" i="1"/>
  <c r="P231" i="1" s="1"/>
  <c r="O232" i="1"/>
  <c r="P232" i="1" s="1"/>
  <c r="O233" i="1"/>
  <c r="P233" i="1" s="1"/>
  <c r="O235" i="1"/>
  <c r="P235" i="1" s="1"/>
  <c r="O236" i="1"/>
  <c r="P236" i="1" s="1"/>
  <c r="O237" i="1"/>
  <c r="P237" i="1" s="1"/>
  <c r="O238" i="1"/>
  <c r="P238" i="1" s="1"/>
  <c r="O239" i="1"/>
  <c r="P239" i="1" s="1"/>
  <c r="O240" i="1"/>
  <c r="P240" i="1" s="1"/>
  <c r="O241" i="1"/>
  <c r="P241" i="1" s="1"/>
  <c r="O248" i="1"/>
  <c r="P248" i="1" s="1"/>
  <c r="O249" i="1"/>
  <c r="P249" i="1" s="1"/>
  <c r="O250" i="1"/>
  <c r="P250" i="1" s="1"/>
  <c r="O251" i="1"/>
  <c r="P251" i="1" s="1"/>
  <c r="O253" i="1"/>
  <c r="P253" i="1" s="1"/>
  <c r="O254" i="1"/>
  <c r="P254" i="1" s="1"/>
  <c r="O255" i="1"/>
  <c r="P255" i="1" s="1"/>
  <c r="O259" i="1"/>
  <c r="P259" i="1" s="1"/>
  <c r="O260" i="1"/>
  <c r="P260" i="1" s="1"/>
  <c r="O261" i="1"/>
  <c r="P261" i="1" s="1"/>
  <c r="O262" i="1"/>
  <c r="P262" i="1" s="1"/>
  <c r="O263" i="1"/>
  <c r="P263" i="1" s="1"/>
  <c r="O264" i="1"/>
  <c r="P264" i="1" s="1"/>
  <c r="O265" i="1"/>
  <c r="P265" i="1" s="1"/>
  <c r="O266" i="1"/>
  <c r="P266" i="1" s="1"/>
  <c r="O267" i="1"/>
  <c r="P267" i="1" s="1"/>
  <c r="O271" i="1"/>
  <c r="P271" i="1" s="1"/>
  <c r="O272" i="1"/>
  <c r="P272" i="1" s="1"/>
  <c r="O291" i="1"/>
  <c r="P291" i="1" s="1"/>
  <c r="O295" i="1"/>
  <c r="P295" i="1" s="1"/>
  <c r="O296" i="1"/>
  <c r="P296" i="1" s="1"/>
  <c r="O304" i="1"/>
  <c r="P304" i="1" s="1"/>
  <c r="O299" i="1"/>
  <c r="P299" i="1" s="1"/>
  <c r="O305" i="1"/>
  <c r="P305" i="1" s="1"/>
  <c r="O300" i="1"/>
  <c r="P300" i="1" s="1"/>
  <c r="O306" i="1"/>
  <c r="P306" i="1" s="1"/>
  <c r="O301" i="1"/>
  <c r="P301" i="1" s="1"/>
  <c r="O312" i="1"/>
  <c r="P312" i="1" s="1"/>
  <c r="O315" i="1"/>
  <c r="P315" i="1" s="1"/>
  <c r="O316" i="1"/>
  <c r="P316" i="1" s="1"/>
  <c r="P320" i="1" l="1"/>
  <c r="P319" i="1"/>
  <c r="C58" i="7" l="1"/>
  <c r="C56" i="7"/>
  <c r="C62" i="7"/>
  <c r="C60" i="7"/>
  <c r="C54" i="7"/>
  <c r="C52" i="7"/>
  <c r="E58" i="7"/>
  <c r="G58" i="7" s="1"/>
  <c r="E56" i="7"/>
  <c r="G62" i="7"/>
  <c r="G60" i="7"/>
  <c r="G54" i="7"/>
  <c r="G52" i="7"/>
  <c r="G50" i="7"/>
  <c r="F62" i="7"/>
  <c r="F60" i="7"/>
  <c r="F54" i="7"/>
  <c r="F52" i="7"/>
  <c r="F50" i="7"/>
  <c r="E55" i="7"/>
  <c r="D58" i="7"/>
  <c r="F58" i="7" s="1"/>
  <c r="D56" i="7"/>
  <c r="D55" i="7"/>
  <c r="K50" i="7"/>
  <c r="L50" i="7" s="1"/>
  <c r="I50" i="7"/>
  <c r="J50" i="7" s="1"/>
  <c r="L49" i="7"/>
  <c r="I49" i="7"/>
  <c r="J49" i="7" s="1"/>
  <c r="H39" i="7"/>
  <c r="H36" i="7"/>
  <c r="H33" i="7"/>
  <c r="H30" i="7"/>
  <c r="B8" i="2"/>
  <c r="F8" i="2" s="1"/>
  <c r="K2" i="1"/>
  <c r="L2" i="1" s="1"/>
  <c r="K3" i="1"/>
  <c r="L3" i="1" s="1"/>
  <c r="K4" i="1"/>
  <c r="L4" i="1" s="1"/>
  <c r="K5" i="1"/>
  <c r="L5" i="1" s="1"/>
  <c r="K17" i="1"/>
  <c r="L17" i="1" s="1"/>
  <c r="K18" i="1"/>
  <c r="L18" i="1" s="1"/>
  <c r="K19" i="1"/>
  <c r="L19" i="1" s="1"/>
  <c r="K20" i="1"/>
  <c r="L20" i="1" s="1"/>
  <c r="K21" i="1"/>
  <c r="L21" i="1" s="1"/>
  <c r="K22" i="1"/>
  <c r="L22" i="1" s="1"/>
  <c r="K23" i="1"/>
  <c r="L23" i="1" s="1"/>
  <c r="K24" i="1"/>
  <c r="L24" i="1" s="1"/>
  <c r="K25" i="1"/>
  <c r="L25" i="1" s="1"/>
  <c r="K26" i="1"/>
  <c r="L26" i="1" s="1"/>
  <c r="K27" i="1"/>
  <c r="L27" i="1" s="1"/>
  <c r="K28" i="1"/>
  <c r="L28" i="1" s="1"/>
  <c r="K39" i="1"/>
  <c r="L39" i="1" s="1"/>
  <c r="K40" i="1"/>
  <c r="L40" i="1" s="1"/>
  <c r="K29" i="1"/>
  <c r="L29" i="1" s="1"/>
  <c r="K30" i="1"/>
  <c r="L30" i="1" s="1"/>
  <c r="K31" i="1"/>
  <c r="L31" i="1" s="1"/>
  <c r="K32" i="1"/>
  <c r="L32" i="1" s="1"/>
  <c r="K43" i="1"/>
  <c r="K44" i="1"/>
  <c r="L44" i="1" s="1"/>
  <c r="K45" i="1"/>
  <c r="L45" i="1" s="1"/>
  <c r="K46" i="1"/>
  <c r="L46" i="1" s="1"/>
  <c r="K47" i="1"/>
  <c r="L47" i="1" s="1"/>
  <c r="K48" i="1"/>
  <c r="L48" i="1" s="1"/>
  <c r="K49" i="1"/>
  <c r="L49" i="1" s="1"/>
  <c r="K50" i="1"/>
  <c r="L50" i="1" s="1"/>
  <c r="K52" i="1"/>
  <c r="L52" i="1" s="1"/>
  <c r="K53" i="1"/>
  <c r="L53" i="1" s="1"/>
  <c r="K54" i="1"/>
  <c r="L54" i="1" s="1"/>
  <c r="K55" i="1"/>
  <c r="L55" i="1" s="1"/>
  <c r="K56" i="1"/>
  <c r="L56" i="1" s="1"/>
  <c r="K57" i="1"/>
  <c r="L57" i="1" s="1"/>
  <c r="K58" i="1"/>
  <c r="L58" i="1" s="1"/>
  <c r="K59" i="1"/>
  <c r="L59" i="1" s="1"/>
  <c r="K60" i="1"/>
  <c r="L60" i="1" s="1"/>
  <c r="K61" i="1"/>
  <c r="L61" i="1" s="1"/>
  <c r="K62" i="1"/>
  <c r="L62" i="1" s="1"/>
  <c r="K64" i="1"/>
  <c r="L64" i="1" s="1"/>
  <c r="K66" i="1"/>
  <c r="L66" i="1" s="1"/>
  <c r="K65" i="1"/>
  <c r="L65" i="1" s="1"/>
  <c r="K67" i="1"/>
  <c r="L67" i="1" s="1"/>
  <c r="K68" i="1"/>
  <c r="L68" i="1" s="1"/>
  <c r="K69" i="1"/>
  <c r="L69" i="1" s="1"/>
  <c r="K70" i="1"/>
  <c r="L70" i="1" s="1"/>
  <c r="K74" i="1"/>
  <c r="L74" i="1" s="1"/>
  <c r="K81" i="1"/>
  <c r="L81" i="1" s="1"/>
  <c r="K85" i="1"/>
  <c r="L85" i="1" s="1"/>
  <c r="K88" i="1"/>
  <c r="L88" i="1" s="1"/>
  <c r="K92" i="1"/>
  <c r="L92" i="1" s="1"/>
  <c r="K106" i="1"/>
  <c r="L106" i="1" s="1"/>
  <c r="K145" i="1"/>
  <c r="L145" i="1" s="1"/>
  <c r="K142" i="1"/>
  <c r="L142" i="1" s="1"/>
  <c r="K144" i="1"/>
  <c r="L144" i="1" s="1"/>
  <c r="K146" i="1"/>
  <c r="L146" i="1" s="1"/>
  <c r="K148" i="1"/>
  <c r="L148" i="1" s="1"/>
  <c r="K150" i="1"/>
  <c r="L150" i="1" s="1"/>
  <c r="K158" i="1"/>
  <c r="L158" i="1" s="1"/>
  <c r="K170" i="1"/>
  <c r="L170" i="1" s="1"/>
  <c r="K164" i="1"/>
  <c r="L164" i="1" s="1"/>
  <c r="K160" i="1"/>
  <c r="L160" i="1" s="1"/>
  <c r="K159" i="1"/>
  <c r="L159" i="1" s="1"/>
  <c r="K172" i="1"/>
  <c r="L172" i="1" s="1"/>
  <c r="K167" i="1"/>
  <c r="L167" i="1" s="1"/>
  <c r="K171" i="1"/>
  <c r="L171" i="1" s="1"/>
  <c r="K174" i="1"/>
  <c r="L174" i="1" s="1"/>
  <c r="K178" i="1"/>
  <c r="L178" i="1" s="1"/>
  <c r="K179" i="1"/>
  <c r="L179" i="1" s="1"/>
  <c r="K155" i="1"/>
  <c r="L155" i="1" s="1"/>
  <c r="K156" i="1"/>
  <c r="L156" i="1" s="1"/>
  <c r="K157" i="1"/>
  <c r="L157" i="1" s="1"/>
  <c r="K185" i="1"/>
  <c r="L185" i="1" s="1"/>
  <c r="K190" i="1"/>
  <c r="L190" i="1" s="1"/>
  <c r="K180" i="1"/>
  <c r="K181" i="1"/>
  <c r="L181" i="1" s="1"/>
  <c r="K182" i="1"/>
  <c r="L182" i="1" s="1"/>
  <c r="K183" i="1"/>
  <c r="L183" i="1" s="1"/>
  <c r="K192" i="1"/>
  <c r="L192" i="1" s="1"/>
  <c r="K193" i="1"/>
  <c r="L193" i="1" s="1"/>
  <c r="K194" i="1"/>
  <c r="L194" i="1" s="1"/>
  <c r="K222" i="1"/>
  <c r="L222" i="1" s="1"/>
  <c r="K223" i="1"/>
  <c r="L223" i="1" s="1"/>
  <c r="K224" i="1"/>
  <c r="L224" i="1" s="1"/>
  <c r="K229" i="1"/>
  <c r="L229" i="1" s="1"/>
  <c r="K230" i="1"/>
  <c r="L230" i="1" s="1"/>
  <c r="K231" i="1"/>
  <c r="L231" i="1" s="1"/>
  <c r="K232" i="1"/>
  <c r="L232" i="1" s="1"/>
  <c r="K233" i="1"/>
  <c r="L233" i="1" s="1"/>
  <c r="K235" i="1"/>
  <c r="L235" i="1" s="1"/>
  <c r="K236" i="1"/>
  <c r="L236" i="1" s="1"/>
  <c r="K237" i="1"/>
  <c r="L237" i="1" s="1"/>
  <c r="K238" i="1"/>
  <c r="L238" i="1" s="1"/>
  <c r="K239" i="1"/>
  <c r="L239" i="1" s="1"/>
  <c r="K240" i="1"/>
  <c r="L240" i="1" s="1"/>
  <c r="K241" i="1"/>
  <c r="L241" i="1" s="1"/>
  <c r="K248" i="1"/>
  <c r="L248" i="1" s="1"/>
  <c r="K250" i="1"/>
  <c r="L250" i="1" s="1"/>
  <c r="K249" i="1"/>
  <c r="L249" i="1" s="1"/>
  <c r="K251" i="1"/>
  <c r="L251" i="1" s="1"/>
  <c r="K253" i="1"/>
  <c r="L253" i="1" s="1"/>
  <c r="K254" i="1"/>
  <c r="L254" i="1" s="1"/>
  <c r="K255" i="1"/>
  <c r="L255" i="1" s="1"/>
  <c r="K259" i="1"/>
  <c r="L259" i="1" s="1"/>
  <c r="K260" i="1"/>
  <c r="L260" i="1" s="1"/>
  <c r="K261" i="1"/>
  <c r="L261" i="1" s="1"/>
  <c r="K262" i="1"/>
  <c r="L262" i="1" s="1"/>
  <c r="K263" i="1"/>
  <c r="L263" i="1" s="1"/>
  <c r="K264" i="1"/>
  <c r="L264" i="1" s="1"/>
  <c r="K265" i="1"/>
  <c r="L265" i="1" s="1"/>
  <c r="K266" i="1"/>
  <c r="L266" i="1" s="1"/>
  <c r="K267" i="1"/>
  <c r="L267" i="1" s="1"/>
  <c r="K273" i="1"/>
  <c r="L273" i="1" s="1"/>
  <c r="K274" i="1"/>
  <c r="L274" i="1" s="1"/>
  <c r="K277" i="1"/>
  <c r="L277" i="1" s="1"/>
  <c r="K278" i="1"/>
  <c r="L278" i="1" s="1"/>
  <c r="K271" i="1"/>
  <c r="L271" i="1" s="1"/>
  <c r="K272" i="1"/>
  <c r="L272" i="1" s="1"/>
  <c r="K291" i="1"/>
  <c r="L291" i="1" s="1"/>
  <c r="K295" i="1"/>
  <c r="L295" i="1" s="1"/>
  <c r="K296" i="1"/>
  <c r="L296" i="1" s="1"/>
  <c r="K304" i="1"/>
  <c r="L304" i="1" s="1"/>
  <c r="K305" i="1"/>
  <c r="L305" i="1" s="1"/>
  <c r="K306" i="1"/>
  <c r="L306" i="1" s="1"/>
  <c r="K300" i="1"/>
  <c r="L300" i="1" s="1"/>
  <c r="K299" i="1"/>
  <c r="L299" i="1" s="1"/>
  <c r="K301" i="1"/>
  <c r="L301" i="1" s="1"/>
  <c r="K312" i="1"/>
  <c r="L312" i="1" s="1"/>
  <c r="K313" i="1"/>
  <c r="K315" i="1"/>
  <c r="L315" i="1" s="1"/>
  <c r="K316" i="1"/>
  <c r="L316" i="1" s="1"/>
  <c r="B13" i="2"/>
  <c r="F13" i="2" s="1"/>
  <c r="B12" i="2"/>
  <c r="F12" i="2" s="1"/>
  <c r="B11" i="2"/>
  <c r="F11" i="2" s="1"/>
  <c r="B10" i="2"/>
  <c r="F10" i="2" s="1"/>
  <c r="B9" i="2"/>
  <c r="F9" i="2" s="1"/>
  <c r="B7" i="2"/>
  <c r="F7" i="2" s="1"/>
  <c r="B5" i="2"/>
  <c r="F5" i="2" s="1"/>
  <c r="B4" i="2"/>
  <c r="F4" i="2" s="1"/>
  <c r="B3" i="2"/>
  <c r="F3" i="2" s="1"/>
  <c r="M157" i="1" a="1"/>
  <c r="M23" i="1" a="1"/>
  <c r="M262" i="1" a="1"/>
  <c r="M61" i="1" a="1"/>
  <c r="M250" i="1" a="1"/>
  <c r="M24" i="1" a="1"/>
  <c r="M259" i="1" a="1"/>
  <c r="M230" i="1" a="1"/>
  <c r="M88" i="1" a="1"/>
  <c r="M304" i="1" a="1"/>
  <c r="M300" i="1" a="1"/>
  <c r="M31" i="1" a="1"/>
  <c r="M194" i="1" a="1"/>
  <c r="M185" i="1" a="1"/>
  <c r="M231" i="1" a="1"/>
  <c r="M240" i="1" a="1"/>
  <c r="M222" i="1" a="1"/>
  <c r="M20" i="1" a="1"/>
  <c r="M255" i="1" a="1"/>
  <c r="M65" i="1" a="1"/>
  <c r="M45" i="1" a="1"/>
  <c r="M70" i="1" a="1"/>
  <c r="M238" i="1" a="1"/>
  <c r="M236" i="1" a="1"/>
  <c r="M5" i="1" a="1"/>
  <c r="M312" i="1" a="1"/>
  <c r="M237" i="1" a="1"/>
  <c r="M306" i="1" a="1"/>
  <c r="M233" i="1" a="1"/>
  <c r="M301" i="1" a="1"/>
  <c r="M223" i="1" a="1"/>
  <c r="M4" i="1" a="1"/>
  <c r="M25" i="1" a="1"/>
  <c r="M55" i="1" a="1"/>
  <c r="M66" i="1" a="1"/>
  <c r="M68" i="1" a="1"/>
  <c r="M56" i="1" a="1"/>
  <c r="M239" i="1" a="1"/>
  <c r="M278" i="1" a="1"/>
  <c r="M190" i="1" a="1"/>
  <c r="M64" i="1" a="1"/>
  <c r="M171" i="1" a="1"/>
  <c r="M92" i="1" a="1"/>
  <c r="M167" i="1" a="1"/>
  <c r="M48" i="1" a="1"/>
  <c r="M47" i="1" a="1"/>
  <c r="M59" i="1" a="1"/>
  <c r="M148" i="1" a="1"/>
  <c r="M46" i="1" a="1"/>
  <c r="M266" i="1" a="1"/>
  <c r="M174" i="1" a="1"/>
  <c r="M264" i="1" a="1"/>
  <c r="M267" i="1" a="1"/>
  <c r="M261" i="1" a="1"/>
  <c r="M146" i="1" a="1"/>
  <c r="M260" i="1" a="1"/>
  <c r="M248" i="1" a="1"/>
  <c r="M30" i="1" a="1"/>
  <c r="M170" i="1" a="1"/>
  <c r="M158" i="1" a="1"/>
  <c r="M150" i="1" a="1"/>
  <c r="M69" i="1" a="1"/>
  <c r="M40" i="1" a="1"/>
  <c r="M273" i="1" a="1"/>
  <c r="M159" i="1" a="1"/>
  <c r="M182" i="1" a="1"/>
  <c r="M179" i="1" a="1"/>
  <c r="M315" i="1" a="1"/>
  <c r="M253" i="1" a="1"/>
  <c r="M19" i="1" a="1"/>
  <c r="M181" i="1" a="1"/>
  <c r="M26" i="1" a="1"/>
  <c r="M74" i="1" a="1"/>
  <c r="M29" i="1" a="1"/>
  <c r="M249" i="1" a="1"/>
  <c r="M232" i="1" a="1"/>
  <c r="M183" i="1" a="1"/>
  <c r="M316" i="1" a="1"/>
  <c r="M265" i="1" a="1"/>
  <c r="M295" i="1" a="1"/>
  <c r="M263" i="1" a="1"/>
  <c r="M164" i="1" a="1"/>
  <c r="M160" i="1" a="1"/>
  <c r="M193" i="1" a="1"/>
  <c r="M44" i="1" a="1"/>
  <c r="M224" i="1" a="1"/>
  <c r="M296" i="1" a="1"/>
  <c r="M277" i="1" a="1"/>
  <c r="M291" i="1" a="1"/>
  <c r="M145" i="1" a="1"/>
  <c r="M172" i="1" a="1"/>
  <c r="M305" i="1" a="1"/>
  <c r="M22" i="1" a="1"/>
  <c r="M53" i="1" a="1"/>
  <c r="M106" i="1" a="1"/>
  <c r="M52" i="1" a="1"/>
  <c r="M49" i="1" a="1"/>
  <c r="M3" i="1" a="1"/>
  <c r="M32" i="1" a="1"/>
  <c r="M274" i="1" a="1"/>
  <c r="M299" i="1" a="1"/>
  <c r="M17" i="1" a="1"/>
  <c r="M39" i="1" a="1"/>
  <c r="M21" i="1" a="1"/>
  <c r="M192" i="1" a="1"/>
  <c r="M241" i="1" a="1"/>
  <c r="M178" i="1" a="1"/>
  <c r="M235" i="1" a="1"/>
  <c r="M27" i="1" a="1"/>
  <c r="M57" i="1" a="1"/>
  <c r="M142" i="1" a="1"/>
  <c r="M155" i="1" a="1"/>
  <c r="M229" i="1" a="1"/>
  <c r="M272" i="1" a="1"/>
  <c r="M254" i="1" a="1"/>
  <c r="M18" i="1" a="1"/>
  <c r="M50" i="1" a="1"/>
  <c r="M85" i="1" a="1"/>
  <c r="M54" i="1" a="1"/>
  <c r="M62" i="1" a="1"/>
  <c r="M156" i="1" a="1"/>
  <c r="M28" i="1" a="1"/>
  <c r="M81" i="1" a="1"/>
  <c r="M251" i="1" a="1"/>
  <c r="M60" i="1" a="1"/>
  <c r="M144" i="1" a="1"/>
  <c r="M58" i="1" a="1"/>
  <c r="M271" i="1" a="1"/>
  <c r="M67" i="1" a="1"/>
  <c r="F56" i="7" l="1"/>
  <c r="K298" i="1"/>
  <c r="L298" i="1" s="1"/>
  <c r="K246" i="1"/>
  <c r="L246" i="1" s="1"/>
  <c r="K199" i="1"/>
  <c r="L199" i="1" s="1"/>
  <c r="K275" i="1"/>
  <c r="L275" i="1" s="1"/>
  <c r="K211" i="1"/>
  <c r="L211" i="1" s="1"/>
  <c r="K286" i="1"/>
  <c r="L286" i="1" s="1"/>
  <c r="K311" i="1"/>
  <c r="L311" i="1" s="1"/>
  <c r="K309" i="1"/>
  <c r="L309" i="1" s="1"/>
  <c r="K303" i="1"/>
  <c r="L303" i="1" s="1"/>
  <c r="K280" i="1"/>
  <c r="L280" i="1" s="1"/>
  <c r="K215" i="1"/>
  <c r="L215" i="1" s="1"/>
  <c r="K293" i="1"/>
  <c r="L293" i="1" s="1"/>
  <c r="K243" i="1"/>
  <c r="L243" i="1" s="1"/>
  <c r="K214" i="1"/>
  <c r="L214" i="1" s="1"/>
  <c r="K302" i="1"/>
  <c r="L302" i="1" s="1"/>
  <c r="K288" i="1"/>
  <c r="L288" i="1" s="1"/>
  <c r="K282" i="1"/>
  <c r="L282" i="1" s="1"/>
  <c r="K279" i="1"/>
  <c r="L279" i="1" s="1"/>
  <c r="K258" i="1"/>
  <c r="L258" i="1" s="1"/>
  <c r="K234" i="1"/>
  <c r="L234" i="1" s="1"/>
  <c r="K225" i="1"/>
  <c r="L225" i="1" s="1"/>
  <c r="K203" i="1"/>
  <c r="L203" i="1" s="1"/>
  <c r="K198" i="1"/>
  <c r="L198" i="1" s="1"/>
  <c r="K165" i="1"/>
  <c r="L165" i="1" s="1"/>
  <c r="K141" i="1"/>
  <c r="L141" i="1" s="1"/>
  <c r="K139" i="1"/>
  <c r="L139" i="1" s="1"/>
  <c r="K129" i="1"/>
  <c r="L129" i="1" s="1"/>
  <c r="K119" i="1"/>
  <c r="L119" i="1" s="1"/>
  <c r="K115" i="1"/>
  <c r="L115" i="1" s="1"/>
  <c r="K99" i="1"/>
  <c r="L99" i="1" s="1"/>
  <c r="K86" i="1"/>
  <c r="L86" i="1" s="1"/>
  <c r="K82" i="1"/>
  <c r="K51" i="11" s="1"/>
  <c r="L51" i="11" s="1"/>
  <c r="K79" i="1"/>
  <c r="L79" i="1" s="1"/>
  <c r="K36" i="1"/>
  <c r="L36" i="1" s="1"/>
  <c r="K16" i="1"/>
  <c r="L16" i="1" s="1"/>
  <c r="K7" i="1"/>
  <c r="L7" i="1" s="1"/>
  <c r="K314" i="1"/>
  <c r="L314" i="1" s="1"/>
  <c r="K297" i="1"/>
  <c r="L297" i="1" s="1"/>
  <c r="K287" i="1"/>
  <c r="L287" i="1" s="1"/>
  <c r="K270" i="1"/>
  <c r="L270" i="1" s="1"/>
  <c r="K276" i="1"/>
  <c r="L276" i="1" s="1"/>
  <c r="K257" i="1"/>
  <c r="L257" i="1" s="1"/>
  <c r="K247" i="1"/>
  <c r="L247" i="1" s="1"/>
  <c r="K228" i="1"/>
  <c r="L228" i="1" s="1"/>
  <c r="K217" i="1"/>
  <c r="L217" i="1" s="1"/>
  <c r="K216" i="1"/>
  <c r="L216" i="1" s="1"/>
  <c r="K210" i="1"/>
  <c r="L210" i="1" s="1"/>
  <c r="K205" i="1"/>
  <c r="L205" i="1" s="1"/>
  <c r="K187" i="1"/>
  <c r="L187" i="1" s="1"/>
  <c r="K177" i="1"/>
  <c r="L177" i="1" s="1"/>
  <c r="K173" i="1"/>
  <c r="L173" i="1" s="1"/>
  <c r="K153" i="1"/>
  <c r="L153" i="1" s="1"/>
  <c r="K136" i="1"/>
  <c r="L136" i="1" s="1"/>
  <c r="K127" i="1"/>
  <c r="L127" i="1" s="1"/>
  <c r="K122" i="1"/>
  <c r="L122" i="1" s="1"/>
  <c r="K114" i="1"/>
  <c r="L114" i="1" s="1"/>
  <c r="K105" i="1"/>
  <c r="L105" i="1" s="1"/>
  <c r="K97" i="1"/>
  <c r="K90" i="1"/>
  <c r="L90" i="1" s="1"/>
  <c r="K72" i="1"/>
  <c r="L72" i="1" s="1"/>
  <c r="K38" i="1"/>
  <c r="L38" i="1" s="1"/>
  <c r="K14" i="1"/>
  <c r="L14" i="1" s="1"/>
  <c r="K290" i="1"/>
  <c r="L290" i="1" s="1"/>
  <c r="K269" i="1"/>
  <c r="L269" i="1" s="1"/>
  <c r="K256" i="1"/>
  <c r="K13" i="11" s="1"/>
  <c r="L13" i="11" s="1"/>
  <c r="K244" i="1"/>
  <c r="L244" i="1" s="1"/>
  <c r="K227" i="1"/>
  <c r="L227" i="1" s="1"/>
  <c r="K206" i="1"/>
  <c r="L206" i="1" s="1"/>
  <c r="K200" i="1"/>
  <c r="L200" i="1" s="1"/>
  <c r="K195" i="1"/>
  <c r="L195" i="1" s="1"/>
  <c r="K161" i="1"/>
  <c r="L161" i="1" s="1"/>
  <c r="K152" i="1"/>
  <c r="L152" i="1" s="1"/>
  <c r="K138" i="1"/>
  <c r="L138" i="1" s="1"/>
  <c r="K126" i="1"/>
  <c r="L126" i="1" s="1"/>
  <c r="K121" i="1"/>
  <c r="L121" i="1" s="1"/>
  <c r="K110" i="1"/>
  <c r="L110" i="1" s="1"/>
  <c r="K102" i="1"/>
  <c r="L102" i="1" s="1"/>
  <c r="K96" i="1"/>
  <c r="L96" i="1" s="1"/>
  <c r="K84" i="1"/>
  <c r="L84" i="1" s="1"/>
  <c r="K77" i="1"/>
  <c r="L77" i="1" s="1"/>
  <c r="K37" i="1"/>
  <c r="L37" i="1" s="1"/>
  <c r="K11" i="1"/>
  <c r="L11" i="1" s="1"/>
  <c r="K308" i="1"/>
  <c r="L308" i="1" s="1"/>
  <c r="K289" i="1"/>
  <c r="L289" i="1" s="1"/>
  <c r="K284" i="1"/>
  <c r="L284" i="1" s="1"/>
  <c r="K242" i="1"/>
  <c r="L242" i="1" s="1"/>
  <c r="K226" i="1"/>
  <c r="L226" i="1" s="1"/>
  <c r="K204" i="1"/>
  <c r="L204" i="1" s="1"/>
  <c r="K196" i="1"/>
  <c r="L196" i="1" s="1"/>
  <c r="K197" i="1"/>
  <c r="L197" i="1" s="1"/>
  <c r="K184" i="1"/>
  <c r="L184" i="1" s="1"/>
  <c r="K168" i="1"/>
  <c r="L168" i="1" s="1"/>
  <c r="K169" i="1"/>
  <c r="L169" i="1" s="1"/>
  <c r="K151" i="1"/>
  <c r="L151" i="1" s="1"/>
  <c r="K137" i="1"/>
  <c r="L137" i="1" s="1"/>
  <c r="K135" i="1"/>
  <c r="L135" i="1" s="1"/>
  <c r="K131" i="1"/>
  <c r="L131" i="1" s="1"/>
  <c r="K116" i="1"/>
  <c r="L116" i="1" s="1"/>
  <c r="K112" i="1"/>
  <c r="L112" i="1" s="1"/>
  <c r="K103" i="1"/>
  <c r="L103" i="1" s="1"/>
  <c r="K95" i="1"/>
  <c r="L95" i="1" s="1"/>
  <c r="K87" i="1"/>
  <c r="L87" i="1" s="1"/>
  <c r="K76" i="1"/>
  <c r="L76" i="1" s="1"/>
  <c r="K71" i="1"/>
  <c r="K113" i="11" s="1"/>
  <c r="L113" i="11" s="1"/>
  <c r="K63" i="1"/>
  <c r="L63" i="1" s="1"/>
  <c r="K35" i="1"/>
  <c r="L35" i="1" s="1"/>
  <c r="K13" i="1"/>
  <c r="L13" i="1" s="1"/>
  <c r="K221" i="1"/>
  <c r="L221" i="1" s="1"/>
  <c r="K188" i="1"/>
  <c r="L188" i="1" s="1"/>
  <c r="K176" i="1"/>
  <c r="L176" i="1" s="1"/>
  <c r="K166" i="1"/>
  <c r="L166" i="1" s="1"/>
  <c r="K143" i="1"/>
  <c r="L143" i="1" s="1"/>
  <c r="K133" i="1"/>
  <c r="L133" i="1" s="1"/>
  <c r="K125" i="1"/>
  <c r="K118" i="1"/>
  <c r="L118" i="1" s="1"/>
  <c r="K109" i="1"/>
  <c r="L109" i="1" s="1"/>
  <c r="K104" i="1"/>
  <c r="L104" i="1" s="1"/>
  <c r="K91" i="1"/>
  <c r="L91" i="1" s="1"/>
  <c r="K73" i="1"/>
  <c r="L73" i="1" s="1"/>
  <c r="K42" i="1"/>
  <c r="L42" i="1" s="1"/>
  <c r="K33" i="1"/>
  <c r="L33" i="1" s="1"/>
  <c r="K9" i="1"/>
  <c r="L9" i="1" s="1"/>
  <c r="K310" i="1"/>
  <c r="L310" i="1" s="1"/>
  <c r="K294" i="1"/>
  <c r="L294" i="1" s="1"/>
  <c r="K285" i="1"/>
  <c r="K106" i="11" s="1"/>
  <c r="L106" i="11" s="1"/>
  <c r="K283" i="1"/>
  <c r="L283" i="1" s="1"/>
  <c r="K220" i="1"/>
  <c r="L220" i="1" s="1"/>
  <c r="K212" i="1"/>
  <c r="L212" i="1" s="1"/>
  <c r="K201" i="1"/>
  <c r="L201" i="1" s="1"/>
  <c r="K202" i="1"/>
  <c r="L202" i="1" s="1"/>
  <c r="K189" i="1"/>
  <c r="L189" i="1" s="1"/>
  <c r="K162" i="1"/>
  <c r="L162" i="1" s="1"/>
  <c r="K149" i="1"/>
  <c r="L149" i="1" s="1"/>
  <c r="K134" i="1"/>
  <c r="L134" i="1" s="1"/>
  <c r="K128" i="1"/>
  <c r="L128" i="1" s="1"/>
  <c r="K117" i="1"/>
  <c r="L117" i="1" s="1"/>
  <c r="K120" i="1"/>
  <c r="L120" i="1" s="1"/>
  <c r="K100" i="1"/>
  <c r="L100" i="1" s="1"/>
  <c r="K94" i="1"/>
  <c r="L94" i="1" s="1"/>
  <c r="K89" i="1"/>
  <c r="L89" i="1" s="1"/>
  <c r="K80" i="1"/>
  <c r="L80" i="1" s="1"/>
  <c r="K34" i="1"/>
  <c r="L34" i="1" s="1"/>
  <c r="K10" i="1"/>
  <c r="L10" i="1" s="1"/>
  <c r="K292" i="1"/>
  <c r="K80" i="11" s="1"/>
  <c r="L80" i="11" s="1"/>
  <c r="K268" i="1"/>
  <c r="K82" i="11" s="1"/>
  <c r="L82" i="11" s="1"/>
  <c r="K252" i="1"/>
  <c r="K218" i="1"/>
  <c r="L218" i="1" s="1"/>
  <c r="K207" i="1"/>
  <c r="L207" i="1" s="1"/>
  <c r="K209" i="1"/>
  <c r="L209" i="1" s="1"/>
  <c r="K186" i="1"/>
  <c r="L186" i="1" s="1"/>
  <c r="K175" i="1"/>
  <c r="L175" i="1" s="1"/>
  <c r="K163" i="1"/>
  <c r="L163" i="1" s="1"/>
  <c r="K132" i="1"/>
  <c r="L132" i="1" s="1"/>
  <c r="K124" i="1"/>
  <c r="L124" i="1" s="1"/>
  <c r="K113" i="1"/>
  <c r="L113" i="1" s="1"/>
  <c r="K107" i="1"/>
  <c r="K42" i="11" s="1"/>
  <c r="L42" i="11" s="1"/>
  <c r="K98" i="1"/>
  <c r="L98" i="1" s="1"/>
  <c r="K93" i="1"/>
  <c r="L93" i="1" s="1"/>
  <c r="K78" i="1"/>
  <c r="L78" i="1" s="1"/>
  <c r="K12" i="1"/>
  <c r="L12" i="1" s="1"/>
  <c r="K8" i="1"/>
  <c r="L8" i="1" s="1"/>
  <c r="K307" i="1"/>
  <c r="K281" i="1"/>
  <c r="L281" i="1" s="1"/>
  <c r="K245" i="1"/>
  <c r="L245" i="1" s="1"/>
  <c r="K219" i="1"/>
  <c r="L219" i="1" s="1"/>
  <c r="K213" i="1"/>
  <c r="L213" i="1" s="1"/>
  <c r="K208" i="1"/>
  <c r="L208" i="1" s="1"/>
  <c r="K191" i="1"/>
  <c r="L191" i="1" s="1"/>
  <c r="K154" i="1"/>
  <c r="L154" i="1" s="1"/>
  <c r="K147" i="1"/>
  <c r="L147" i="1" s="1"/>
  <c r="K140" i="1"/>
  <c r="L140" i="1" s="1"/>
  <c r="K130" i="1"/>
  <c r="L130" i="1" s="1"/>
  <c r="K123" i="1"/>
  <c r="L123" i="1" s="1"/>
  <c r="K111" i="1"/>
  <c r="L111" i="1" s="1"/>
  <c r="K108" i="1"/>
  <c r="L108" i="1" s="1"/>
  <c r="K101" i="1"/>
  <c r="L101" i="1" s="1"/>
  <c r="K83" i="1"/>
  <c r="L83" i="1" s="1"/>
  <c r="K75" i="1"/>
  <c r="L75" i="1" s="1"/>
  <c r="K51" i="1"/>
  <c r="K70" i="11" s="1"/>
  <c r="L70" i="11" s="1"/>
  <c r="K41" i="1"/>
  <c r="L41" i="1" s="1"/>
  <c r="K15" i="1"/>
  <c r="L15" i="1" s="1"/>
  <c r="K6" i="1"/>
  <c r="L6" i="1" s="1"/>
  <c r="L313" i="1"/>
  <c r="K72" i="11"/>
  <c r="L72" i="11" s="1"/>
  <c r="K67" i="11"/>
  <c r="L67" i="11" s="1"/>
  <c r="K84" i="11"/>
  <c r="L84" i="11" s="1"/>
  <c r="L97" i="1"/>
  <c r="K30" i="11"/>
  <c r="L30" i="11" s="1"/>
  <c r="K4" i="11"/>
  <c r="L4" i="11" s="1"/>
  <c r="K73" i="11"/>
  <c r="L73" i="11" s="1"/>
  <c r="K9" i="11"/>
  <c r="L9" i="11" s="1"/>
  <c r="K36" i="11"/>
  <c r="L36" i="11" s="1"/>
  <c r="K40" i="11"/>
  <c r="L40" i="11" s="1"/>
  <c r="K6" i="11"/>
  <c r="L6" i="11" s="1"/>
  <c r="K15" i="11"/>
  <c r="L15" i="11" s="1"/>
  <c r="K7" i="11"/>
  <c r="L7" i="11" s="1"/>
  <c r="K20" i="11"/>
  <c r="L20" i="11" s="1"/>
  <c r="K55" i="11"/>
  <c r="L55" i="11" s="1"/>
  <c r="L125" i="1"/>
  <c r="K97" i="11"/>
  <c r="L97" i="11" s="1"/>
  <c r="K93" i="11"/>
  <c r="L93" i="11" s="1"/>
  <c r="K89" i="11"/>
  <c r="L89" i="11" s="1"/>
  <c r="K98" i="11"/>
  <c r="L98" i="11" s="1"/>
  <c r="K90" i="11"/>
  <c r="L90" i="11" s="1"/>
  <c r="K86" i="11"/>
  <c r="L86" i="11" s="1"/>
  <c r="K100" i="11"/>
  <c r="L100" i="11" s="1"/>
  <c r="K95" i="11"/>
  <c r="L95" i="11" s="1"/>
  <c r="K91" i="11"/>
  <c r="L91" i="11" s="1"/>
  <c r="K88" i="11"/>
  <c r="L88" i="11" s="1"/>
  <c r="K110" i="11"/>
  <c r="L110" i="11" s="1"/>
  <c r="L268" i="1"/>
  <c r="L252" i="1"/>
  <c r="K19" i="11"/>
  <c r="L19" i="11" s="1"/>
  <c r="L107" i="1"/>
  <c r="K50" i="11"/>
  <c r="L50" i="11" s="1"/>
  <c r="K26" i="11"/>
  <c r="L26" i="11" s="1"/>
  <c r="K53" i="11"/>
  <c r="L53" i="11" s="1"/>
  <c r="K35" i="11"/>
  <c r="L35" i="11" s="1"/>
  <c r="K58" i="11"/>
  <c r="L58" i="11" s="1"/>
  <c r="K24" i="11"/>
  <c r="L24" i="11" s="1"/>
  <c r="L307" i="1"/>
  <c r="K85" i="11"/>
  <c r="L85" i="11" s="1"/>
  <c r="K94" i="11"/>
  <c r="L94" i="11" s="1"/>
  <c r="K103" i="11"/>
  <c r="L103" i="11" s="1"/>
  <c r="K92" i="11"/>
  <c r="L92" i="11" s="1"/>
  <c r="K96" i="11"/>
  <c r="L96" i="11" s="1"/>
  <c r="L180" i="1"/>
  <c r="K104" i="11"/>
  <c r="L104" i="11" s="1"/>
  <c r="K76" i="11"/>
  <c r="L76" i="11" s="1"/>
  <c r="L51" i="1"/>
  <c r="L43" i="1"/>
  <c r="K77" i="11"/>
  <c r="L77" i="11" s="1"/>
  <c r="G56" i="7"/>
  <c r="H41" i="7"/>
  <c r="M299" i="1"/>
  <c r="N299" i="1" s="1"/>
  <c r="M146" i="1"/>
  <c r="N146" i="1" s="1"/>
  <c r="M142" i="1"/>
  <c r="N142" i="1" s="1"/>
  <c r="M81" i="1"/>
  <c r="N81" i="1" s="1"/>
  <c r="M69" i="1"/>
  <c r="N69" i="1" s="1"/>
  <c r="M66" i="1"/>
  <c r="N66" i="1" s="1"/>
  <c r="M61" i="1"/>
  <c r="N61" i="1" s="1"/>
  <c r="M57" i="1"/>
  <c r="N57" i="1" s="1"/>
  <c r="M53" i="1"/>
  <c r="N53" i="1" s="1"/>
  <c r="M49" i="1"/>
  <c r="N49" i="1" s="1"/>
  <c r="M45" i="1"/>
  <c r="N45" i="1" s="1"/>
  <c r="M31" i="1"/>
  <c r="N31" i="1" s="1"/>
  <c r="M40" i="1"/>
  <c r="N40" i="1" s="1"/>
  <c r="M265" i="1"/>
  <c r="N265" i="1" s="1"/>
  <c r="M229" i="1"/>
  <c r="N229" i="1" s="1"/>
  <c r="M182" i="1"/>
  <c r="N182" i="1" s="1"/>
  <c r="M159" i="1"/>
  <c r="N159" i="1" s="1"/>
  <c r="M304" i="1"/>
  <c r="N304" i="1" s="1"/>
  <c r="M250" i="1"/>
  <c r="N250" i="1" s="1"/>
  <c r="M233" i="1"/>
  <c r="N233" i="1" s="1"/>
  <c r="M155" i="1"/>
  <c r="N155" i="1" s="1"/>
  <c r="M316" i="1"/>
  <c r="N316" i="1" s="1"/>
  <c r="M312" i="1"/>
  <c r="N312" i="1" s="1"/>
  <c r="M300" i="1"/>
  <c r="N300" i="1" s="1"/>
  <c r="M296" i="1"/>
  <c r="N296" i="1" s="1"/>
  <c r="M272" i="1"/>
  <c r="N272" i="1" s="1"/>
  <c r="M278" i="1"/>
  <c r="N278" i="1" s="1"/>
  <c r="M264" i="1"/>
  <c r="N264" i="1" s="1"/>
  <c r="M260" i="1"/>
  <c r="N260" i="1" s="1"/>
  <c r="M248" i="1"/>
  <c r="N248" i="1" s="1"/>
  <c r="M238" i="1"/>
  <c r="N238" i="1" s="1"/>
  <c r="M236" i="1"/>
  <c r="N236" i="1" s="1"/>
  <c r="M232" i="1"/>
  <c r="N232" i="1" s="1"/>
  <c r="M224" i="1"/>
  <c r="N224" i="1" s="1"/>
  <c r="M194" i="1"/>
  <c r="N194" i="1" s="1"/>
  <c r="M181" i="1"/>
  <c r="N181" i="1" s="1"/>
  <c r="M185" i="1"/>
  <c r="N185" i="1" s="1"/>
  <c r="M179" i="1"/>
  <c r="N179" i="1" s="1"/>
  <c r="M172" i="1"/>
  <c r="N172" i="1" s="1"/>
  <c r="M160" i="1"/>
  <c r="N160" i="1" s="1"/>
  <c r="M148" i="1"/>
  <c r="N148" i="1" s="1"/>
  <c r="M144" i="1"/>
  <c r="N144" i="1" s="1"/>
  <c r="M145" i="1"/>
  <c r="N145" i="1" s="1"/>
  <c r="M85" i="1"/>
  <c r="N85" i="1" s="1"/>
  <c r="M74" i="1"/>
  <c r="N74" i="1" s="1"/>
  <c r="M68" i="1"/>
  <c r="N68" i="1" s="1"/>
  <c r="M64" i="1"/>
  <c r="N64" i="1" s="1"/>
  <c r="M60" i="1"/>
  <c r="N60" i="1" s="1"/>
  <c r="M56" i="1"/>
  <c r="N56" i="1" s="1"/>
  <c r="M52" i="1"/>
  <c r="N52" i="1" s="1"/>
  <c r="M48" i="1"/>
  <c r="N48" i="1" s="1"/>
  <c r="M44" i="1"/>
  <c r="N44" i="1" s="1"/>
  <c r="M30" i="1"/>
  <c r="N30" i="1" s="1"/>
  <c r="M39" i="1"/>
  <c r="N39" i="1" s="1"/>
  <c r="M28" i="1"/>
  <c r="N28" i="1" s="1"/>
  <c r="M24" i="1"/>
  <c r="N24" i="1" s="1"/>
  <c r="M20" i="1"/>
  <c r="N20" i="1" s="1"/>
  <c r="M5" i="1"/>
  <c r="N5" i="1" s="1"/>
  <c r="N2" i="1"/>
  <c r="M261" i="1"/>
  <c r="N261" i="1" s="1"/>
  <c r="M237" i="1"/>
  <c r="N237" i="1" s="1"/>
  <c r="M171" i="1"/>
  <c r="N171" i="1" s="1"/>
  <c r="M21" i="1"/>
  <c r="N21" i="1" s="1"/>
  <c r="M315" i="1"/>
  <c r="N315" i="1" s="1"/>
  <c r="M306" i="1"/>
  <c r="N306" i="1" s="1"/>
  <c r="M295" i="1"/>
  <c r="N295" i="1" s="1"/>
  <c r="M291" i="1"/>
  <c r="N291" i="1" s="1"/>
  <c r="M271" i="1"/>
  <c r="N271" i="1" s="1"/>
  <c r="M277" i="1"/>
  <c r="N277" i="1" s="1"/>
  <c r="M267" i="1"/>
  <c r="N267" i="1" s="1"/>
  <c r="M263" i="1"/>
  <c r="N263" i="1" s="1"/>
  <c r="M259" i="1"/>
  <c r="N259" i="1" s="1"/>
  <c r="M255" i="1"/>
  <c r="N255" i="1" s="1"/>
  <c r="M251" i="1"/>
  <c r="N251" i="1" s="1"/>
  <c r="M241" i="1"/>
  <c r="N241" i="1" s="1"/>
  <c r="M235" i="1"/>
  <c r="N235" i="1" s="1"/>
  <c r="M231" i="1"/>
  <c r="N231" i="1" s="1"/>
  <c r="M223" i="1"/>
  <c r="N223" i="1" s="1"/>
  <c r="M193" i="1"/>
  <c r="N193" i="1" s="1"/>
  <c r="M157" i="1"/>
  <c r="N157" i="1" s="1"/>
  <c r="M178" i="1"/>
  <c r="N178" i="1" s="1"/>
  <c r="M164" i="1"/>
  <c r="N164" i="1" s="1"/>
  <c r="M158" i="1"/>
  <c r="N158" i="1" s="1"/>
  <c r="M92" i="1"/>
  <c r="N92" i="1" s="1"/>
  <c r="M67" i="1"/>
  <c r="N67" i="1" s="1"/>
  <c r="M59" i="1"/>
  <c r="N59" i="1" s="1"/>
  <c r="M55" i="1"/>
  <c r="N55" i="1" s="1"/>
  <c r="M47" i="1"/>
  <c r="N47" i="1" s="1"/>
  <c r="M29" i="1"/>
  <c r="N29" i="1" s="1"/>
  <c r="M27" i="1"/>
  <c r="N27" i="1" s="1"/>
  <c r="M23" i="1"/>
  <c r="N23" i="1" s="1"/>
  <c r="M19" i="1"/>
  <c r="N19" i="1" s="1"/>
  <c r="M4" i="1"/>
  <c r="N4" i="1" s="1"/>
  <c r="M273" i="1"/>
  <c r="N273" i="1" s="1"/>
  <c r="M239" i="1"/>
  <c r="N239" i="1" s="1"/>
  <c r="M25" i="1"/>
  <c r="N25" i="1" s="1"/>
  <c r="M253" i="1"/>
  <c r="N253" i="1" s="1"/>
  <c r="M17" i="1"/>
  <c r="N17" i="1" s="1"/>
  <c r="M301" i="1"/>
  <c r="N301" i="1" s="1"/>
  <c r="M305" i="1"/>
  <c r="N305" i="1" s="1"/>
  <c r="M274" i="1"/>
  <c r="N274" i="1" s="1"/>
  <c r="M266" i="1"/>
  <c r="N266" i="1" s="1"/>
  <c r="M262" i="1"/>
  <c r="N262" i="1" s="1"/>
  <c r="M254" i="1"/>
  <c r="N254" i="1" s="1"/>
  <c r="M249" i="1"/>
  <c r="N249" i="1" s="1"/>
  <c r="M240" i="1"/>
  <c r="N240" i="1" s="1"/>
  <c r="M230" i="1"/>
  <c r="N230" i="1" s="1"/>
  <c r="M222" i="1"/>
  <c r="N222" i="1" s="1"/>
  <c r="M192" i="1"/>
  <c r="N192" i="1" s="1"/>
  <c r="M183" i="1"/>
  <c r="N183" i="1" s="1"/>
  <c r="M190" i="1"/>
  <c r="N190" i="1" s="1"/>
  <c r="M156" i="1"/>
  <c r="N156" i="1" s="1"/>
  <c r="M174" i="1"/>
  <c r="N174" i="1" s="1"/>
  <c r="M167" i="1"/>
  <c r="N167" i="1" s="1"/>
  <c r="M170" i="1"/>
  <c r="N170" i="1" s="1"/>
  <c r="M150" i="1"/>
  <c r="N150" i="1" s="1"/>
  <c r="M106" i="1"/>
  <c r="N106" i="1" s="1"/>
  <c r="M88" i="1"/>
  <c r="N88" i="1" s="1"/>
  <c r="M70" i="1"/>
  <c r="N70" i="1" s="1"/>
  <c r="M65" i="1"/>
  <c r="N65" i="1" s="1"/>
  <c r="M62" i="1"/>
  <c r="N62" i="1" s="1"/>
  <c r="M58" i="1"/>
  <c r="N58" i="1" s="1"/>
  <c r="M54" i="1"/>
  <c r="N54" i="1" s="1"/>
  <c r="M50" i="1"/>
  <c r="N50" i="1" s="1"/>
  <c r="M46" i="1"/>
  <c r="N46" i="1" s="1"/>
  <c r="M32" i="1"/>
  <c r="N32" i="1" s="1"/>
  <c r="M26" i="1"/>
  <c r="N26" i="1" s="1"/>
  <c r="M22" i="1"/>
  <c r="N22" i="1" s="1"/>
  <c r="M18" i="1"/>
  <c r="N18" i="1" s="1"/>
  <c r="M3" i="1"/>
  <c r="N3" i="1" s="1"/>
  <c r="M97" i="11" a="1"/>
  <c r="M19" i="11" a="1"/>
  <c r="M13" i="11" a="1"/>
  <c r="M96" i="11" a="1"/>
  <c r="M35" i="11" a="1"/>
  <c r="M4" i="11" a="1"/>
  <c r="M15" i="11" a="1"/>
  <c r="M82" i="11" a="1"/>
  <c r="M106" i="11" a="1"/>
  <c r="M80" i="11" a="1"/>
  <c r="M53" i="11" a="1"/>
  <c r="M26" i="11" a="1"/>
  <c r="M113" i="11" a="1"/>
  <c r="M94" i="11" a="1"/>
  <c r="M40" i="11" a="1"/>
  <c r="M20" i="11" a="1"/>
  <c r="M24" i="11" a="1"/>
  <c r="M9" i="11" a="1"/>
  <c r="M77" i="11" a="1"/>
  <c r="M30" i="11" a="1"/>
  <c r="M7" i="11" a="1"/>
  <c r="M91" i="11" a="1"/>
  <c r="M55" i="11" a="1"/>
  <c r="M89" i="11" a="1"/>
  <c r="M86" i="11" a="1"/>
  <c r="M72" i="11" a="1"/>
  <c r="M36" i="11" a="1"/>
  <c r="M76" i="11" a="1"/>
  <c r="M92" i="11" a="1"/>
  <c r="M50" i="11" a="1"/>
  <c r="M104" i="11" a="1"/>
  <c r="M110" i="11" a="1"/>
  <c r="M100" i="11" a="1"/>
  <c r="M98" i="11" a="1"/>
  <c r="M67" i="11" a="1"/>
  <c r="M84" i="11" a="1"/>
  <c r="M6" i="11" a="1"/>
  <c r="M90" i="11" a="1"/>
  <c r="M103" i="11" a="1"/>
  <c r="M73" i="11" a="1"/>
  <c r="M88" i="11" a="1"/>
  <c r="M70" i="11" a="1"/>
  <c r="M95" i="11" a="1"/>
  <c r="M85" i="11" a="1"/>
  <c r="M51" i="11" a="1"/>
  <c r="M93" i="11" a="1"/>
  <c r="M42" i="11" a="1"/>
  <c r="M58" i="11" a="1"/>
  <c r="M153" i="1" a="1"/>
  <c r="M288" i="1" a="1"/>
  <c r="M35" i="1" a="1"/>
  <c r="M243" i="1" a="1"/>
  <c r="M201" i="1" a="1"/>
  <c r="M281" i="1" a="1"/>
  <c r="M134" i="1" a="1"/>
  <c r="M43" i="1" a="1"/>
  <c r="M289" i="1" a="1"/>
  <c r="M310" i="1" a="1"/>
  <c r="M151" i="1" a="1"/>
  <c r="M84" i="1" a="1"/>
  <c r="M186" i="1" a="1"/>
  <c r="M124" i="1" a="1"/>
  <c r="M175" i="1" a="1"/>
  <c r="M298" i="1" a="1"/>
  <c r="M127" i="1" a="1"/>
  <c r="M86" i="1" a="1"/>
  <c r="M303" i="1" a="1"/>
  <c r="M196" i="1" a="1"/>
  <c r="M189" i="1" a="1"/>
  <c r="M87" i="1" a="1"/>
  <c r="M152" i="1" a="1"/>
  <c r="M75" i="1" a="1"/>
  <c r="M188" i="1" a="1"/>
  <c r="M101" i="1" a="1"/>
  <c r="M38" i="1" a="1"/>
  <c r="M51" i="1" a="1"/>
  <c r="M15" i="1" a="1"/>
  <c r="M275" i="1" a="1"/>
  <c r="M79" i="1" a="1"/>
  <c r="M141" i="1" a="1"/>
  <c r="M115" i="1" a="1"/>
  <c r="M210" i="1" a="1"/>
  <c r="M228" i="1" a="1"/>
  <c r="M73" i="1" a="1"/>
  <c r="M123" i="1" a="1"/>
  <c r="M279" i="1" a="1"/>
  <c r="M104" i="1" a="1"/>
  <c r="M282" i="1" a="1"/>
  <c r="M314" i="1" a="1"/>
  <c r="M294" i="1" a="1"/>
  <c r="M109" i="1" a="1"/>
  <c r="M204" i="1" a="1"/>
  <c r="M161" i="1" a="1"/>
  <c r="M234" i="1" a="1"/>
  <c r="M206" i="1" a="1"/>
  <c r="M180" i="1" a="1"/>
  <c r="M102" i="1" a="1"/>
  <c r="M63" i="1" a="1"/>
  <c r="M119" i="1" a="1"/>
  <c r="M93" i="1" a="1"/>
  <c r="M10" i="1" a="1"/>
  <c r="M135" i="1" a="1"/>
  <c r="M244" i="1" a="1"/>
  <c r="M78" i="1" a="1"/>
  <c r="M287" i="1" a="1"/>
  <c r="M83" i="1" a="1"/>
  <c r="M7" i="1" a="1"/>
  <c r="M12" i="1" a="1"/>
  <c r="M199" i="1" a="1"/>
  <c r="M121" i="1" a="1"/>
  <c r="M216" i="1" a="1"/>
  <c r="M215" i="1" a="1"/>
  <c r="M246" i="1" a="1"/>
  <c r="M113" i="1" a="1"/>
  <c r="M128" i="1" a="1"/>
  <c r="M162" i="1" a="1"/>
  <c r="M209" i="1" a="1"/>
  <c r="M284" i="1" a="1"/>
  <c r="M168" i="1" a="1"/>
  <c r="M177" i="1" a="1"/>
  <c r="M213" i="1" a="1"/>
  <c r="M205" i="1" a="1"/>
  <c r="M100" i="1" a="1"/>
  <c r="M117" i="1" a="1"/>
  <c r="M184" i="1" a="1"/>
  <c r="M8" i="1" a="1"/>
  <c r="M76" i="1" a="1"/>
  <c r="M103" i="1" a="1"/>
  <c r="M268" i="1" a="1"/>
  <c r="M197" i="1" a="1"/>
  <c r="M77" i="1" a="1"/>
  <c r="M133" i="1" a="1"/>
  <c r="M211" i="1" a="1"/>
  <c r="M276" i="1" a="1"/>
  <c r="M149" i="1" a="1"/>
  <c r="M257" i="1" a="1"/>
  <c r="M202" i="1" a="1"/>
  <c r="M252" i="1" a="1"/>
  <c r="M98" i="1" a="1"/>
  <c r="M245" i="1" a="1"/>
  <c r="M129" i="1" a="1"/>
  <c r="M270" i="1" a="1"/>
  <c r="M137" i="1" a="1"/>
  <c r="M313" i="1" a="1"/>
  <c r="M212" i="1" a="1"/>
  <c r="M37" i="1" a="1"/>
  <c r="M208" i="1" a="1"/>
  <c r="M191" i="1" a="1"/>
  <c r="M130" i="1" a="1"/>
  <c r="M280" i="1" a="1"/>
  <c r="M131" i="1" a="1"/>
  <c r="M94" i="1" a="1"/>
  <c r="M176" i="1" a="1"/>
  <c r="M122" i="1" a="1"/>
  <c r="M11" i="1" a="1"/>
  <c r="M217" i="1" a="1"/>
  <c r="M111" i="1" a="1"/>
  <c r="M139" i="1" a="1"/>
  <c r="M116" i="1" a="1"/>
  <c r="M293" i="1" a="1"/>
  <c r="M33" i="1" a="1"/>
  <c r="M14" i="1" a="1"/>
  <c r="M165" i="1" a="1"/>
  <c r="M9" i="1" a="1"/>
  <c r="M200" i="1" a="1"/>
  <c r="M247" i="1" a="1"/>
  <c r="M34" i="1" a="1"/>
  <c r="M225" i="1" a="1"/>
  <c r="M42" i="1" a="1"/>
  <c r="M89" i="1" a="1"/>
  <c r="M114" i="1" a="1"/>
  <c r="M154" i="1" a="1"/>
  <c r="M207" i="1" a="1"/>
  <c r="M91" i="1" a="1"/>
  <c r="M107" i="1" a="1"/>
  <c r="M108" i="1" a="1"/>
  <c r="M99" i="1" a="1"/>
  <c r="M258" i="1" a="1"/>
  <c r="M290" i="1" a="1"/>
  <c r="M283" i="1" a="1"/>
  <c r="M143" i="1" a="1"/>
  <c r="M80" i="1" a="1"/>
  <c r="M13" i="1" a="1"/>
  <c r="M169" i="1" a="1"/>
  <c r="M96" i="1" a="1"/>
  <c r="M311" i="1" a="1"/>
  <c r="M138" i="1" a="1"/>
  <c r="M242" i="1" a="1"/>
  <c r="M269" i="1" a="1"/>
  <c r="M147" i="1" a="1"/>
  <c r="M95" i="1" a="1"/>
  <c r="M166" i="1" a="1"/>
  <c r="M221" i="1" a="1"/>
  <c r="M72" i="1" a="1"/>
  <c r="M163" i="1" a="1"/>
  <c r="M41" i="1" a="1"/>
  <c r="M226" i="1" a="1"/>
  <c r="M307" i="1" a="1"/>
  <c r="M227" i="1" a="1"/>
  <c r="M308" i="1" a="1"/>
  <c r="M220" i="1" a="1"/>
  <c r="M125" i="1" a="1"/>
  <c r="M16" i="1" a="1"/>
  <c r="M140" i="1" a="1"/>
  <c r="M118" i="1" a="1"/>
  <c r="M309" i="1" a="1"/>
  <c r="M219" i="1" a="1"/>
  <c r="M214" i="1" a="1"/>
  <c r="M105" i="1" a="1"/>
  <c r="M198" i="1" a="1"/>
  <c r="M132" i="1" a="1"/>
  <c r="M136" i="1" a="1"/>
  <c r="M97" i="1" a="1"/>
  <c r="M218" i="1" a="1"/>
  <c r="M36" i="1" a="1"/>
  <c r="M286" i="1" a="1"/>
  <c r="M187" i="1" a="1"/>
  <c r="M112" i="1" a="1"/>
  <c r="M195" i="1" a="1"/>
  <c r="M110" i="1" a="1"/>
  <c r="M297" i="1" a="1"/>
  <c r="M90" i="1" a="1"/>
  <c r="M203" i="1" a="1"/>
  <c r="M302" i="1" a="1"/>
  <c r="M120" i="1" a="1"/>
  <c r="M173" i="1" a="1"/>
  <c r="M126" i="1" a="1"/>
  <c r="K41" i="11" l="1"/>
  <c r="L41" i="11" s="1"/>
  <c r="L292" i="1"/>
  <c r="K22" i="11"/>
  <c r="L22" i="11" s="1"/>
  <c r="K115" i="11"/>
  <c r="L115" i="11" s="1"/>
  <c r="K61" i="11"/>
  <c r="L61" i="11" s="1"/>
  <c r="M298" i="1"/>
  <c r="N298" i="1" s="1"/>
  <c r="K11" i="11"/>
  <c r="L11" i="11" s="1"/>
  <c r="K102" i="11"/>
  <c r="L102" i="11" s="1"/>
  <c r="K5" i="11"/>
  <c r="L5" i="11" s="1"/>
  <c r="L71" i="1"/>
  <c r="K39" i="11"/>
  <c r="L39" i="11" s="1"/>
  <c r="K46" i="11"/>
  <c r="L46" i="11" s="1"/>
  <c r="K108" i="11"/>
  <c r="L108" i="11" s="1"/>
  <c r="K14" i="11"/>
  <c r="L14" i="11" s="1"/>
  <c r="K38" i="11"/>
  <c r="L38" i="11" s="1"/>
  <c r="K68" i="11"/>
  <c r="L68" i="11" s="1"/>
  <c r="K60" i="11"/>
  <c r="L60" i="11" s="1"/>
  <c r="K87" i="11"/>
  <c r="L87" i="11" s="1"/>
  <c r="K31" i="11"/>
  <c r="L31" i="11" s="1"/>
  <c r="K25" i="11"/>
  <c r="L25" i="11" s="1"/>
  <c r="K62" i="11"/>
  <c r="L62" i="11" s="1"/>
  <c r="K3" i="11"/>
  <c r="L3" i="11" s="1"/>
  <c r="K47" i="11"/>
  <c r="L47" i="11" s="1"/>
  <c r="L82" i="1"/>
  <c r="K28" i="11"/>
  <c r="L28" i="11" s="1"/>
  <c r="K29" i="11"/>
  <c r="L29" i="11" s="1"/>
  <c r="K23" i="11"/>
  <c r="L23" i="11" s="1"/>
  <c r="K63" i="11"/>
  <c r="L63" i="11" s="1"/>
  <c r="K101" i="11"/>
  <c r="L101" i="11" s="1"/>
  <c r="K64" i="11"/>
  <c r="L64" i="11" s="1"/>
  <c r="K16" i="11"/>
  <c r="L16" i="11" s="1"/>
  <c r="K65" i="11"/>
  <c r="L65" i="11" s="1"/>
  <c r="K75" i="11"/>
  <c r="L75" i="11" s="1"/>
  <c r="K105" i="11"/>
  <c r="L105" i="11" s="1"/>
  <c r="K66" i="11"/>
  <c r="L66" i="11" s="1"/>
  <c r="K81" i="11"/>
  <c r="L81" i="11" s="1"/>
  <c r="K33" i="11"/>
  <c r="L33" i="11" s="1"/>
  <c r="K54" i="11"/>
  <c r="L54" i="11" s="1"/>
  <c r="K18" i="11"/>
  <c r="L18" i="11" s="1"/>
  <c r="K111" i="11"/>
  <c r="L111" i="11" s="1"/>
  <c r="K79" i="11"/>
  <c r="L79" i="11" s="1"/>
  <c r="K56" i="11"/>
  <c r="L56" i="11" s="1"/>
  <c r="K32" i="11"/>
  <c r="L32" i="11" s="1"/>
  <c r="K2" i="11"/>
  <c r="L2" i="11" s="1"/>
  <c r="K12" i="11"/>
  <c r="L12" i="11" s="1"/>
  <c r="K71" i="11"/>
  <c r="L71" i="11" s="1"/>
  <c r="M211" i="1"/>
  <c r="N211" i="1" s="1"/>
  <c r="M275" i="1"/>
  <c r="N275" i="1" s="1"/>
  <c r="M199" i="1"/>
  <c r="N199" i="1" s="1"/>
  <c r="M246" i="1"/>
  <c r="N246" i="1" s="1"/>
  <c r="K99" i="11"/>
  <c r="L99" i="11" s="1"/>
  <c r="L256" i="1"/>
  <c r="K57" i="11"/>
  <c r="L57" i="11" s="1"/>
  <c r="K78" i="11"/>
  <c r="L78" i="11" s="1"/>
  <c r="K83" i="11"/>
  <c r="L83" i="11" s="1"/>
  <c r="M243" i="1"/>
  <c r="N243" i="1" s="1"/>
  <c r="M293" i="1"/>
  <c r="N293" i="1" s="1"/>
  <c r="M215" i="1"/>
  <c r="N215" i="1" s="1"/>
  <c r="M280" i="1"/>
  <c r="N280" i="1" s="1"/>
  <c r="M303" i="1"/>
  <c r="N303" i="1" s="1"/>
  <c r="M309" i="1"/>
  <c r="N309" i="1" s="1"/>
  <c r="M311" i="1"/>
  <c r="N311" i="1" s="1"/>
  <c r="M214" i="1"/>
  <c r="N214" i="1" s="1"/>
  <c r="M286" i="1"/>
  <c r="N286" i="1" s="1"/>
  <c r="K114" i="11"/>
  <c r="L114" i="11" s="1"/>
  <c r="L285" i="1"/>
  <c r="K69" i="11"/>
  <c r="L69" i="11" s="1"/>
  <c r="K27" i="11"/>
  <c r="L27" i="11" s="1"/>
  <c r="K43" i="11"/>
  <c r="L43" i="11" s="1"/>
  <c r="K21" i="11"/>
  <c r="L21" i="11" s="1"/>
  <c r="K59" i="11"/>
  <c r="L59" i="11" s="1"/>
  <c r="K74" i="11"/>
  <c r="L74" i="11" s="1"/>
  <c r="K17" i="11"/>
  <c r="L17" i="11" s="1"/>
  <c r="K107" i="11"/>
  <c r="L107" i="11" s="1"/>
  <c r="K8" i="11"/>
  <c r="L8" i="11" s="1"/>
  <c r="K34" i="11"/>
  <c r="L34" i="11" s="1"/>
  <c r="K44" i="11"/>
  <c r="L44" i="11" s="1"/>
  <c r="K52" i="11"/>
  <c r="L52" i="11" s="1"/>
  <c r="K45" i="11"/>
  <c r="L45" i="11" s="1"/>
  <c r="K112" i="11"/>
  <c r="L112" i="11" s="1"/>
  <c r="K49" i="11"/>
  <c r="L49" i="11" s="1"/>
  <c r="K10" i="11"/>
  <c r="L10" i="11" s="1"/>
  <c r="K109" i="11"/>
  <c r="L109" i="11" s="1"/>
  <c r="K37" i="11"/>
  <c r="L37" i="11" s="1"/>
  <c r="K48" i="11"/>
  <c r="L48" i="11" s="1"/>
  <c r="N6" i="1"/>
  <c r="M111" i="1"/>
  <c r="N111" i="1" s="1"/>
  <c r="M213" i="1"/>
  <c r="N213" i="1" s="1"/>
  <c r="M93" i="1"/>
  <c r="N93" i="1" s="1"/>
  <c r="M186" i="1"/>
  <c r="N186" i="1" s="1"/>
  <c r="M34" i="1"/>
  <c r="N34" i="1" s="1"/>
  <c r="M134" i="1"/>
  <c r="N134" i="1" s="1"/>
  <c r="M283" i="1"/>
  <c r="N283" i="1" s="1"/>
  <c r="M91" i="1"/>
  <c r="N91" i="1" s="1"/>
  <c r="M176" i="1"/>
  <c r="N176" i="1" s="1"/>
  <c r="M87" i="1"/>
  <c r="N87" i="1" s="1"/>
  <c r="M151" i="1"/>
  <c r="N151" i="1" s="1"/>
  <c r="M242" i="1"/>
  <c r="N242" i="1" s="1"/>
  <c r="M96" i="1"/>
  <c r="N96" i="1" s="1"/>
  <c r="M195" i="1"/>
  <c r="N195" i="1" s="1"/>
  <c r="M14" i="1"/>
  <c r="N14" i="1" s="1"/>
  <c r="M127" i="1"/>
  <c r="N127" i="1" s="1"/>
  <c r="M216" i="1"/>
  <c r="N216" i="1" s="1"/>
  <c r="M99" i="1"/>
  <c r="N99" i="1" s="1"/>
  <c r="M203" i="1"/>
  <c r="N203" i="1" s="1"/>
  <c r="M15" i="1"/>
  <c r="N15" i="1" s="1"/>
  <c r="M123" i="1"/>
  <c r="N123" i="1" s="1"/>
  <c r="M219" i="1"/>
  <c r="N219" i="1" s="1"/>
  <c r="M98" i="1"/>
  <c r="N98" i="1" s="1"/>
  <c r="M209" i="1"/>
  <c r="N209" i="1" s="1"/>
  <c r="M80" i="1"/>
  <c r="N80" i="1" s="1"/>
  <c r="M149" i="1"/>
  <c r="N149" i="1" s="1"/>
  <c r="M104" i="1"/>
  <c r="N104" i="1" s="1"/>
  <c r="M188" i="1"/>
  <c r="N188" i="1" s="1"/>
  <c r="M95" i="1"/>
  <c r="N95" i="1" s="1"/>
  <c r="M169" i="1"/>
  <c r="N169" i="1" s="1"/>
  <c r="M284" i="1"/>
  <c r="N284" i="1" s="1"/>
  <c r="M102" i="1"/>
  <c r="N102" i="1" s="1"/>
  <c r="M200" i="1"/>
  <c r="N200" i="1" s="1"/>
  <c r="M38" i="1"/>
  <c r="N38" i="1" s="1"/>
  <c r="M136" i="1"/>
  <c r="N136" i="1" s="1"/>
  <c r="M314" i="1"/>
  <c r="N314" i="1" s="1"/>
  <c r="M115" i="1"/>
  <c r="N115" i="1" s="1"/>
  <c r="M225" i="1"/>
  <c r="N225" i="1" s="1"/>
  <c r="M41" i="1"/>
  <c r="N41" i="1" s="1"/>
  <c r="M130" i="1"/>
  <c r="N130" i="1" s="1"/>
  <c r="M245" i="1"/>
  <c r="N245" i="1" s="1"/>
  <c r="M207" i="1"/>
  <c r="N207" i="1" s="1"/>
  <c r="M89" i="1"/>
  <c r="N89" i="1" s="1"/>
  <c r="M162" i="1"/>
  <c r="N162" i="1" s="1"/>
  <c r="M294" i="1"/>
  <c r="N294" i="1" s="1"/>
  <c r="M109" i="1"/>
  <c r="N109" i="1" s="1"/>
  <c r="M221" i="1"/>
  <c r="N221" i="1" s="1"/>
  <c r="M103" i="1"/>
  <c r="N103" i="1" s="1"/>
  <c r="M168" i="1"/>
  <c r="N168" i="1" s="1"/>
  <c r="M289" i="1"/>
  <c r="N289" i="1" s="1"/>
  <c r="M110" i="1"/>
  <c r="N110" i="1" s="1"/>
  <c r="M206" i="1"/>
  <c r="N206" i="1" s="1"/>
  <c r="M72" i="1"/>
  <c r="N72" i="1" s="1"/>
  <c r="M153" i="1"/>
  <c r="N153" i="1" s="1"/>
  <c r="M228" i="1"/>
  <c r="N228" i="1" s="1"/>
  <c r="M7" i="1"/>
  <c r="N7" i="1" s="1"/>
  <c r="M119" i="1"/>
  <c r="N119" i="1" s="1"/>
  <c r="M140" i="1"/>
  <c r="N140" i="1" s="1"/>
  <c r="M281" i="1"/>
  <c r="N281" i="1" s="1"/>
  <c r="M113" i="1"/>
  <c r="N113" i="1" s="1"/>
  <c r="M218" i="1"/>
  <c r="N218" i="1" s="1"/>
  <c r="M94" i="1"/>
  <c r="N94" i="1" s="1"/>
  <c r="M189" i="1"/>
  <c r="N189" i="1" s="1"/>
  <c r="M310" i="1"/>
  <c r="N310" i="1" s="1"/>
  <c r="M118" i="1"/>
  <c r="N118" i="1" s="1"/>
  <c r="M13" i="1"/>
  <c r="N13" i="1" s="1"/>
  <c r="M112" i="1"/>
  <c r="N112" i="1" s="1"/>
  <c r="M184" i="1"/>
  <c r="N184" i="1" s="1"/>
  <c r="M308" i="1"/>
  <c r="N308" i="1" s="1"/>
  <c r="M121" i="1"/>
  <c r="N121" i="1" s="1"/>
  <c r="M227" i="1"/>
  <c r="N227" i="1" s="1"/>
  <c r="M90" i="1"/>
  <c r="N90" i="1" s="1"/>
  <c r="M173" i="1"/>
  <c r="N173" i="1" s="1"/>
  <c r="M247" i="1"/>
  <c r="N247" i="1" s="1"/>
  <c r="M16" i="1"/>
  <c r="N16" i="1" s="1"/>
  <c r="M129" i="1"/>
  <c r="N129" i="1" s="1"/>
  <c r="M258" i="1"/>
  <c r="N258" i="1" s="1"/>
  <c r="M75" i="1"/>
  <c r="N75" i="1" s="1"/>
  <c r="M147" i="1"/>
  <c r="N147" i="1" s="1"/>
  <c r="M124" i="1"/>
  <c r="N124" i="1" s="1"/>
  <c r="M100" i="1"/>
  <c r="N100" i="1" s="1"/>
  <c r="M202" i="1"/>
  <c r="N202" i="1" s="1"/>
  <c r="M9" i="1"/>
  <c r="N9" i="1" s="1"/>
  <c r="M35" i="1"/>
  <c r="N35" i="1" s="1"/>
  <c r="M116" i="1"/>
  <c r="N116" i="1" s="1"/>
  <c r="M197" i="1"/>
  <c r="N197" i="1" s="1"/>
  <c r="M11" i="1"/>
  <c r="N11" i="1" s="1"/>
  <c r="M126" i="1"/>
  <c r="N126" i="1" s="1"/>
  <c r="M244" i="1"/>
  <c r="N244" i="1" s="1"/>
  <c r="M177" i="1"/>
  <c r="N177" i="1" s="1"/>
  <c r="M257" i="1"/>
  <c r="N257" i="1" s="1"/>
  <c r="M36" i="1"/>
  <c r="N36" i="1" s="1"/>
  <c r="M139" i="1"/>
  <c r="N139" i="1" s="1"/>
  <c r="M279" i="1"/>
  <c r="N279" i="1" s="1"/>
  <c r="M83" i="1"/>
  <c r="N83" i="1" s="1"/>
  <c r="M8" i="1"/>
  <c r="N8" i="1" s="1"/>
  <c r="M132" i="1"/>
  <c r="N132" i="1" s="1"/>
  <c r="M120" i="1"/>
  <c r="N120" i="1" s="1"/>
  <c r="M201" i="1"/>
  <c r="N201" i="1" s="1"/>
  <c r="M33" i="1"/>
  <c r="N33" i="1" s="1"/>
  <c r="M133" i="1"/>
  <c r="N133" i="1" s="1"/>
  <c r="M131" i="1"/>
  <c r="N131" i="1" s="1"/>
  <c r="M196" i="1"/>
  <c r="N196" i="1" s="1"/>
  <c r="M37" i="1"/>
  <c r="N37" i="1" s="1"/>
  <c r="M138" i="1"/>
  <c r="N138" i="1" s="1"/>
  <c r="M105" i="1"/>
  <c r="N105" i="1" s="1"/>
  <c r="M187" i="1"/>
  <c r="N187" i="1" s="1"/>
  <c r="M276" i="1"/>
  <c r="N276" i="1" s="1"/>
  <c r="M79" i="1"/>
  <c r="N79" i="1" s="1"/>
  <c r="M141" i="1"/>
  <c r="N141" i="1" s="1"/>
  <c r="M282" i="1"/>
  <c r="N282" i="1" s="1"/>
  <c r="M101" i="1"/>
  <c r="N101" i="1" s="1"/>
  <c r="M12" i="1"/>
  <c r="N12" i="1" s="1"/>
  <c r="M163" i="1"/>
  <c r="N163" i="1" s="1"/>
  <c r="M117" i="1"/>
  <c r="N117" i="1" s="1"/>
  <c r="M212" i="1"/>
  <c r="N212" i="1" s="1"/>
  <c r="M42" i="1"/>
  <c r="N42" i="1" s="1"/>
  <c r="M143" i="1"/>
  <c r="N143" i="1" s="1"/>
  <c r="M204" i="1"/>
  <c r="N204" i="1" s="1"/>
  <c r="M77" i="1"/>
  <c r="N77" i="1" s="1"/>
  <c r="M152" i="1"/>
  <c r="N152" i="1" s="1"/>
  <c r="M269" i="1"/>
  <c r="N269" i="1" s="1"/>
  <c r="M114" i="1"/>
  <c r="N114" i="1" s="1"/>
  <c r="M205" i="1"/>
  <c r="N205" i="1" s="1"/>
  <c r="M270" i="1"/>
  <c r="N270" i="1" s="1"/>
  <c r="M165" i="1"/>
  <c r="N165" i="1" s="1"/>
  <c r="M288" i="1"/>
  <c r="N288" i="1" s="1"/>
  <c r="M108" i="1"/>
  <c r="N108" i="1" s="1"/>
  <c r="M208" i="1"/>
  <c r="N208" i="1" s="1"/>
  <c r="M78" i="1"/>
  <c r="N78" i="1" s="1"/>
  <c r="M175" i="1"/>
  <c r="N175" i="1" s="1"/>
  <c r="M10" i="1"/>
  <c r="N10" i="1" s="1"/>
  <c r="M128" i="1"/>
  <c r="N128" i="1" s="1"/>
  <c r="M220" i="1"/>
  <c r="N220" i="1" s="1"/>
  <c r="M73" i="1"/>
  <c r="N73" i="1" s="1"/>
  <c r="M166" i="1"/>
  <c r="N166" i="1" s="1"/>
  <c r="M76" i="1"/>
  <c r="N76" i="1" s="1"/>
  <c r="M137" i="1"/>
  <c r="N137" i="1" s="1"/>
  <c r="M226" i="1"/>
  <c r="N226" i="1" s="1"/>
  <c r="M84" i="1"/>
  <c r="N84" i="1" s="1"/>
  <c r="M161" i="1"/>
  <c r="N161" i="1" s="1"/>
  <c r="M290" i="1"/>
  <c r="N290" i="1" s="1"/>
  <c r="M122" i="1"/>
  <c r="N122" i="1" s="1"/>
  <c r="M210" i="1"/>
  <c r="N210" i="1" s="1"/>
  <c r="M287" i="1"/>
  <c r="N287" i="1" s="1"/>
  <c r="M86" i="1"/>
  <c r="N86" i="1" s="1"/>
  <c r="M198" i="1"/>
  <c r="N198" i="1" s="1"/>
  <c r="M302" i="1"/>
  <c r="N302" i="1" s="1"/>
  <c r="M77" i="11"/>
  <c r="M42" i="11"/>
  <c r="M268" i="1"/>
  <c r="N268" i="1" s="1"/>
  <c r="M106" i="11"/>
  <c r="M86" i="11"/>
  <c r="M63" i="1"/>
  <c r="N63" i="1" s="1"/>
  <c r="M7" i="11"/>
  <c r="M30" i="11"/>
  <c r="M43" i="1"/>
  <c r="N43" i="1" s="1"/>
  <c r="M191" i="1"/>
  <c r="N191" i="1" s="1"/>
  <c r="M24" i="11"/>
  <c r="M35" i="11"/>
  <c r="M50" i="11"/>
  <c r="M110" i="11"/>
  <c r="M90" i="11"/>
  <c r="M15" i="11"/>
  <c r="M97" i="1"/>
  <c r="N97" i="1" s="1"/>
  <c r="M70" i="11"/>
  <c r="M96" i="11"/>
  <c r="M58" i="11"/>
  <c r="M53" i="11"/>
  <c r="M107" i="1"/>
  <c r="N107" i="1" s="1"/>
  <c r="M98" i="11"/>
  <c r="M6" i="11"/>
  <c r="M297" i="1"/>
  <c r="N297" i="1" s="1"/>
  <c r="M51" i="1"/>
  <c r="N51" i="1" s="1"/>
  <c r="M92" i="11"/>
  <c r="M19" i="11"/>
  <c r="M80" i="11"/>
  <c r="M89" i="11"/>
  <c r="M113" i="11"/>
  <c r="M135" i="1"/>
  <c r="N135" i="1" s="1"/>
  <c r="M40" i="11"/>
  <c r="M84" i="11"/>
  <c r="M76" i="11"/>
  <c r="M103" i="11"/>
  <c r="M26" i="11"/>
  <c r="M252" i="1"/>
  <c r="N252" i="1" s="1"/>
  <c r="M88" i="11"/>
  <c r="M93" i="11"/>
  <c r="M55" i="11"/>
  <c r="M36" i="11"/>
  <c r="M51" i="11"/>
  <c r="M234" i="1"/>
  <c r="N234" i="1" s="1"/>
  <c r="M154" i="1"/>
  <c r="N154" i="1" s="1"/>
  <c r="M94" i="11"/>
  <c r="M91" i="11"/>
  <c r="M97" i="11"/>
  <c r="M13" i="11"/>
  <c r="M9" i="11"/>
  <c r="M67" i="11"/>
  <c r="M104" i="11"/>
  <c r="M85" i="11"/>
  <c r="M95" i="11"/>
  <c r="M125" i="1"/>
  <c r="N125" i="1" s="1"/>
  <c r="M20" i="11"/>
  <c r="M73" i="11"/>
  <c r="M72" i="11"/>
  <c r="M180" i="1"/>
  <c r="N180" i="1" s="1"/>
  <c r="M307" i="1"/>
  <c r="N307" i="1" s="1"/>
  <c r="M82" i="11"/>
  <c r="M100" i="11"/>
  <c r="M4" i="11"/>
  <c r="M217" i="1"/>
  <c r="N217" i="1" s="1"/>
  <c r="M313" i="1"/>
  <c r="N313" i="1" s="1"/>
  <c r="M101" i="11" a="1"/>
  <c r="M62" i="11" a="1"/>
  <c r="M65" i="11" a="1"/>
  <c r="M68" i="11" a="1"/>
  <c r="M49" i="11" a="1"/>
  <c r="M54" i="11" a="1"/>
  <c r="M16" i="11" a="1"/>
  <c r="M56" i="11" a="1"/>
  <c r="M12" i="11" a="1"/>
  <c r="M28" i="11" a="1"/>
  <c r="M5" i="11" a="1"/>
  <c r="M34" i="11" a="1"/>
  <c r="M78" i="11" a="1"/>
  <c r="M69" i="11" a="1"/>
  <c r="M37" i="11" a="1"/>
  <c r="M45" i="11" a="1"/>
  <c r="M111" i="11" a="1"/>
  <c r="M112" i="11" a="1"/>
  <c r="M115" i="11" a="1"/>
  <c r="M21" i="11" a="1"/>
  <c r="M8" i="11" a="1"/>
  <c r="M39" i="11" a="1"/>
  <c r="M3" i="11" a="1"/>
  <c r="M109" i="11" a="1"/>
  <c r="M75" i="11" a="1"/>
  <c r="M48" i="11" a="1"/>
  <c r="M44" i="11" a="1"/>
  <c r="M61" i="11" a="1"/>
  <c r="M66" i="11" a="1"/>
  <c r="M105" i="11" a="1"/>
  <c r="M25" i="11" a="1"/>
  <c r="M114" i="11" a="1"/>
  <c r="M57" i="11" a="1"/>
  <c r="M81" i="11" a="1"/>
  <c r="M108" i="11" a="1"/>
  <c r="M22" i="11" a="1"/>
  <c r="M23" i="11" a="1"/>
  <c r="M17" i="11" a="1"/>
  <c r="M31" i="11" a="1"/>
  <c r="M52" i="11" a="1"/>
  <c r="M11" i="11" a="1"/>
  <c r="M64" i="11" a="1"/>
  <c r="M71" i="11" a="1"/>
  <c r="M83" i="11" a="1"/>
  <c r="M38" i="11" a="1"/>
  <c r="M43" i="11" a="1"/>
  <c r="M46" i="11" a="1"/>
  <c r="M63" i="11" a="1"/>
  <c r="M60" i="11" a="1"/>
  <c r="M18" i="11" a="1"/>
  <c r="M59" i="11" a="1"/>
  <c r="M99" i="11" a="1"/>
  <c r="M47" i="11" a="1"/>
  <c r="M74" i="11" a="1"/>
  <c r="M2" i="11" a="1"/>
  <c r="M102" i="11" a="1"/>
  <c r="M27" i="11" a="1"/>
  <c r="M14" i="11" a="1"/>
  <c r="M87" i="11" a="1"/>
  <c r="M29" i="11" a="1"/>
  <c r="M107" i="11" a="1"/>
  <c r="M32" i="11" a="1"/>
  <c r="M33" i="11" a="1"/>
  <c r="M41" i="11" a="1"/>
  <c r="M79" i="11" a="1"/>
  <c r="M10" i="11" a="1"/>
  <c r="M82" i="1" a="1"/>
  <c r="M256" i="1" a="1"/>
  <c r="M71" i="1" a="1"/>
  <c r="M285" i="1" a="1"/>
  <c r="M292" i="1" a="1"/>
  <c r="M61" i="11" l="1"/>
  <c r="M115" i="11"/>
  <c r="M22" i="11"/>
  <c r="M292" i="1"/>
  <c r="N292" i="1" s="1"/>
  <c r="M41" i="11"/>
  <c r="M12" i="11"/>
  <c r="M101" i="11"/>
  <c r="M66" i="11"/>
  <c r="M56" i="11"/>
  <c r="M105" i="11"/>
  <c r="M29" i="11"/>
  <c r="M87" i="11"/>
  <c r="M71" i="1"/>
  <c r="N71" i="1" s="1"/>
  <c r="M62" i="11"/>
  <c r="M81" i="11"/>
  <c r="M23" i="11"/>
  <c r="M79" i="11"/>
  <c r="M75" i="11"/>
  <c r="M28" i="11"/>
  <c r="M60" i="11"/>
  <c r="M5" i="11"/>
  <c r="M33" i="11"/>
  <c r="M2" i="11"/>
  <c r="M25" i="11"/>
  <c r="M32" i="11"/>
  <c r="M111" i="11"/>
  <c r="M65" i="11"/>
  <c r="M82" i="1"/>
  <c r="N82" i="1" s="1"/>
  <c r="M68" i="11"/>
  <c r="M102" i="11"/>
  <c r="M46" i="11"/>
  <c r="M39" i="11"/>
  <c r="M18" i="11"/>
  <c r="M47" i="11"/>
  <c r="M38" i="11"/>
  <c r="M11" i="11"/>
  <c r="M108" i="11"/>
  <c r="M63" i="11"/>
  <c r="M31" i="11"/>
  <c r="M16" i="11"/>
  <c r="M71" i="11"/>
  <c r="M54" i="11"/>
  <c r="M64" i="11"/>
  <c r="M3" i="11"/>
  <c r="M14" i="11"/>
  <c r="M78" i="11"/>
  <c r="M57" i="11"/>
  <c r="M256" i="1"/>
  <c r="N256" i="1" s="1"/>
  <c r="M99" i="11"/>
  <c r="M83" i="11"/>
  <c r="M45" i="11"/>
  <c r="M59" i="11"/>
  <c r="M52" i="11"/>
  <c r="M21" i="11"/>
  <c r="M48" i="11"/>
  <c r="M44" i="11"/>
  <c r="M43" i="11"/>
  <c r="M37" i="11"/>
  <c r="M34" i="11"/>
  <c r="M27" i="11"/>
  <c r="M8" i="11"/>
  <c r="M69" i="11"/>
  <c r="M109" i="11"/>
  <c r="M10" i="11"/>
  <c r="M107" i="11"/>
  <c r="M285" i="1"/>
  <c r="N285" i="1" s="1"/>
  <c r="M49" i="11"/>
  <c r="M114" i="11"/>
  <c r="M17" i="11"/>
  <c r="M112" i="11"/>
  <c r="M74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<sst xmlns="http://schemas.openxmlformats.org/spreadsheetml/2006/main" count="8817" uniqueCount="294">
  <si>
    <t xml:space="preserve">Species </t>
  </si>
  <si>
    <t xml:space="preserve">Height </t>
  </si>
  <si>
    <t>DBH</t>
  </si>
  <si>
    <t>TN</t>
  </si>
  <si>
    <t>N/A</t>
  </si>
  <si>
    <t>A1</t>
  </si>
  <si>
    <t>A2</t>
  </si>
  <si>
    <t>A3</t>
  </si>
  <si>
    <t>black_spruce</t>
  </si>
  <si>
    <t>A4</t>
  </si>
  <si>
    <t>balsam_fir</t>
  </si>
  <si>
    <t>yellow_birch</t>
  </si>
  <si>
    <t>red_maple</t>
  </si>
  <si>
    <t>pin_cherry</t>
  </si>
  <si>
    <t>mountain_ash</t>
  </si>
  <si>
    <t>white_birch</t>
  </si>
  <si>
    <t>trembling_aspen</t>
  </si>
  <si>
    <t>mountain_maple</t>
  </si>
  <si>
    <t>GM</t>
  </si>
  <si>
    <t>alder</t>
  </si>
  <si>
    <t>maple</t>
  </si>
  <si>
    <t>NA</t>
  </si>
  <si>
    <t>CTRL</t>
  </si>
  <si>
    <t>EX</t>
  </si>
  <si>
    <t>Park_ID</t>
  </si>
  <si>
    <t>Site_ID</t>
  </si>
  <si>
    <t>Transect_ID</t>
  </si>
  <si>
    <t>Excl_Ctrl</t>
  </si>
  <si>
    <t>Date_Sampled</t>
  </si>
  <si>
    <t>Dist_Type</t>
  </si>
  <si>
    <t>insect</t>
  </si>
  <si>
    <t>fire</t>
  </si>
  <si>
    <t>mature_forest</t>
  </si>
  <si>
    <t>Subplot_ID</t>
  </si>
  <si>
    <t>B3</t>
  </si>
  <si>
    <t>B1</t>
  </si>
  <si>
    <t>B2</t>
  </si>
  <si>
    <t>B4</t>
  </si>
  <si>
    <t>species</t>
  </si>
  <si>
    <t>(Lambert et al. 1996)</t>
  </si>
  <si>
    <t>DBH. Height]</t>
  </si>
  <si>
    <t xml:space="preserve"> </t>
  </si>
  <si>
    <t>Equation (1)</t>
  </si>
  <si>
    <t>Citation (1)</t>
  </si>
  <si>
    <t>Measurements (1)</t>
  </si>
  <si>
    <t>notes</t>
  </si>
  <si>
    <t>clean eq</t>
  </si>
  <si>
    <t>Rachael used</t>
  </si>
  <si>
    <t>βwood1</t>
  </si>
  <si>
    <t>βwood2</t>
  </si>
  <si>
    <t>βwood3</t>
  </si>
  <si>
    <t>βbark1</t>
  </si>
  <si>
    <t>βbark2</t>
  </si>
  <si>
    <t>βbark3</t>
  </si>
  <si>
    <t>βbranches1</t>
  </si>
  <si>
    <t>βbranches2</t>
  </si>
  <si>
    <t>βbranches3</t>
  </si>
  <si>
    <t>βfoliage1</t>
  </si>
  <si>
    <t>βfoliage2</t>
  </si>
  <si>
    <t>βfoliage3</t>
  </si>
  <si>
    <t>((0.0259*(X4^1.9044)*X2^0.9715)+(0.0069*(X4^2.0834)*X2^0.5371)+(0.0325*(X4^2.3851)*X2^0)+(0.1683*(X4^1.2764)*X2^0))*1000</t>
  </si>
  <si>
    <t>* using yellow birch</t>
  </si>
  <si>
    <t>equation</t>
  </si>
  <si>
    <t>eq w param</t>
  </si>
  <si>
    <t>biomass ind</t>
  </si>
  <si>
    <t>Grand Total</t>
  </si>
  <si>
    <t>((0.0309*(X4^1.7527)*X2^1.0014)+(0.0115*(X4^1.7405)*X2^0.6589)+(0.038*(X4^3.2558)*X2^-1.4218)+(0.2048*(X4^2.5754)*X2^-1.3704))*1000</t>
  </si>
  <si>
    <t>biomass</t>
  </si>
  <si>
    <t>Sum of biomass</t>
  </si>
  <si>
    <t>Total</t>
  </si>
  <si>
    <t>GM Total</t>
  </si>
  <si>
    <t>TN Total</t>
  </si>
  <si>
    <t>black_spruce_subset &lt;- subset(Tree_Biomass, Species=="black_spruce")</t>
  </si>
  <si>
    <t>#Fill in the parameter columns for black_spruce data.</t>
  </si>
  <si>
    <t>black_spruce_subset$Bwood1 = 0.0309</t>
  </si>
  <si>
    <t>black_spruce_subset$Bwood2 = 1.7527</t>
  </si>
  <si>
    <t>black_spruce_subset$Bwood3 = 1.0014</t>
  </si>
  <si>
    <t>black_spruce_subset$Bbark1 = 0.0115</t>
  </si>
  <si>
    <t>black_spruce_subset$Bbark2 = 1.7405</t>
  </si>
  <si>
    <t>black_spruce_subset$Bbark3 = 0.6589</t>
  </si>
  <si>
    <t>black_spruce_subset$Bbranches1 = 0.0380</t>
  </si>
  <si>
    <t>black_spruce_subset$Bbranches2 = 3.2558</t>
  </si>
  <si>
    <t>black_spruce_subset$Bbranches3 = -1.4218</t>
  </si>
  <si>
    <t>black_spruce_subset$Bfoliage1 = 0.2048</t>
  </si>
  <si>
    <t>black_spruce_subset$Bfoliage2 = 2.5754</t>
  </si>
  <si>
    <t>black_spruce_subset$Bfoliage3 = -1.3704</t>
  </si>
  <si>
    <t>#Create custom function to calculate the biomass of wood in living trees.</t>
  </si>
  <si>
    <t>wood_biomass &lt;- function(x1,x2,x3,x4,x5){x1 * (x2^x3) * (x4^x5)}</t>
  </si>
  <si>
    <t>#Create custom function to calculate the biomass of bark in living trees.</t>
  </si>
  <si>
    <t>bark_biomass &lt;- function(x1,x2,x3,x4,x5){x1 * (x2^x3) * (x4^x5)}</t>
  </si>
  <si>
    <t>#Create custom function to calculate the biomass of branches in living trees.</t>
  </si>
  <si>
    <t>branch_biomass &lt;- function(x1,x2,x3,x4,x5){x1 * (x2^x3) * (x4^x5)}</t>
  </si>
  <si>
    <t>#Create custom function to calculate the biomass of foliage in living trees.</t>
  </si>
  <si>
    <t>foliage_biomass &lt;- function(x1,x2,x3,x4,x5){x1 * (x2^x3) * (x4^x5)}</t>
  </si>
  <si>
    <t>((0.0309*(48.1^1.7527)*9.9^1.0014)+(0.0115*(48.1^1.7405)*9.9^0.6589)+(0.038*(48.1^3.2558)*9.9^-1.4218)+(0.2048*(48.1^2.5754)*9.9^-1.3704))*1000</t>
  </si>
  <si>
    <t>((0.0309*(29.5^1.7527)*8.6^1.0014)+(0.0115*(29.5^1.7405)*8.6^0.6589)+(0.038*(29.5^3.2558)*8.6^-1.4218)+(0.2048*(29.5^2.5754)*8.6^-1.3704))*1000</t>
  </si>
  <si>
    <t>((0.0309*(28^1.7527)*8.5^1.0014)+(0.0115*(28^1.7405)*8.5^0.6589)+(0.038*(28^3.2558)*8.5^-1.4218)+(0.2048*(28^2.5754)*8.5^-1.3704))*1000</t>
  </si>
  <si>
    <t>height</t>
  </si>
  <si>
    <t>dbh</t>
  </si>
  <si>
    <t>n ind</t>
  </si>
  <si>
    <t>balsam fir</t>
  </si>
  <si>
    <t>bs tot</t>
  </si>
  <si>
    <t>black spruce ind</t>
  </si>
  <si>
    <t>balsam fir ind</t>
  </si>
  <si>
    <t>bf c tot</t>
  </si>
  <si>
    <t>average values</t>
  </si>
  <si>
    <t>year</t>
  </si>
  <si>
    <t>all</t>
  </si>
  <si>
    <t>black spruc</t>
  </si>
  <si>
    <t>mountain ash</t>
  </si>
  <si>
    <t>yellow birch</t>
  </si>
  <si>
    <t>birch overall</t>
  </si>
  <si>
    <t>difference dbh</t>
  </si>
  <si>
    <t>difference height</t>
  </si>
  <si>
    <t># inidviduals (divided by 2 for 2023)</t>
  </si>
  <si>
    <t>height (m)</t>
  </si>
  <si>
    <t>Dominant Mean DBH(cm)</t>
  </si>
  <si>
    <t>author</t>
  </si>
  <si>
    <t>rossi</t>
  </si>
  <si>
    <t>peng</t>
  </si>
  <si>
    <t>TN-19-Ex</t>
  </si>
  <si>
    <t>TN-19-Ctrl</t>
  </si>
  <si>
    <t>TN-21-Ex</t>
  </si>
  <si>
    <t>TN-21-Ctrl</t>
  </si>
  <si>
    <t>TN-22-Ex</t>
  </si>
  <si>
    <t>TN-22-Ctrl</t>
  </si>
  <si>
    <t>TN-31-Ex</t>
  </si>
  <si>
    <t>TN-31-Ctrl</t>
  </si>
  <si>
    <t>GM-05-Ex</t>
  </si>
  <si>
    <t>GM-05-Ctrl</t>
  </si>
  <si>
    <t>GM-01-Ex</t>
  </si>
  <si>
    <t>GM-01-Ctrl</t>
  </si>
  <si>
    <t>site</t>
  </si>
  <si>
    <t>team</t>
  </si>
  <si>
    <t>TN-20-Ex</t>
  </si>
  <si>
    <t>TN-20-Ctrl</t>
  </si>
  <si>
    <t>TN-25-Ex</t>
  </si>
  <si>
    <t>TN-25-Ctrl</t>
  </si>
  <si>
    <t>TN-34-Ex</t>
  </si>
  <si>
    <t>TN-34-Ctrl</t>
  </si>
  <si>
    <t>GM-13-Ex</t>
  </si>
  <si>
    <t>GM-13-Ctrl</t>
  </si>
  <si>
    <t>TN-27-NA</t>
  </si>
  <si>
    <t>TN-28-NA</t>
  </si>
  <si>
    <t>TN-30-NA</t>
  </si>
  <si>
    <t>TN-33-NA</t>
  </si>
  <si>
    <t>GM-14-NA</t>
  </si>
  <si>
    <t>GM-18-NA</t>
  </si>
  <si>
    <t>GM-06-NA</t>
  </si>
  <si>
    <t>GM-07-NA</t>
  </si>
  <si>
    <t>GM-15-NA</t>
  </si>
  <si>
    <t>GM-36-NA</t>
  </si>
  <si>
    <t>GM-08-NA</t>
  </si>
  <si>
    <t>GM-16-NA</t>
  </si>
  <si>
    <t>TN-23-NA</t>
  </si>
  <si>
    <t>TN-26-NA</t>
  </si>
  <si>
    <t>TN-29-NA</t>
  </si>
  <si>
    <t>TN-32-NA</t>
  </si>
  <si>
    <t>GM-02-NA</t>
  </si>
  <si>
    <t>GM-03-NA</t>
  </si>
  <si>
    <t>GM-04-NA</t>
  </si>
  <si>
    <t>GM-11-NA</t>
  </si>
  <si>
    <t>GM-12-NA</t>
  </si>
  <si>
    <t>GM-17-NA</t>
  </si>
  <si>
    <t>GM-35-NA</t>
  </si>
  <si>
    <t>GM-09-NA</t>
  </si>
  <si>
    <t>GM-10-NA</t>
  </si>
  <si>
    <t>TN-24-NA</t>
  </si>
  <si>
    <t>insect Total</t>
  </si>
  <si>
    <t>mature_forest Total</t>
  </si>
  <si>
    <t>fire Total</t>
  </si>
  <si>
    <t>TN-34-CTRL</t>
  </si>
  <si>
    <t>TN-21-CTRL</t>
  </si>
  <si>
    <t>TN-22-CTRL</t>
  </si>
  <si>
    <t>TN-31-CTRL</t>
  </si>
  <si>
    <t>GM-13-CTRL</t>
  </si>
  <si>
    <t>TN-19-CTRL</t>
  </si>
  <si>
    <t>TN-20-CTRL</t>
  </si>
  <si>
    <t>eq</t>
  </si>
  <si>
    <t>eq q param</t>
  </si>
  <si>
    <t>new biomass</t>
  </si>
  <si>
    <t>park_id</t>
  </si>
  <si>
    <t>site_id</t>
  </si>
  <si>
    <t>dist_type</t>
  </si>
  <si>
    <t>transect_id</t>
  </si>
  <si>
    <t>subplot_id</t>
  </si>
  <si>
    <t>Site_ID 2022</t>
  </si>
  <si>
    <t>park_site</t>
  </si>
  <si>
    <t>GM_01</t>
  </si>
  <si>
    <t>GM_03</t>
  </si>
  <si>
    <t>GM_05</t>
  </si>
  <si>
    <t>GM_06</t>
  </si>
  <si>
    <t>GM_07</t>
  </si>
  <si>
    <t>GM_10</t>
  </si>
  <si>
    <t>GM_11</t>
  </si>
  <si>
    <t>GM_13</t>
  </si>
  <si>
    <t>GM_14</t>
  </si>
  <si>
    <t>GM_15</t>
  </si>
  <si>
    <t>GM_16</t>
  </si>
  <si>
    <t>GM_18</t>
  </si>
  <si>
    <t>GM_19</t>
  </si>
  <si>
    <t>GM_20</t>
  </si>
  <si>
    <t>GM_21</t>
  </si>
  <si>
    <t>GM_22</t>
  </si>
  <si>
    <t>GM_24</t>
  </si>
  <si>
    <t>GM_25</t>
  </si>
  <si>
    <t>GM_26</t>
  </si>
  <si>
    <t>GM_27</t>
  </si>
  <si>
    <t>GM_29</t>
  </si>
  <si>
    <t>GM_31</t>
  </si>
  <si>
    <t>GM_34</t>
  </si>
  <si>
    <t>GM_35</t>
  </si>
  <si>
    <t>GM_36</t>
  </si>
  <si>
    <t>GM_37</t>
  </si>
  <si>
    <t>GM_38</t>
  </si>
  <si>
    <t>GM_39</t>
  </si>
  <si>
    <t>GM_40</t>
  </si>
  <si>
    <t>GM_41</t>
  </si>
  <si>
    <t>GM_42</t>
  </si>
  <si>
    <t>TN_01</t>
  </si>
  <si>
    <t>TN_03</t>
  </si>
  <si>
    <t>TN_05</t>
  </si>
  <si>
    <t>TN_06</t>
  </si>
  <si>
    <t>TN_07</t>
  </si>
  <si>
    <t>TN_09</t>
  </si>
  <si>
    <t>TN_12</t>
  </si>
  <si>
    <t>TN_13</t>
  </si>
  <si>
    <t>TN_14</t>
  </si>
  <si>
    <t>TN_16</t>
  </si>
  <si>
    <t>TN_17</t>
  </si>
  <si>
    <t>TN_19</t>
  </si>
  <si>
    <t>TN_20</t>
  </si>
  <si>
    <t>TN_22</t>
  </si>
  <si>
    <t>TN_23</t>
  </si>
  <si>
    <t>TN_24</t>
  </si>
  <si>
    <t>TN_25</t>
  </si>
  <si>
    <t>TN_26</t>
  </si>
  <si>
    <t>TN_27</t>
  </si>
  <si>
    <t>w all trees</t>
  </si>
  <si>
    <t>take out trees w dbh over 35</t>
  </si>
  <si>
    <t>average biomass of tree</t>
  </si>
  <si>
    <t>median biomass of trees</t>
  </si>
  <si>
    <t>total tree biomass</t>
  </si>
  <si>
    <t>average tree biomass per site w tree</t>
  </si>
  <si>
    <t>n trees</t>
  </si>
  <si>
    <t>n sites total</t>
  </si>
  <si>
    <t>n sites w trees</t>
  </si>
  <si>
    <t>prop sites found trees</t>
  </si>
  <si>
    <t>average tree biomass per site</t>
  </si>
  <si>
    <t>GM-01-CTRL</t>
  </si>
  <si>
    <t>GM-01-EX</t>
  </si>
  <si>
    <t>GM-05-CTRL</t>
  </si>
  <si>
    <t>GM-05-EX</t>
  </si>
  <si>
    <t>TN-19-EX</t>
  </si>
  <si>
    <t>TN-21-EX</t>
  </si>
  <si>
    <t>GM-13-EX</t>
  </si>
  <si>
    <t>TN-22-EX</t>
  </si>
  <si>
    <t>TN-20-EX</t>
  </si>
  <si>
    <t>TN-25-CTRL</t>
  </si>
  <si>
    <t>TN-25-EX</t>
  </si>
  <si>
    <t>TN-31-EX</t>
  </si>
  <si>
    <t>TN-34-EX</t>
  </si>
  <si>
    <t>DBH height</t>
  </si>
  <si>
    <t>DBH only</t>
  </si>
  <si>
    <t>DBH eq</t>
  </si>
  <si>
    <t>model</t>
  </si>
  <si>
    <t>dbh &amp; height</t>
  </si>
  <si>
    <t>total biomass</t>
  </si>
  <si>
    <t>percent difference bw years</t>
  </si>
  <si>
    <t>mean biomass per tree</t>
  </si>
  <si>
    <t>all trees</t>
  </si>
  <si>
    <t>only trees with dbh &lt;30</t>
  </si>
  <si>
    <t>percent difference between dbh model and dbh &amp; height model</t>
  </si>
  <si>
    <t>by site</t>
  </si>
  <si>
    <t>mean biomass per site</t>
  </si>
  <si>
    <t>n sites</t>
  </si>
  <si>
    <t>diff between all trees and ones under 30</t>
  </si>
  <si>
    <t>Name in data</t>
  </si>
  <si>
    <t>Equation</t>
  </si>
  <si>
    <t>Eq clean</t>
  </si>
  <si>
    <t>0.25 * aboveground biomass of shrubs</t>
  </si>
  <si>
    <t>=0.25*X6</t>
  </si>
  <si>
    <t>1.576 * (aboveground biomass hardwoods)^0.615</t>
  </si>
  <si>
    <t>=1.576*X6^0.615</t>
  </si>
  <si>
    <t>0.222 * Aboveground biomass softwoods</t>
  </si>
  <si>
    <t>=0.222*X6</t>
  </si>
  <si>
    <t>eq root</t>
  </si>
  <si>
    <t>biomass root</t>
  </si>
  <si>
    <t>eq param root</t>
  </si>
  <si>
    <t>Site_Subplot_ID</t>
  </si>
  <si>
    <t>carbon_5m2</t>
  </si>
  <si>
    <t>te_carbon_9m2</t>
  </si>
  <si>
    <t>unique</t>
  </si>
  <si>
    <t>tr_carbon_9m2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</si>
</sst>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2"/>
      <color rgb="FF000000"/>
      <name val="Calibri"/>
      <family val="2"/>
    </font>
    <font>
      <sz val="12"/>
      <color rgb="FF000000"/>
      <name val="Helvetica"/>
      <family val="2"/>
    </font>
    <font>
      <b/>
      <sz val="11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48">
    <xf numFmtId="0" fontId="0" fillId="0" borderId="0" xfId="0"/>
    <xf numFmtId="0" fontId="3" fillId="0" borderId="0" xfId="0" applyFont="1"/>
    <xf numFmtId="0" fontId="5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15" fontId="3" fillId="0" borderId="0" xfId="0" applyNumberFormat="1" applyFont="1" applyAlignment="1">
      <alignment horizontal="left"/>
    </xf>
    <xf numFmtId="15" fontId="5" fillId="0" borderId="0" xfId="0" applyNumberFormat="1" applyFont="1" applyAlignment="1">
      <alignment horizontal="left"/>
    </xf>
    <xf numFmtId="0" fontId="6" fillId="0" borderId="0" xfId="0" applyFont="1"/>
    <xf numFmtId="0" fontId="2" fillId="0" borderId="0" xfId="0" applyFont="1"/>
    <xf numFmtId="0" fontId="2" fillId="2" borderId="0" xfId="0" quotePrefix="1" applyFont="1" applyFill="1"/>
    <xf numFmtId="0" fontId="2" fillId="0" borderId="0" xfId="0" quotePrefix="1" applyFont="1"/>
    <xf numFmtId="0" fontId="2" fillId="0" borderId="1" xfId="0" applyFont="1" applyBorder="1"/>
    <xf numFmtId="0" fontId="7" fillId="2" borderId="1" xfId="0" applyFont="1" applyFill="1" applyBorder="1"/>
    <xf numFmtId="0" fontId="0" fillId="0" borderId="1" xfId="0" applyBorder="1"/>
    <xf numFmtId="0" fontId="9" fillId="0" borderId="0" xfId="0" applyFont="1"/>
    <xf numFmtId="0" fontId="0" fillId="0" borderId="0" xfId="0" pivotButton="1"/>
    <xf numFmtId="0" fontId="8" fillId="3" borderId="2" xfId="0" applyFont="1" applyFill="1" applyBorder="1"/>
    <xf numFmtId="14" fontId="0" fillId="0" borderId="0" xfId="0" applyNumberFormat="1"/>
    <xf numFmtId="0" fontId="8" fillId="0" borderId="0" xfId="0" applyFont="1"/>
    <xf numFmtId="0" fontId="10" fillId="0" borderId="0" xfId="0" applyFont="1"/>
    <xf numFmtId="0" fontId="8" fillId="3" borderId="0" xfId="0" applyFont="1" applyFill="1"/>
    <xf numFmtId="0" fontId="6" fillId="0" borderId="0" xfId="0" quotePrefix="1" applyFont="1"/>
    <xf numFmtId="0" fontId="11" fillId="0" borderId="0" xfId="0" applyFont="1" applyAlignment="1">
      <alignment horizontal="center"/>
    </xf>
    <xf numFmtId="0" fontId="0" fillId="0" borderId="3" xfId="0" applyBorder="1"/>
    <xf numFmtId="0" fontId="0" fillId="2" borderId="0" xfId="0" applyFill="1" applyAlignment="1">
      <alignment horizontal="center"/>
    </xf>
    <xf numFmtId="0" fontId="6" fillId="2" borderId="1" xfId="0" applyFont="1" applyFill="1" applyBorder="1"/>
    <xf numFmtId="0" fontId="6" fillId="2" borderId="0" xfId="0" applyFont="1" applyFill="1"/>
    <xf numFmtId="0" fontId="6" fillId="0" borderId="1" xfId="0" applyFont="1" applyBorder="1"/>
    <xf numFmtId="0" fontId="6" fillId="0" borderId="0" xfId="0" applyFont="1" applyAlignment="1">
      <alignment horizontal="center"/>
    </xf>
    <xf numFmtId="0" fontId="6" fillId="0" borderId="0" xfId="0" applyFont="1" applyAlignment="1">
      <alignment wrapText="1"/>
    </xf>
    <xf numFmtId="0" fontId="1" fillId="0" borderId="1" xfId="1" applyBorder="1"/>
    <xf numFmtId="0" fontId="1" fillId="2" borderId="1" xfId="1" applyFill="1" applyBorder="1"/>
    <xf numFmtId="0" fontId="1" fillId="0" borderId="0" xfId="1"/>
    <xf numFmtId="0" fontId="12" fillId="0" borderId="0" xfId="1" applyFont="1"/>
    <xf numFmtId="0" fontId="1" fillId="2" borderId="0" xfId="1" quotePrefix="1" applyFill="1"/>
    <xf numFmtId="0" fontId="1" fillId="4" borderId="0" xfId="1" applyFill="1"/>
    <xf numFmtId="0" fontId="1" fillId="2" borderId="0" xfId="1" applyFill="1"/>
    <xf numFmtId="0" fontId="1" fillId="0" borderId="1" xfId="0" applyFont="1" applyBorder="1"/>
    <xf numFmtId="0" fontId="1" fillId="2" borderId="1" xfId="0" applyFont="1" applyFill="1" applyBorder="1"/>
    <xf numFmtId="0" fontId="1" fillId="0" borderId="0" xfId="0" applyFont="1"/>
    <xf numFmtId="0" fontId="1" fillId="2" borderId="0" xfId="0" quotePrefix="1" applyFont="1" applyFill="1"/>
    <xf numFmtId="0" fontId="13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48D80323-8FCB-674B-B972-D97047646AC7}"/>
  </cellStyles>
  <dxfs count="19">
    <dxf>
      <numFmt numFmtId="19" formatCode="yyyy/mm/d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mmersonEmmerson/Documents/Master's/C_forecasting_NL/Allometric%20Equations/carbon_data_2023.xlsm" TargetMode="External"/><Relationship Id="rId1" Type="http://schemas.openxmlformats.org/officeDocument/2006/relationships/externalLinkPath" Target="/Users/emmersonEmmerson/Documents/Master's/C_forecasting_NL/Allometric%20Equations/carbon_data_20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all C"/>
      <sheetName val="Site Info"/>
      <sheetName val="Subplot info"/>
      <sheetName val="Tree dbh biomass"/>
      <sheetName val="Shrub and sapling"/>
      <sheetName val="Tree shrub and sapling"/>
      <sheetName val="Deadwood"/>
      <sheetName val="Ground cover"/>
      <sheetName val="GC woody"/>
      <sheetName val="Soil"/>
      <sheetName val="Litter"/>
      <sheetName val="Tree shrub sapling vol eq"/>
      <sheetName val="Tree shrub sapling root eq"/>
      <sheetName val="Deadwood vol eq (2)"/>
      <sheetName val="Ground cover vol eq (3)"/>
      <sheetName val="GC woody eq"/>
      <sheetName val="Soil weightby quadrat"/>
      <sheetName val="Soil %"/>
      <sheetName val="Litter eq"/>
      <sheetName val="Eq lege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254.446245023151" missingItemsLimit="0" createdVersion="8" refreshedVersion="8" minRefreshableVersion="3" recordCount="315" xr:uid="{9DBD7721-BB06-6441-B034-54CB56F2BDEC}">
  <cacheSource type="worksheet">
    <worksheetSource name="Table1"/>
  </cacheSource>
  <cacheFields count="14">
    <cacheField name="Park_ID" numFmtId="0">
      <sharedItems count="2">
        <s v="GM"/>
        <s v="TN"/>
      </sharedItems>
    </cacheField>
    <cacheField name="Site_ID" numFmtId="0">
      <sharedItems containsSemiMixedTypes="0" containsString="0" containsNumber="1" containsInteger="1" minValue="1" maxValue="36" count="3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</sharedItems>
    </cacheField>
    <cacheField name="Excl_Ctrl" numFmtId="0">
      <sharedItems count="3">
        <s v="EX"/>
        <s v="CTRL"/>
        <s v="NA"/>
      </sharedItems>
    </cacheField>
    <cacheField name="Dist_Type" numFmtId="0">
      <sharedItems count="3">
        <s v="insect"/>
        <s v="mature_forest"/>
        <s v="fire"/>
      </sharedItems>
    </cacheField>
    <cacheField name="Date_Sampled" numFmtId="15">
      <sharedItems containsSemiMixedTypes="0" containsNonDate="0" containsDate="1" containsString="0" minDate="2022-06-13T00:00:00" maxDate="2022-07-15T00:00:00"/>
    </cacheField>
    <cacheField name="Transect_ID" numFmtId="0">
      <sharedItems count="4">
        <s v="A1"/>
        <s v="A2"/>
        <s v="A3"/>
        <s v="A4"/>
      </sharedItems>
    </cacheField>
    <cacheField name="Subplot_ID" numFmtId="0">
      <sharedItems count="5">
        <s v="B1"/>
        <s v="B2"/>
        <s v="B3"/>
        <s v="B4"/>
        <s v="Formula1" f="1"/>
      </sharedItems>
    </cacheField>
    <cacheField name="Species " numFmtId="0">
      <sharedItems/>
    </cacheField>
    <cacheField name="Height " numFmtId="0">
      <sharedItems containsMixedTypes="1" containsNumber="1" minValue="3" maxValue="15"/>
    </cacheField>
    <cacheField name="DBH" numFmtId="0">
      <sharedItems containsMixedTypes="1" containsNumber="1" minValue="1.5" maxValue="48.1"/>
    </cacheField>
    <cacheField name="equation" numFmtId="0">
      <sharedItems/>
    </cacheField>
    <cacheField name="eq w param" numFmtId="0">
      <sharedItems/>
    </cacheField>
    <cacheField name="biomass ind" numFmtId="0">
      <sharedItems containsMixedTypes="1" containsNumber="1" minValue="393.86845907671443" maxValue="1161040.5124343741"/>
    </cacheField>
    <cacheField name="biomass" numFmtId="0">
      <sharedItems containsSemiMixedTypes="0" containsString="0" containsNumber="1" minValue="0" maxValue="1161040.5124343741"/>
    </cacheField>
  </cacheFields>
  <calculatedItems count="2">
    <calculatedItem>
      <pivotArea cacheIndex="1" outline="0" fieldPosition="0">
        <references count="1">
          <reference field="6" count="1">
            <x v="4"/>
          </reference>
        </references>
      </pivotArea>
    </calculatedItem>
    <calculatedItem formula="0">
      <pivotArea cacheIndex="1" outline="0" fieldPosition="0">
        <references count="4">
          <reference field="0" count="1">
            <x v="0"/>
          </reference>
          <reference field="1" count="1">
            <x v="2"/>
          </reference>
          <reference field="2" count="1">
            <x v="1"/>
          </reference>
          <reference field="6" count="1">
            <x v="4"/>
          </reference>
        </references>
      </pivotArea>
    </calculatedItem>
  </calculatedItem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5">
  <r>
    <x v="0"/>
    <x v="0"/>
    <x v="0"/>
    <x v="0"/>
    <d v="2022-07-06T00:00:00"/>
    <x v="0"/>
    <x v="0"/>
    <s v="balsam_fir"/>
    <n v="4.5"/>
    <n v="6.5"/>
    <s v="((0.0294*(X4^1.8357)*X2^0.864)+(0.0053*(X4^2.0876)*X2^0.5842)+(0.0117*(X4^3.5097)*X2^-1.3006)+(0.1245*(X4^2.523)*X2^-1.123))*1000"/>
    <s v="((0.0294*(6.5^1.8357)*4.5^0.864)+(0.0053*(6.5^2.0876)*4.5^0.5842)+(0.0117*(6.5^3.5097)*4.5^-1.3006)+(0.1245*(6.5^2.523)*4.5^-1.123))*1000"/>
    <n v="7750.064297962409"/>
    <n v="7750.064297962409"/>
  </r>
  <r>
    <x v="0"/>
    <x v="0"/>
    <x v="0"/>
    <x v="0"/>
    <d v="2022-07-06T00:00:00"/>
    <x v="0"/>
    <x v="0"/>
    <s v="balsam_fir"/>
    <n v="6"/>
    <n v="12"/>
    <s v="((0.0294*(X4^1.8357)*X2^0.864)+(0.0053*(X4^2.0876)*X2^0.5842)+(0.0117*(X4^3.5097)*X2^-1.3006)+(0.1245*(X4^2.523)*X2^-1.123))*1000"/>
    <s v="((0.0294*(12^1.8357)*6^0.864)+(0.0053*(12^2.0876)*6^0.5842)+(0.0117*(12^3.5097)*6^-1.3006)+(0.1245*(12^2.523)*6^-1.123))*1000"/>
    <n v="31707.242868592057"/>
    <n v="31707.242868592057"/>
  </r>
  <r>
    <x v="0"/>
    <x v="0"/>
    <x v="1"/>
    <x v="0"/>
    <d v="2022-07-06T00:00:00"/>
    <x v="0"/>
    <x v="0"/>
    <s v="NA"/>
    <s v="NA"/>
    <s v="NA"/>
    <e v="#N/A"/>
    <e v="#N/A"/>
    <e v="#N/A"/>
    <n v="0"/>
  </r>
  <r>
    <x v="0"/>
    <x v="0"/>
    <x v="0"/>
    <x v="0"/>
    <d v="2022-07-06T00:00:00"/>
    <x v="1"/>
    <x v="1"/>
    <s v="balsam_fir"/>
    <n v="6"/>
    <n v="11.75"/>
    <s v="((0.0294*(X4^1.8357)*X2^0.864)+(0.0053*(X4^2.0876)*X2^0.5842)+(0.0117*(X4^3.5097)*X2^-1.3006)+(0.1245*(X4^2.523)*X2^-1.123))*1000"/>
    <s v="((0.0294*(11.75^1.8357)*6^0.864)+(0.0053*(11.75^2.0876)*6^0.5842)+(0.0117*(11.75^3.5097)*6^-1.3006)+(0.1245*(11.75^2.523)*6^-1.123))*1000"/>
    <n v="30137.4595472275"/>
    <n v="30137.4595472275"/>
  </r>
  <r>
    <x v="0"/>
    <x v="0"/>
    <x v="0"/>
    <x v="0"/>
    <d v="2022-07-06T00:00:00"/>
    <x v="1"/>
    <x v="1"/>
    <s v="balsam_fir"/>
    <n v="6.5"/>
    <n v="12.25"/>
    <s v="((0.0294*(X4^1.8357)*X2^0.864)+(0.0053*(X4^2.0876)*X2^0.5842)+(0.0117*(X4^3.5097)*X2^-1.3006)+(0.1245*(X4^2.523)*X2^-1.123))*1000"/>
    <s v="((0.0294*(12.25^1.8357)*6.5^0.864)+(0.0053*(12.25^2.0876)*6.5^0.5842)+(0.0117*(12.25^3.5097)*6.5^-1.3006)+(0.1245*(12.25^2.523)*6.5^-1.123))*1000"/>
    <n v="32911.315794026719"/>
    <n v="32911.315794026719"/>
  </r>
  <r>
    <x v="0"/>
    <x v="0"/>
    <x v="0"/>
    <x v="0"/>
    <d v="2022-07-06T00:00:00"/>
    <x v="1"/>
    <x v="1"/>
    <s v="balsam_fir"/>
    <n v="7.5"/>
    <n v="14.25"/>
    <s v="((0.0294*(X4^1.8357)*X2^0.864)+(0.0053*(X4^2.0876)*X2^0.5842)+(0.0117*(X4^3.5097)*X2^-1.3006)+(0.1245*(X4^2.523)*X2^-1.123))*1000"/>
    <s v="((0.0294*(14.25^1.8357)*7.5^0.864)+(0.0053*(14.25^2.0876)*7.5^0.5842)+(0.0117*(14.25^3.5097)*7.5^-1.3006)+(0.1245*(14.25^2.523)*7.5^-1.123))*1000"/>
    <n v="46508.211513225302"/>
    <n v="46508.211513225302"/>
  </r>
  <r>
    <x v="0"/>
    <x v="0"/>
    <x v="0"/>
    <x v="0"/>
    <d v="2022-07-06T00:00:00"/>
    <x v="1"/>
    <x v="1"/>
    <s v="balsam_fir"/>
    <n v="8"/>
    <n v="12"/>
    <s v="((0.0294*(X4^1.8357)*X2^0.864)+(0.0053*(X4^2.0876)*X2^0.5842)+(0.0117*(X4^3.5097)*X2^-1.3006)+(0.1245*(X4^2.523)*X2^-1.123))*1000"/>
    <s v="((0.0294*(12^1.8357)*8^0.864)+(0.0053*(12^2.0876)*8^0.5842)+(0.0117*(12^3.5097)*8^-1.3006)+(0.1245*(12^2.523)*8^-1.123))*1000"/>
    <n v="31331.17308986681"/>
    <n v="31331.17308986681"/>
  </r>
  <r>
    <x v="0"/>
    <x v="0"/>
    <x v="1"/>
    <x v="0"/>
    <d v="2022-07-06T00:00:00"/>
    <x v="1"/>
    <x v="1"/>
    <s v="NA"/>
    <s v="NA"/>
    <s v="NA"/>
    <e v="#N/A"/>
    <e v="#N/A"/>
    <e v="#N/A"/>
    <n v="0"/>
  </r>
  <r>
    <x v="0"/>
    <x v="0"/>
    <x v="0"/>
    <x v="0"/>
    <d v="2022-07-06T00:00:00"/>
    <x v="2"/>
    <x v="2"/>
    <s v="balsam_fir"/>
    <n v="3.15"/>
    <n v="5"/>
    <s v="((0.0294*(X4^1.8357)*X2^0.864)+(0.0053*(X4^2.0876)*X2^0.5842)+(0.0117*(X4^3.5097)*X2^-1.3006)+(0.1245*(X4^2.523)*X2^-1.123))*1000"/>
    <s v="((0.0294*(5^1.8357)*3.15^0.864)+(0.0053*(5^2.0876)*3.15^0.5842)+(0.0117*(5^3.5097)*3.15^-1.3006)+(0.1245*(5^2.523)*3.15^-1.123))*1000"/>
    <n v="4556.6139907235956"/>
    <n v="4556.6139907235956"/>
  </r>
  <r>
    <x v="0"/>
    <x v="0"/>
    <x v="0"/>
    <x v="0"/>
    <d v="2022-07-06T00:00:00"/>
    <x v="2"/>
    <x v="2"/>
    <s v="balsam_fir"/>
    <n v="3.25"/>
    <n v="5"/>
    <s v="((0.0294*(X4^1.8357)*X2^0.864)+(0.0053*(X4^2.0876)*X2^0.5842)+(0.0117*(X4^3.5097)*X2^-1.3006)+(0.1245*(X4^2.523)*X2^-1.123))*1000"/>
    <s v="((0.0294*(5^1.8357)*3.25^0.864)+(0.0053*(5^2.0876)*3.25^0.5842)+(0.0117*(5^3.5097)*3.25^-1.3006)+(0.1245*(5^2.523)*3.25^-1.123))*1000"/>
    <n v="4505.3102509269274"/>
    <n v="4505.3102509269274"/>
  </r>
  <r>
    <x v="0"/>
    <x v="0"/>
    <x v="0"/>
    <x v="0"/>
    <d v="2022-07-06T00:00:00"/>
    <x v="2"/>
    <x v="2"/>
    <s v="mountain_ash"/>
    <n v="4"/>
    <n v="4.5"/>
    <s v="((0.0306*(X4^2.1836)*X2^0.574)+(0.0897*(X4^2.2634)*X2^-0.567)+(0.0994*(X4^2.163)*X2^-0.4809)+(0.0124*(X4^1.0325)*X2^0.8747))*1000"/>
    <s v="((0.0306*(4.5^2.1836)*4^0.574)+(0.0897*(4.5^2.2634)*4^-0.567)+(0.0994*(4.5^2.163)*4^-0.4809)+(0.0124*(4.5^1.0325)*4^0.8747))*1000"/>
    <n v="4557.4760432230396"/>
    <n v="4557.4760432230396"/>
  </r>
  <r>
    <x v="0"/>
    <x v="0"/>
    <x v="0"/>
    <x v="0"/>
    <d v="2022-07-06T00:00:00"/>
    <x v="2"/>
    <x v="2"/>
    <s v="yellow_birch"/>
    <n v="5"/>
    <n v="4.5"/>
    <s v="((0.0259*(X4^1.9044)*X2^0.9715)+(0.0069*(X4^2.0834)*X2^0.5371)+(0.0325*(X4^2.3851)*X2^0)+(0.1683*(X4^1.2764)*X2^0))*1000"/>
    <s v="((0.0259*(4.5^1.9044)*5^0.9715)+(0.0069*(4.5^2.0834)*5^0.5371)+(0.0325*(4.5^2.3851)*5^0)+(0.1683*(4.5^1.2764)*5^0))*1000"/>
    <n v="4867.58367160528"/>
    <n v="4867.58367160528"/>
  </r>
  <r>
    <x v="0"/>
    <x v="0"/>
    <x v="0"/>
    <x v="0"/>
    <d v="2022-07-06T00:00:00"/>
    <x v="2"/>
    <x v="2"/>
    <s v="balsam_fir"/>
    <n v="7.5"/>
    <n v="12.75"/>
    <s v="((0.0294*(X4^1.8357)*X2^0.864)+(0.0053*(X4^2.0876)*X2^0.5842)+(0.0117*(X4^3.5097)*X2^-1.3006)+(0.1245*(X4^2.523)*X2^-1.123))*1000"/>
    <s v="((0.0294*(12.75^1.8357)*7.5^0.864)+(0.0053*(12.75^2.0876)*7.5^0.5842)+(0.0117*(12.75^3.5097)*7.5^-1.3006)+(0.1245*(12.75^2.523)*7.5^-1.123))*1000"/>
    <n v="35864.594481588058"/>
    <n v="35864.594481588058"/>
  </r>
  <r>
    <x v="0"/>
    <x v="0"/>
    <x v="1"/>
    <x v="0"/>
    <d v="2022-07-06T00:00:00"/>
    <x v="2"/>
    <x v="2"/>
    <s v="NA"/>
    <s v="NA"/>
    <s v="NA"/>
    <e v="#N/A"/>
    <e v="#N/A"/>
    <e v="#N/A"/>
    <n v="0"/>
  </r>
  <r>
    <x v="0"/>
    <x v="0"/>
    <x v="1"/>
    <x v="0"/>
    <d v="2022-07-06T00:00:00"/>
    <x v="3"/>
    <x v="3"/>
    <s v="NA"/>
    <s v="NA"/>
    <s v="NA"/>
    <e v="#N/A"/>
    <e v="#N/A"/>
    <e v="#N/A"/>
    <n v="0"/>
  </r>
  <r>
    <x v="0"/>
    <x v="1"/>
    <x v="2"/>
    <x v="0"/>
    <d v="2022-06-29T00:00:00"/>
    <x v="0"/>
    <x v="0"/>
    <s v="NA"/>
    <s v="NA"/>
    <s v="NA"/>
    <e v="#N/A"/>
    <e v="#N/A"/>
    <e v="#N/A"/>
    <n v="0"/>
  </r>
  <r>
    <x v="0"/>
    <x v="1"/>
    <x v="2"/>
    <x v="0"/>
    <d v="2022-06-29T00:00:00"/>
    <x v="1"/>
    <x v="1"/>
    <s v="NA"/>
    <s v="NA"/>
    <s v="NA"/>
    <e v="#N/A"/>
    <e v="#N/A"/>
    <e v="#N/A"/>
    <n v="0"/>
  </r>
  <r>
    <x v="0"/>
    <x v="1"/>
    <x v="2"/>
    <x v="0"/>
    <d v="2022-06-29T00:00:00"/>
    <x v="2"/>
    <x v="2"/>
    <s v="NA"/>
    <s v="NA"/>
    <s v="NA"/>
    <e v="#N/A"/>
    <e v="#N/A"/>
    <e v="#N/A"/>
    <n v="0"/>
  </r>
  <r>
    <x v="0"/>
    <x v="1"/>
    <x v="2"/>
    <x v="0"/>
    <d v="2022-06-29T00:00:00"/>
    <x v="3"/>
    <x v="3"/>
    <s v="NA"/>
    <s v="NA"/>
    <s v="NA"/>
    <e v="#N/A"/>
    <e v="#N/A"/>
    <e v="#N/A"/>
    <n v="0"/>
  </r>
  <r>
    <x v="0"/>
    <x v="2"/>
    <x v="2"/>
    <x v="0"/>
    <d v="2022-06-30T00:00:00"/>
    <x v="0"/>
    <x v="0"/>
    <s v="NA"/>
    <s v="NA"/>
    <s v="NA"/>
    <e v="#N/A"/>
    <e v="#N/A"/>
    <e v="#N/A"/>
    <n v="0"/>
  </r>
  <r>
    <x v="0"/>
    <x v="2"/>
    <x v="2"/>
    <x v="0"/>
    <d v="2022-06-30T00:00:00"/>
    <x v="1"/>
    <x v="1"/>
    <s v="NA"/>
    <s v="NA"/>
    <s v="NA"/>
    <e v="#N/A"/>
    <e v="#N/A"/>
    <e v="#N/A"/>
    <n v="0"/>
  </r>
  <r>
    <x v="0"/>
    <x v="2"/>
    <x v="2"/>
    <x v="0"/>
    <d v="2022-06-30T00:00:00"/>
    <x v="2"/>
    <x v="2"/>
    <s v="NA"/>
    <s v="NA"/>
    <s v="NA"/>
    <e v="#N/A"/>
    <e v="#N/A"/>
    <e v="#N/A"/>
    <n v="0"/>
  </r>
  <r>
    <x v="0"/>
    <x v="2"/>
    <x v="2"/>
    <x v="0"/>
    <d v="2022-06-30T00:00:00"/>
    <x v="3"/>
    <x v="3"/>
    <s v="NA"/>
    <s v="NA"/>
    <s v="NA"/>
    <e v="#N/A"/>
    <e v="#N/A"/>
    <e v="#N/A"/>
    <n v="0"/>
  </r>
  <r>
    <x v="0"/>
    <x v="3"/>
    <x v="2"/>
    <x v="0"/>
    <d v="2022-06-29T00:00:00"/>
    <x v="0"/>
    <x v="0"/>
    <s v="NA"/>
    <s v="NA"/>
    <s v="NA"/>
    <e v="#N/A"/>
    <e v="#N/A"/>
    <e v="#N/A"/>
    <n v="0"/>
  </r>
  <r>
    <x v="0"/>
    <x v="3"/>
    <x v="2"/>
    <x v="0"/>
    <d v="2022-06-29T00:00:00"/>
    <x v="1"/>
    <x v="1"/>
    <s v="NA"/>
    <s v="NA"/>
    <s v="NA"/>
    <e v="#N/A"/>
    <e v="#N/A"/>
    <e v="#N/A"/>
    <n v="0"/>
  </r>
  <r>
    <x v="0"/>
    <x v="3"/>
    <x v="2"/>
    <x v="0"/>
    <d v="2022-06-29T00:00:00"/>
    <x v="2"/>
    <x v="2"/>
    <s v="NA"/>
    <s v="NA"/>
    <s v="NA"/>
    <e v="#N/A"/>
    <e v="#N/A"/>
    <e v="#N/A"/>
    <n v="0"/>
  </r>
  <r>
    <x v="0"/>
    <x v="3"/>
    <x v="2"/>
    <x v="0"/>
    <d v="2022-06-29T00:00:00"/>
    <x v="3"/>
    <x v="3"/>
    <s v="NA"/>
    <s v="NA"/>
    <s v="NA"/>
    <e v="#N/A"/>
    <e v="#N/A"/>
    <e v="#N/A"/>
    <n v="0"/>
  </r>
  <r>
    <x v="0"/>
    <x v="4"/>
    <x v="0"/>
    <x v="0"/>
    <d v="2022-06-29T00:00:00"/>
    <x v="0"/>
    <x v="0"/>
    <s v="yellow_birch"/>
    <n v="3.14"/>
    <n v="3"/>
    <s v="((0.0259*(X4^1.9044)*X2^0.9715)+(0.0069*(X4^2.0834)*X2^0.5371)+(0.0325*(X4^2.3851)*X2^0)+(0.1683*(X4^1.2764)*X2^0))*1000"/>
    <s v="((0.0259*(3^1.9044)*3.14^0.9715)+(0.0069*(3^2.0834)*3.14^0.5371)+(0.0325*(3^2.3851)*3.14^0)+(0.1683*(3^1.2764)*3.14^0))*1000"/>
    <n v="1894.2331964128011"/>
    <n v="1894.2331964128011"/>
  </r>
  <r>
    <x v="0"/>
    <x v="4"/>
    <x v="0"/>
    <x v="0"/>
    <d v="2022-06-29T00:00:00"/>
    <x v="0"/>
    <x v="0"/>
    <s v="yellow_birch"/>
    <n v="4.5"/>
    <n v="2.5"/>
    <s v="((0.0259*(X4^1.9044)*X2^0.9715)+(0.0069*(X4^2.0834)*X2^0.5371)+(0.0325*(X4^2.3851)*X2^0)+(0.1683*(X4^1.2764)*X2^0))*1000"/>
    <s v="((0.0259*(2.5^1.9044)*4.5^0.9715)+(0.0069*(2.5^2.0834)*4.5^0.5371)+(0.0325*(2.5^2.3851)*4.5^0)+(0.1683*(2.5^1.2764)*4.5^0))*1000"/>
    <n v="1574.8489206895194"/>
    <n v="1574.8489206895194"/>
  </r>
  <r>
    <x v="0"/>
    <x v="4"/>
    <x v="0"/>
    <x v="0"/>
    <d v="2022-06-29T00:00:00"/>
    <x v="0"/>
    <x v="0"/>
    <s v="yellow_birch"/>
    <n v="5"/>
    <n v="3"/>
    <s v="((0.0259*(X4^1.9044)*X2^0.9715)+(0.0069*(X4^2.0834)*X2^0.5371)+(0.0325*(X4^2.3851)*X2^0)+(0.1683*(X4^1.2764)*X2^0))*1000"/>
    <s v="((0.0259*(3^1.9044)*5^0.9715)+(0.0069*(3^2.0834)*5^0.5371)+(0.0325*(3^2.3851)*5^0)+(0.1683*(3^1.2764)*5^0))*1000"/>
    <n v="2294.38925910938"/>
    <n v="2294.38925910938"/>
  </r>
  <r>
    <x v="0"/>
    <x v="4"/>
    <x v="0"/>
    <x v="0"/>
    <d v="2022-06-29T00:00:00"/>
    <x v="0"/>
    <x v="0"/>
    <s v="yellow_birch"/>
    <n v="6"/>
    <n v="3.25"/>
    <s v="((0.0259*(X4^1.9044)*X2^0.9715)+(0.0069*(X4^2.0834)*X2^0.5371)+(0.0325*(X4^2.3851)*X2^0)+(0.1683*(X4^1.2764)*X2^0))*1000"/>
    <s v="((0.0259*(3.25^1.9044)*6^0.9715)+(0.0069*(3.25^2.0834)*6^0.5371)+(0.0325*(3.25^2.3851)*6^0)+(0.1683*(3.25^1.2764)*6^0))*1000"/>
    <n v="2902.0885806590145"/>
    <n v="2902.0885806590145"/>
  </r>
  <r>
    <x v="0"/>
    <x v="4"/>
    <x v="1"/>
    <x v="0"/>
    <d v="2022-06-29T00:00:00"/>
    <x v="0"/>
    <x v="0"/>
    <s v="NA"/>
    <s v="NA"/>
    <s v="NA"/>
    <e v="#N/A"/>
    <e v="#N/A"/>
    <e v="#N/A"/>
    <n v="0"/>
  </r>
  <r>
    <x v="0"/>
    <x v="4"/>
    <x v="0"/>
    <x v="0"/>
    <d v="2022-06-29T00:00:00"/>
    <x v="1"/>
    <x v="1"/>
    <s v="balsam_fir"/>
    <n v="6"/>
    <n v="11"/>
    <s v="((0.0294*(X4^1.8357)*X2^0.864)+(0.0053*(X4^2.0876)*X2^0.5842)+(0.0117*(X4^3.5097)*X2^-1.3006)+(0.1245*(X4^2.523)*X2^-1.123))*1000"/>
    <s v="((0.0294*(11^1.8357)*6^0.864)+(0.0053*(11^2.0876)*6^0.5842)+(0.0117*(11^3.5097)*6^-1.3006)+(0.1245*(11^2.523)*6^-1.123))*1000"/>
    <n v="25735.349471776659"/>
    <n v="25735.349471776659"/>
  </r>
  <r>
    <x v="0"/>
    <x v="4"/>
    <x v="0"/>
    <x v="0"/>
    <d v="2022-06-29T00:00:00"/>
    <x v="1"/>
    <x v="1"/>
    <s v="white_birch"/>
    <n v="7"/>
    <n v="5"/>
    <s v="((0.0259*(X4^1.9044)*X2^0.9715)+(0.0069*(X4^2.0834)*X2^0.5371)+(0.0325*(X4^2.3851)*X2^0)+(0.1683*(X4^1.2764)*X2^0))*1000"/>
    <s v="((0.0259*(5^1.9044)*7^0.9715)+(0.0069*(5^2.0834)*7^0.5371)+(0.0325*(5^2.3851)*7^0)+(0.1683*(5^1.2764)*7^0))*1000"/>
    <n v="7060.5212145389187"/>
    <n v="7060.5212145389187"/>
  </r>
  <r>
    <x v="0"/>
    <x v="4"/>
    <x v="0"/>
    <x v="0"/>
    <d v="2022-06-29T00:00:00"/>
    <x v="1"/>
    <x v="1"/>
    <s v="white_birch"/>
    <n v="9"/>
    <n v="7.5"/>
    <s v="((0.0259*(X4^1.9044)*X2^0.9715)+(0.0069*(X4^2.0834)*X2^0.5371)+(0.0325*(X4^2.3851)*X2^0)+(0.1683*(X4^1.2764)*X2^0))*1000"/>
    <s v="((0.0259*(7.5^1.9044)*9^0.9715)+(0.0069*(7.5^2.0834)*9^0.5371)+(0.0325*(7.5^2.3851)*9^0)+(0.1683*(7.5^1.2764)*9^0))*1000"/>
    <n v="17827.373206074557"/>
    <n v="17827.373206074557"/>
  </r>
  <r>
    <x v="0"/>
    <x v="4"/>
    <x v="1"/>
    <x v="0"/>
    <d v="2022-06-29T00:00:00"/>
    <x v="1"/>
    <x v="1"/>
    <s v="NA"/>
    <s v="NA"/>
    <s v="NA"/>
    <e v="#N/A"/>
    <e v="#N/A"/>
    <e v="#N/A"/>
    <n v="0"/>
  </r>
  <r>
    <x v="0"/>
    <x v="4"/>
    <x v="0"/>
    <x v="0"/>
    <d v="2022-06-29T00:00:00"/>
    <x v="2"/>
    <x v="2"/>
    <s v="balsam_fir"/>
    <n v="5"/>
    <n v="4.75"/>
    <s v="((0.0294*(X4^1.8357)*X2^0.864)+(0.0053*(X4^2.0876)*X2^0.5842)+(0.0117*(X4^3.5097)*X2^-1.3006)+(0.1245*(X4^2.523)*X2^-1.123))*1000"/>
    <s v="((0.0294*(4.75^1.8357)*5^0.864)+(0.0053*(4.75^2.0876)*5^0.5842)+(0.0117*(4.75^3.5097)*5^-1.3006)+(0.1245*(4.75^2.523)*5^-1.123))*1000"/>
    <n v="3797.0414641626762"/>
    <n v="3797.0414641626762"/>
  </r>
  <r>
    <x v="0"/>
    <x v="4"/>
    <x v="0"/>
    <x v="0"/>
    <d v="2022-06-29T00:00:00"/>
    <x v="2"/>
    <x v="2"/>
    <s v="balsam_fir"/>
    <n v="5.5"/>
    <n v="5.5"/>
    <s v="((0.0294*(X4^1.8357)*X2^0.864)+(0.0053*(X4^2.0876)*X2^0.5842)+(0.0117*(X4^3.5097)*X2^-1.3006)+(0.1245*(X4^2.523)*X2^-1.123))*1000"/>
    <s v="((0.0294*(5.5^1.8357)*5.5^0.864)+(0.0053*(5.5^2.0876)*5.5^0.5842)+(0.0117*(5.5^3.5097)*5.5^-1.3006)+(0.1245*(5.5^2.523)*5.5^-1.123))*1000"/>
    <n v="5295.2183666215424"/>
    <n v="5295.2183666215424"/>
  </r>
  <r>
    <x v="0"/>
    <x v="4"/>
    <x v="0"/>
    <x v="0"/>
    <d v="2022-06-29T00:00:00"/>
    <x v="2"/>
    <x v="2"/>
    <s v="balsam_fir"/>
    <n v="10"/>
    <n v="13"/>
    <s v="((0.0294*(X4^1.8357)*X2^0.864)+(0.0053*(X4^2.0876)*X2^0.5842)+(0.0117*(X4^3.5097)*X2^-1.3006)+(0.1245*(X4^2.523)*X2^-1.123))*1000"/>
    <s v="((0.0294*(13^1.8357)*10^0.864)+(0.0053*(13^2.0876)*10^0.5842)+(0.0117*(13^3.5097)*10^-1.3006)+(0.1245*(13^2.523)*10^-1.123))*1000"/>
    <n v="38957.517626040411"/>
    <n v="38957.517626040411"/>
  </r>
  <r>
    <x v="0"/>
    <x v="4"/>
    <x v="1"/>
    <x v="0"/>
    <d v="2022-06-29T00:00:00"/>
    <x v="2"/>
    <x v="2"/>
    <s v="NA"/>
    <s v="NA"/>
    <s v="NA"/>
    <e v="#N/A"/>
    <e v="#N/A"/>
    <e v="#N/A"/>
    <n v="0"/>
  </r>
  <r>
    <x v="0"/>
    <x v="4"/>
    <x v="1"/>
    <x v="0"/>
    <d v="2022-06-29T00:00:00"/>
    <x v="3"/>
    <x v="3"/>
    <s v="NA"/>
    <s v="NA"/>
    <s v="NA"/>
    <e v="#N/A"/>
    <e v="#N/A"/>
    <e v="#N/A"/>
    <n v="0"/>
  </r>
  <r>
    <x v="0"/>
    <x v="5"/>
    <x v="2"/>
    <x v="0"/>
    <d v="2022-06-28T00:00:00"/>
    <x v="0"/>
    <x v="0"/>
    <s v="NA"/>
    <s v="NA"/>
    <s v="NA"/>
    <e v="#N/A"/>
    <e v="#N/A"/>
    <e v="#N/A"/>
    <n v="0"/>
  </r>
  <r>
    <x v="0"/>
    <x v="5"/>
    <x v="2"/>
    <x v="0"/>
    <d v="2022-06-28T00:00:00"/>
    <x v="1"/>
    <x v="1"/>
    <s v="NA"/>
    <s v="NA"/>
    <s v="NA"/>
    <e v="#N/A"/>
    <e v="#N/A"/>
    <e v="#N/A"/>
    <n v="0"/>
  </r>
  <r>
    <x v="0"/>
    <x v="5"/>
    <x v="2"/>
    <x v="0"/>
    <d v="2022-06-28T00:00:00"/>
    <x v="2"/>
    <x v="2"/>
    <s v="NA"/>
    <s v="NA"/>
    <s v="NA"/>
    <e v="#N/A"/>
    <e v="#N/A"/>
    <e v="#N/A"/>
    <n v="0"/>
  </r>
  <r>
    <x v="0"/>
    <x v="5"/>
    <x v="2"/>
    <x v="0"/>
    <d v="2022-06-28T00:00:00"/>
    <x v="3"/>
    <x v="3"/>
    <s v="white_birch"/>
    <n v="12.2"/>
    <n v="21.75"/>
    <s v="((0.0259*(X4^1.9044)*X2^0.9715)+(0.0069*(X4^2.0834)*X2^0.5371)+(0.0325*(X4^2.3851)*X2^0)+(0.1683*(X4^1.2764)*X2^0))*1000"/>
    <s v="((0.0259*(21.75^1.9044)*12.2^0.9715)+(0.0069*(21.75^2.0834)*12.2^0.5371)+(0.0325*(21.75^2.3851)*12.2^0)+(0.1683*(21.75^1.2764)*12.2^0))*1000"/>
    <n v="178775.89488984778"/>
    <n v="178775.89488984778"/>
  </r>
  <r>
    <x v="0"/>
    <x v="6"/>
    <x v="2"/>
    <x v="0"/>
    <d v="2022-06-30T00:00:00"/>
    <x v="0"/>
    <x v="0"/>
    <s v="NA"/>
    <s v="NA"/>
    <s v="NA"/>
    <e v="#N/A"/>
    <e v="#N/A"/>
    <e v="#N/A"/>
    <n v="0"/>
  </r>
  <r>
    <x v="0"/>
    <x v="6"/>
    <x v="2"/>
    <x v="0"/>
    <d v="2022-06-30T00:00:00"/>
    <x v="1"/>
    <x v="1"/>
    <s v="NA"/>
    <s v="NA"/>
    <s v="NA"/>
    <e v="#N/A"/>
    <e v="#N/A"/>
    <e v="#N/A"/>
    <n v="0"/>
  </r>
  <r>
    <x v="0"/>
    <x v="6"/>
    <x v="2"/>
    <x v="0"/>
    <d v="2022-06-30T00:00:00"/>
    <x v="2"/>
    <x v="2"/>
    <s v="NA"/>
    <s v="NA"/>
    <s v="NA"/>
    <e v="#N/A"/>
    <e v="#N/A"/>
    <e v="#N/A"/>
    <n v="0"/>
  </r>
  <r>
    <x v="0"/>
    <x v="6"/>
    <x v="2"/>
    <x v="0"/>
    <d v="2022-06-30T00:00:00"/>
    <x v="3"/>
    <x v="3"/>
    <s v="NA"/>
    <s v="NA"/>
    <s v="NA"/>
    <e v="#N/A"/>
    <e v="#N/A"/>
    <e v="#N/A"/>
    <n v="0"/>
  </r>
  <r>
    <x v="0"/>
    <x v="7"/>
    <x v="2"/>
    <x v="0"/>
    <d v="2022-07-14T00:00:00"/>
    <x v="0"/>
    <x v="0"/>
    <s v="NA"/>
    <s v="NA"/>
    <s v="NA"/>
    <e v="#N/A"/>
    <e v="#N/A"/>
    <e v="#N/A"/>
    <n v="0"/>
  </r>
  <r>
    <x v="0"/>
    <x v="7"/>
    <x v="2"/>
    <x v="0"/>
    <d v="2022-07-14T00:00:00"/>
    <x v="1"/>
    <x v="1"/>
    <s v="black_spruce"/>
    <n v="7"/>
    <n v="16"/>
    <s v="((0.0309*(X4^1.7527)*X2^1.0014)+(0.0115*(X4^1.7405)*X2^0.6589)+(0.038*(X4^3.2558)*X2^-1.4218)+(0.2048*(X4^2.5754)*X2^-1.3704))*1000"/>
    <s v="((0.0309*(16^1.7527)*7^1.0014)+(0.0115*(16^1.7405)*7^0.6589)+(0.038*(16^3.2558)*7^-1.4218)+(0.2048*(16^2.5754)*7^-1.3704))*1000"/>
    <n v="70986.245957016159"/>
    <n v="70986.245957016159"/>
  </r>
  <r>
    <x v="0"/>
    <x v="7"/>
    <x v="2"/>
    <x v="0"/>
    <d v="2022-07-14T00:00:00"/>
    <x v="2"/>
    <x v="2"/>
    <s v="NA"/>
    <s v="NA"/>
    <s v="NA"/>
    <e v="#N/A"/>
    <e v="#N/A"/>
    <e v="#N/A"/>
    <n v="0"/>
  </r>
  <r>
    <x v="0"/>
    <x v="7"/>
    <x v="2"/>
    <x v="0"/>
    <d v="2022-07-14T00:00:00"/>
    <x v="3"/>
    <x v="3"/>
    <s v="NA"/>
    <s v="NA"/>
    <s v="NA"/>
    <e v="#N/A"/>
    <e v="#N/A"/>
    <e v="#N/A"/>
    <n v="0"/>
  </r>
  <r>
    <x v="0"/>
    <x v="8"/>
    <x v="2"/>
    <x v="0"/>
    <d v="2022-07-14T00:00:00"/>
    <x v="0"/>
    <x v="0"/>
    <s v="NA"/>
    <s v="NA"/>
    <s v="NA"/>
    <e v="#N/A"/>
    <e v="#N/A"/>
    <e v="#N/A"/>
    <n v="0"/>
  </r>
  <r>
    <x v="0"/>
    <x v="8"/>
    <x v="2"/>
    <x v="0"/>
    <d v="2022-07-14T00:00:00"/>
    <x v="1"/>
    <x v="1"/>
    <s v="NA"/>
    <s v="NA"/>
    <s v="NA"/>
    <e v="#N/A"/>
    <e v="#N/A"/>
    <e v="#N/A"/>
    <n v="0"/>
  </r>
  <r>
    <x v="0"/>
    <x v="8"/>
    <x v="2"/>
    <x v="0"/>
    <d v="2022-07-14T00:00:00"/>
    <x v="2"/>
    <x v="2"/>
    <s v="NA"/>
    <s v="NA"/>
    <s v="NA"/>
    <e v="#N/A"/>
    <e v="#N/A"/>
    <e v="#N/A"/>
    <n v="0"/>
  </r>
  <r>
    <x v="0"/>
    <x v="8"/>
    <x v="2"/>
    <x v="0"/>
    <d v="2022-07-14T00:00:00"/>
    <x v="3"/>
    <x v="3"/>
    <s v="NA"/>
    <s v="NA"/>
    <s v="NA"/>
    <e v="#N/A"/>
    <e v="#N/A"/>
    <e v="#N/A"/>
    <n v="0"/>
  </r>
  <r>
    <x v="0"/>
    <x v="9"/>
    <x v="2"/>
    <x v="0"/>
    <d v="2022-07-14T00:00:00"/>
    <x v="0"/>
    <x v="0"/>
    <s v="NA"/>
    <s v="NA"/>
    <s v="NA"/>
    <e v="#N/A"/>
    <e v="#N/A"/>
    <e v="#N/A"/>
    <n v="0"/>
  </r>
  <r>
    <x v="0"/>
    <x v="9"/>
    <x v="2"/>
    <x v="0"/>
    <d v="2022-07-14T00:00:00"/>
    <x v="1"/>
    <x v="1"/>
    <s v="NA"/>
    <s v="NA"/>
    <s v="NA"/>
    <e v="#N/A"/>
    <e v="#N/A"/>
    <e v="#N/A"/>
    <n v="0"/>
  </r>
  <r>
    <x v="0"/>
    <x v="9"/>
    <x v="2"/>
    <x v="0"/>
    <d v="2022-07-14T00:00:00"/>
    <x v="2"/>
    <x v="2"/>
    <s v="NA"/>
    <s v="NA"/>
    <s v="NA"/>
    <e v="#N/A"/>
    <e v="#N/A"/>
    <e v="#N/A"/>
    <n v="0"/>
  </r>
  <r>
    <x v="0"/>
    <x v="9"/>
    <x v="2"/>
    <x v="0"/>
    <d v="2022-07-14T00:00:00"/>
    <x v="3"/>
    <x v="3"/>
    <s v="NA"/>
    <s v="NA"/>
    <s v="NA"/>
    <e v="#N/A"/>
    <e v="#N/A"/>
    <e v="#N/A"/>
    <n v="0"/>
  </r>
  <r>
    <x v="0"/>
    <x v="10"/>
    <x v="2"/>
    <x v="0"/>
    <d v="2022-06-29T00:00:00"/>
    <x v="0"/>
    <x v="0"/>
    <s v="NA"/>
    <s v="NA"/>
    <s v="NA"/>
    <e v="#N/A"/>
    <e v="#N/A"/>
    <e v="#N/A"/>
    <n v="0"/>
  </r>
  <r>
    <x v="0"/>
    <x v="10"/>
    <x v="2"/>
    <x v="0"/>
    <d v="2022-06-29T00:00:00"/>
    <x v="1"/>
    <x v="1"/>
    <s v="NA"/>
    <s v="NA"/>
    <s v="NA"/>
    <e v="#N/A"/>
    <e v="#N/A"/>
    <e v="#N/A"/>
    <n v="0"/>
  </r>
  <r>
    <x v="0"/>
    <x v="10"/>
    <x v="2"/>
    <x v="0"/>
    <d v="2022-06-29T00:00:00"/>
    <x v="2"/>
    <x v="2"/>
    <s v="NA"/>
    <s v="NA"/>
    <s v="NA"/>
    <e v="#N/A"/>
    <e v="#N/A"/>
    <e v="#N/A"/>
    <n v="0"/>
  </r>
  <r>
    <x v="0"/>
    <x v="10"/>
    <x v="2"/>
    <x v="0"/>
    <d v="2022-06-29T00:00:00"/>
    <x v="3"/>
    <x v="3"/>
    <s v="balsam_fir"/>
    <n v="3"/>
    <n v="10.5"/>
    <s v="((0.0294*(X4^1.8357)*X2^0.864)+(0.0053*(X4^2.0876)*X2^0.5842)+(0.0117*(X4^3.5097)*X2^-1.3006)+(0.1245*(X4^2.523)*X2^-1.123))*1000"/>
    <s v="((0.0294*(10.5^1.8357)*3^0.864)+(0.0053*(10.5^2.0876)*3^0.5842)+(0.0117*(10.5^3.5097)*3^-1.3006)+(0.1245*(10.5^2.523)*3^-1.123))*1000"/>
    <n v="31484.12360460695"/>
    <n v="31484.12360460695"/>
  </r>
  <r>
    <x v="0"/>
    <x v="11"/>
    <x v="2"/>
    <x v="0"/>
    <d v="2022-06-28T00:00:00"/>
    <x v="0"/>
    <x v="0"/>
    <s v="NA"/>
    <s v="NA"/>
    <s v="NA"/>
    <e v="#N/A"/>
    <e v="#N/A"/>
    <e v="#N/A"/>
    <n v="0"/>
  </r>
  <r>
    <x v="0"/>
    <x v="11"/>
    <x v="2"/>
    <x v="0"/>
    <d v="2022-06-28T00:00:00"/>
    <x v="1"/>
    <x v="1"/>
    <s v="NA"/>
    <s v="NA"/>
    <s v="NA"/>
    <e v="#N/A"/>
    <e v="#N/A"/>
    <e v="#N/A"/>
    <n v="0"/>
  </r>
  <r>
    <x v="0"/>
    <x v="11"/>
    <x v="2"/>
    <x v="0"/>
    <d v="2022-06-28T00:00:00"/>
    <x v="2"/>
    <x v="2"/>
    <s v="NA"/>
    <s v="NA"/>
    <s v="NA"/>
    <e v="#N/A"/>
    <e v="#N/A"/>
    <e v="#N/A"/>
    <n v="0"/>
  </r>
  <r>
    <x v="0"/>
    <x v="11"/>
    <x v="2"/>
    <x v="0"/>
    <d v="2022-06-28T00:00:00"/>
    <x v="3"/>
    <x v="3"/>
    <s v="NA"/>
    <s v="NA"/>
    <s v="NA"/>
    <e v="#N/A"/>
    <e v="#N/A"/>
    <e v="#N/A"/>
    <n v="0"/>
  </r>
  <r>
    <x v="0"/>
    <x v="12"/>
    <x v="1"/>
    <x v="1"/>
    <d v="2022-06-30T00:00:00"/>
    <x v="0"/>
    <x v="0"/>
    <s v="balsam_fir"/>
    <n v="4"/>
    <n v="16"/>
    <s v="((0.0294*(X4^1.8357)*X2^0.864)+(0.0053*(X4^2.0876)*X2^0.5842)+(0.0117*(X4^3.5097)*X2^-1.3006)+(0.1245*(X4^2.523)*X2^-1.123))*1000"/>
    <s v="((0.0294*(16^1.8357)*4^0.864)+(0.0053*(16^2.0876)*4^0.5842)+(0.0117*(16^3.5097)*4^-1.3006)+(0.1245*(16^2.523)*4^-1.123))*1000"/>
    <n v="80795.387928872602"/>
    <n v="80795.387928872602"/>
  </r>
  <r>
    <x v="0"/>
    <x v="12"/>
    <x v="0"/>
    <x v="1"/>
    <d v="2022-06-28T00:00:00"/>
    <x v="0"/>
    <x v="0"/>
    <s v="balsam_fir"/>
    <n v="5.5"/>
    <n v="15.3"/>
    <s v="((0.0294*(X4^1.8357)*X2^0.864)+(0.0053*(X4^2.0876)*X2^0.5842)+(0.0117*(X4^3.5097)*X2^-1.3006)+(0.1245*(X4^2.523)*X2^-1.123))*1000"/>
    <s v="((0.0294*(15.3^1.8357)*5.5^0.864)+(0.0053*(15.3^2.0876)*5.5^0.5842)+(0.0117*(15.3^3.5097)*5.5^-1.3006)+(0.1245*(15.3^2.523)*5.5^-1.123))*1000"/>
    <n v="59666.678483024079"/>
    <n v="59666.678483024079"/>
  </r>
  <r>
    <x v="0"/>
    <x v="12"/>
    <x v="0"/>
    <x v="1"/>
    <d v="2022-06-28T00:00:00"/>
    <x v="0"/>
    <x v="0"/>
    <s v="balsam_fir"/>
    <n v="6"/>
    <n v="15.4"/>
    <s v="((0.0294*(X4^1.8357)*X2^0.864)+(0.0053*(X4^2.0876)*X2^0.5842)+(0.0117*(X4^3.5097)*X2^-1.3006)+(0.1245*(X4^2.523)*X2^-1.123))*1000"/>
    <s v="((0.0294*(15.4^1.8357)*6^0.864)+(0.0053*(15.4^2.0876)*6^0.5842)+(0.0117*(15.4^3.5097)*6^-1.3006)+(0.1245*(15.4^2.523)*6^-1.123))*1000"/>
    <n v="58716.800224480306"/>
    <n v="58716.800224480306"/>
  </r>
  <r>
    <x v="0"/>
    <x v="12"/>
    <x v="0"/>
    <x v="1"/>
    <d v="2022-06-28T00:00:00"/>
    <x v="1"/>
    <x v="1"/>
    <s v="balsam_fir"/>
    <n v="4"/>
    <n v="11.1"/>
    <s v="((0.0294*(X4^1.8357)*X2^0.864)+(0.0053*(X4^2.0876)*X2^0.5842)+(0.0117*(X4^3.5097)*X2^-1.3006)+(0.1245*(X4^2.523)*X2^-1.123))*1000"/>
    <s v="((0.0294*(11.1^1.8357)*4^0.864)+(0.0053*(11.1^2.0876)*4^0.5842)+(0.0117*(11.1^3.5097)*4^-1.3006)+(0.1245*(11.1^2.523)*4^-1.123))*1000"/>
    <n v="30272.68187111328"/>
    <n v="30272.68187111328"/>
  </r>
  <r>
    <x v="0"/>
    <x v="12"/>
    <x v="0"/>
    <x v="1"/>
    <d v="2022-06-28T00:00:00"/>
    <x v="1"/>
    <x v="1"/>
    <s v="balsam_fir"/>
    <n v="6"/>
    <n v="24.1"/>
    <s v="((0.0294*(X4^1.8357)*X2^0.864)+(0.0053*(X4^2.0876)*X2^0.5842)+(0.0117*(X4^3.5097)*X2^-1.3006)+(0.1245*(X4^2.523)*X2^-1.123))*1000"/>
    <s v="((0.0294*(24.1^1.8357)*6^0.864)+(0.0053*(24.1^2.0876)*6^0.5842)+(0.0117*(24.1^3.5097)*6^-1.3006)+(0.1245*(24.1^2.523)*6^-1.123))*1000"/>
    <n v="190903.65881518403"/>
    <n v="190903.65881518403"/>
  </r>
  <r>
    <x v="0"/>
    <x v="12"/>
    <x v="1"/>
    <x v="1"/>
    <d v="2022-06-30T00:00:00"/>
    <x v="1"/>
    <x v="1"/>
    <s v="balsam_fir"/>
    <n v="6"/>
    <n v="45"/>
    <s v="((0.0294*(X4^1.8357)*X2^0.864)+(0.0053*(X4^2.0876)*X2^0.5842)+(0.0117*(X4^3.5097)*X2^-1.3006)+(0.1245*(X4^2.523)*X2^-1.123))*1000"/>
    <s v="((0.0294*(45^1.8357)*6^0.864)+(0.0053*(45^2.0876)*6^0.5842)+(0.0117*(45^3.5097)*6^-1.3006)+(0.1245*(45^2.523)*6^-1.123))*1000"/>
    <n v="1161040.5124343741"/>
    <n v="1161040.5124343741"/>
  </r>
  <r>
    <x v="0"/>
    <x v="12"/>
    <x v="1"/>
    <x v="1"/>
    <d v="2022-06-30T00:00:00"/>
    <x v="2"/>
    <x v="2"/>
    <s v="balsam_fir"/>
    <n v="5.5"/>
    <n v="40"/>
    <s v="((0.0294*(X4^1.8357)*X2^0.864)+(0.0053*(X4^2.0876)*X2^0.5842)+(0.0117*(X4^3.5097)*X2^-1.3006)+(0.1245*(X4^2.523)*X2^-1.123))*1000"/>
    <s v="((0.0294*(40^1.8357)*5.5^0.864)+(0.0053*(40^2.0876)*5.5^0.5842)+(0.0117*(40^3.5097)*5.5^-1.3006)+(0.1245*(40^2.523)*5.5^-1.123))*1000"/>
    <n v="880407.78550877783"/>
    <n v="880407.78550877783"/>
  </r>
  <r>
    <x v="0"/>
    <x v="12"/>
    <x v="1"/>
    <x v="1"/>
    <d v="2022-06-30T00:00:00"/>
    <x v="2"/>
    <x v="2"/>
    <s v="balsam_fir"/>
    <n v="6"/>
    <n v="26"/>
    <s v="((0.0294*(X4^1.8357)*X2^0.864)+(0.0053*(X4^2.0876)*X2^0.5842)+(0.0117*(X4^3.5097)*X2^-1.3006)+(0.1245*(X4^2.523)*X2^-1.123))*1000"/>
    <s v="((0.0294*(26^1.8357)*6^0.864)+(0.0053*(26^2.0876)*6^0.5842)+(0.0117*(26^3.5097)*6^-1.3006)+(0.1245*(26^2.523)*6^-1.123))*1000"/>
    <n v="235394.51662893902"/>
    <n v="235394.51662893902"/>
  </r>
  <r>
    <x v="0"/>
    <x v="12"/>
    <x v="0"/>
    <x v="1"/>
    <d v="2022-06-28T00:00:00"/>
    <x v="2"/>
    <x v="2"/>
    <s v="NA"/>
    <s v="NA"/>
    <s v="NA"/>
    <e v="#N/A"/>
    <e v="#N/A"/>
    <e v="#N/A"/>
    <n v="0"/>
  </r>
  <r>
    <x v="0"/>
    <x v="12"/>
    <x v="1"/>
    <x v="1"/>
    <d v="2022-06-30T00:00:00"/>
    <x v="3"/>
    <x v="3"/>
    <s v="balsam_fir"/>
    <n v="3"/>
    <n v="14"/>
    <s v="((0.0294*(X4^1.8357)*X2^0.864)+(0.0053*(X4^2.0876)*X2^0.5842)+(0.0117*(X4^3.5097)*X2^-1.3006)+(0.1245*(X4^2.523)*X2^-1.123))*1000"/>
    <s v="((0.0294*(14^1.8357)*3^0.864)+(0.0053*(14^2.0876)*3^0.5842)+(0.0117*(14^3.5097)*3^-1.3006)+(0.1245*(14^2.523)*3^-1.123))*1000"/>
    <n v="69914.758718340803"/>
    <n v="69914.758718340803"/>
  </r>
  <r>
    <x v="0"/>
    <x v="12"/>
    <x v="1"/>
    <x v="1"/>
    <d v="2022-06-30T00:00:00"/>
    <x v="3"/>
    <x v="3"/>
    <s v="white_birch"/>
    <n v="7"/>
    <n v="40"/>
    <s v="((0.0259*(X4^1.9044)*X2^0.9715)+(0.0069*(X4^2.0834)*X2^0.5371)+(0.0325*(X4^2.3851)*X2^0)+(0.1683*(X4^1.2764)*X2^0))*1000"/>
    <s v="((0.0259*(40^1.9044)*7^0.9715)+(0.0069*(40^2.0834)*7^0.5371)+(0.0325*(40^2.3851)*7^0)+(0.1683*(40^1.2764)*7^0))*1000"/>
    <n v="469498.73658112442"/>
    <n v="469498.73658112442"/>
  </r>
  <r>
    <x v="0"/>
    <x v="13"/>
    <x v="2"/>
    <x v="1"/>
    <d v="2022-06-30T00:00:00"/>
    <x v="0"/>
    <x v="0"/>
    <s v="white_birch"/>
    <n v="7"/>
    <n v="6"/>
    <s v="((0.0259*(X4^1.9044)*X2^0.9715)+(0.0069*(X4^2.0834)*X2^0.5371)+(0.0325*(X4^2.3851)*X2^0)+(0.1683*(X4^1.2764)*X2^0))*1000"/>
    <s v="((0.0259*(6^1.9044)*7^0.9715)+(0.0069*(6^2.0834)*7^0.5371)+(0.0325*(6^2.3851)*7^0)+(0.1683*(6^1.2764)*7^0))*1000"/>
    <n v="10012.538852835281"/>
    <n v="10012.538852835281"/>
  </r>
  <r>
    <x v="0"/>
    <x v="13"/>
    <x v="2"/>
    <x v="1"/>
    <d v="2022-06-30T00:00:00"/>
    <x v="0"/>
    <x v="0"/>
    <s v="balsam_fir"/>
    <n v="9"/>
    <n v="6.25"/>
    <s v="((0.0294*(X4^1.8357)*X2^0.864)+(0.0053*(X4^2.0876)*X2^0.5842)+(0.0117*(X4^3.5097)*X2^-1.3006)+(0.1245*(X4^2.523)*X2^-1.123))*1000"/>
    <s v="((0.0294*(6.25^1.8357)*9^0.864)+(0.0053*(6.25^2.0876)*9^0.5842)+(0.0117*(6.25^3.5097)*9^-1.3006)+(0.1245*(6.25^2.523)*9^-1.123))*1000"/>
    <n v="8043.0409410407929"/>
    <n v="8043.0409410407929"/>
  </r>
  <r>
    <x v="0"/>
    <x v="13"/>
    <x v="2"/>
    <x v="1"/>
    <d v="2022-06-30T00:00:00"/>
    <x v="0"/>
    <x v="0"/>
    <s v="white_birch"/>
    <n v="11"/>
    <n v="10.75"/>
    <s v="((0.0259*(X4^1.9044)*X2^0.9715)+(0.0069*(X4^2.0834)*X2^0.5371)+(0.0325*(X4^2.3851)*X2^0)+(0.1683*(X4^1.2764)*X2^0))*1000"/>
    <s v="((0.0259*(10.75^1.9044)*11^0.9715)+(0.0069*(10.75^2.0834)*11^0.5371)+(0.0325*(10.75^2.3851)*11^0)+(0.1683*(10.75^1.2764)*11^0))*1000"/>
    <n v="40888.637061620058"/>
    <n v="40888.637061620058"/>
  </r>
  <r>
    <x v="0"/>
    <x v="13"/>
    <x v="2"/>
    <x v="1"/>
    <d v="2022-06-30T00:00:00"/>
    <x v="0"/>
    <x v="0"/>
    <s v="balsam_fir"/>
    <n v="11"/>
    <n v="14.25"/>
    <s v="((0.0294*(X4^1.8357)*X2^0.864)+(0.0053*(X4^2.0876)*X2^0.5842)+(0.0117*(X4^3.5097)*X2^-1.3006)+(0.1245*(X4^2.523)*X2^-1.123))*1000"/>
    <s v="((0.0294*(14.25^1.8357)*11^0.864)+(0.0053*(14.25^2.0876)*11^0.5842)+(0.0117*(14.25^3.5097)*11^-1.3006)+(0.1245*(14.25^2.523)*11^-1.123))*1000"/>
    <n v="48809.29405831793"/>
    <n v="48809.29405831793"/>
  </r>
  <r>
    <x v="0"/>
    <x v="13"/>
    <x v="2"/>
    <x v="1"/>
    <d v="2022-06-30T00:00:00"/>
    <x v="0"/>
    <x v="0"/>
    <s v="balsam_fir"/>
    <n v="11"/>
    <n v="15.25"/>
    <s v="((0.0294*(X4^1.8357)*X2^0.864)+(0.0053*(X4^2.0876)*X2^0.5842)+(0.0117*(X4^3.5097)*X2^-1.3006)+(0.1245*(X4^2.523)*X2^-1.123))*1000"/>
    <s v="((0.0294*(15.25^1.8357)*11^0.864)+(0.0053*(15.25^2.0876)*11^0.5842)+(0.0117*(15.25^3.5097)*11^-1.3006)+(0.1245*(15.25^2.523)*11^-1.123))*1000"/>
    <n v="56548.893755266537"/>
    <n v="56548.893755266537"/>
  </r>
  <r>
    <x v="0"/>
    <x v="13"/>
    <x v="2"/>
    <x v="1"/>
    <d v="2022-06-30T00:00:00"/>
    <x v="1"/>
    <x v="1"/>
    <s v="balsam_fir"/>
    <n v="6"/>
    <n v="6"/>
    <s v="((0.0294*(X4^1.8357)*X2^0.864)+(0.0053*(X4^2.0876)*X2^0.5842)+(0.0117*(X4^3.5097)*X2^-1.3006)+(0.1245*(X4^2.523)*X2^-1.123))*1000"/>
    <s v="((0.0294*(6^1.8357)*6^0.864)+(0.0053*(6^2.0876)*6^0.5842)+(0.0117*(6^3.5097)*6^-1.3006)+(0.1245*(6^2.523)*6^-1.123))*1000"/>
    <n v="6485.9234854283468"/>
    <n v="6485.9234854283468"/>
  </r>
  <r>
    <x v="0"/>
    <x v="13"/>
    <x v="2"/>
    <x v="1"/>
    <d v="2022-06-30T00:00:00"/>
    <x v="1"/>
    <x v="1"/>
    <s v="balsam_fir"/>
    <n v="7.5"/>
    <n v="9.5"/>
    <s v="((0.0294*(X4^1.8357)*X2^0.864)+(0.0053*(X4^2.0876)*X2^0.5842)+(0.0117*(X4^3.5097)*X2^-1.3006)+(0.1245*(X4^2.523)*X2^-1.123))*1000"/>
    <s v="((0.0294*(9.5^1.8357)*7.5^0.864)+(0.0053*(9.5^2.0876)*7.5^0.5842)+(0.0117*(9.5^3.5097)*7.5^-1.3006)+(0.1245*(9.5^2.523)*7.5^-1.123))*1000"/>
    <n v="18437.558777385475"/>
    <n v="18437.558777385475"/>
  </r>
  <r>
    <x v="0"/>
    <x v="13"/>
    <x v="2"/>
    <x v="1"/>
    <d v="2022-06-30T00:00:00"/>
    <x v="1"/>
    <x v="1"/>
    <s v="balsam_fir"/>
    <n v="8"/>
    <n v="7.25"/>
    <s v="((0.0294*(X4^1.8357)*X2^0.864)+(0.0053*(X4^2.0876)*X2^0.5842)+(0.0117*(X4^3.5097)*X2^-1.3006)+(0.1245*(X4^2.523)*X2^-1.123))*1000"/>
    <s v="((0.0294*(7.25^1.8357)*8^0.864)+(0.0053*(7.25^2.0876)*8^0.5842)+(0.0117*(7.25^3.5097)*8^-1.3006)+(0.1245*(7.25^2.523)*8^-1.123))*1000"/>
    <n v="10449.175335939703"/>
    <n v="10449.175335939703"/>
  </r>
  <r>
    <x v="0"/>
    <x v="13"/>
    <x v="2"/>
    <x v="1"/>
    <d v="2022-06-30T00:00:00"/>
    <x v="1"/>
    <x v="1"/>
    <s v="balsam_fir"/>
    <n v="9"/>
    <n v="10"/>
    <s v="((0.0294*(X4^1.8357)*X2^0.864)+(0.0053*(X4^2.0876)*X2^0.5842)+(0.0117*(X4^3.5097)*X2^-1.3006)+(0.1245*(X4^2.523)*X2^-1.123))*1000"/>
    <s v="((0.0294*(10^1.8357)*9^0.864)+(0.0053*(10^2.0876)*9^0.5842)+(0.0117*(10^3.5097)*9^-1.3006)+(0.1245*(10^2.523)*9^-1.123))*1000"/>
    <n v="21475.999298519928"/>
    <n v="21475.999298519928"/>
  </r>
  <r>
    <x v="0"/>
    <x v="13"/>
    <x v="2"/>
    <x v="1"/>
    <d v="2022-06-30T00:00:00"/>
    <x v="2"/>
    <x v="2"/>
    <s v="white_birch"/>
    <n v="7.5"/>
    <n v="7"/>
    <s v="((0.0259*(X4^1.9044)*X2^0.9715)+(0.0069*(X4^2.0834)*X2^0.5371)+(0.0325*(X4^2.3851)*X2^0)+(0.1683*(X4^1.2764)*X2^0))*1000"/>
    <s v="((0.0259*(7^1.9044)*7.5^0.9715)+(0.0069*(7^2.0834)*7.5^0.5371)+(0.0325*(7^2.3851)*7.5^0)+(0.1683*(7^1.2764)*7.5^0))*1000"/>
    <n v="14021.594631998731"/>
    <n v="14021.594631998731"/>
  </r>
  <r>
    <x v="0"/>
    <x v="13"/>
    <x v="2"/>
    <x v="1"/>
    <d v="2022-06-30T00:00:00"/>
    <x v="2"/>
    <x v="2"/>
    <s v="balsam_fir"/>
    <n v="9"/>
    <n v="7"/>
    <s v="((0.0294*(X4^1.8357)*X2^0.864)+(0.0053*(X4^2.0876)*X2^0.5842)+(0.0117*(X4^3.5097)*X2^-1.3006)+(0.1245*(X4^2.523)*X2^-1.123))*1000"/>
    <s v="((0.0294*(7^1.8357)*9^0.864)+(0.0053*(7^2.0876)*9^0.5842)+(0.0117*(7^3.5097)*9^-1.3006)+(0.1245*(7^2.523)*9^-1.123))*1000"/>
    <n v="10148.93300133658"/>
    <n v="10148.93300133658"/>
  </r>
  <r>
    <x v="0"/>
    <x v="13"/>
    <x v="2"/>
    <x v="1"/>
    <d v="2022-06-30T00:00:00"/>
    <x v="2"/>
    <x v="2"/>
    <s v="balsam_fir"/>
    <n v="12"/>
    <n v="16"/>
    <s v="((0.0294*(X4^1.8357)*X2^0.864)+(0.0053*(X4^2.0876)*X2^0.5842)+(0.0117*(X4^3.5097)*X2^-1.3006)+(0.1245*(X4^2.523)*X2^-1.123))*1000"/>
    <s v="((0.0294*(16^1.8357)*12^0.864)+(0.0053*(16^2.0876)*12^0.5842)+(0.0117*(16^3.5097)*12^-1.3006)+(0.1245*(16^2.523)*12^-1.123))*1000"/>
    <n v="64350.560198822212"/>
    <n v="64350.560198822212"/>
  </r>
  <r>
    <x v="0"/>
    <x v="13"/>
    <x v="2"/>
    <x v="1"/>
    <d v="2022-06-30T00:00:00"/>
    <x v="3"/>
    <x v="3"/>
    <s v="balsam_fir"/>
    <n v="4.5"/>
    <n v="3.5"/>
    <s v="((0.0294*(X4^1.8357)*X2^0.864)+(0.0053*(X4^2.0876)*X2^0.5842)+(0.0117*(X4^3.5097)*X2^-1.3006)+(0.1245*(X4^2.523)*X2^-1.123))*1000"/>
    <s v="((0.0294*(3.5^1.8357)*4.5^0.864)+(0.0053*(3.5^2.0876)*4.5^0.5842)+(0.0117*(3.5^3.5097)*4.5^-1.3006)+(0.1245*(3.5^2.523)*4.5^-1.123))*1000"/>
    <n v="1926.2895968752548"/>
    <n v="1926.2895968752548"/>
  </r>
  <r>
    <x v="0"/>
    <x v="13"/>
    <x v="2"/>
    <x v="1"/>
    <d v="2022-06-30T00:00:00"/>
    <x v="3"/>
    <x v="3"/>
    <s v="balsam_fir"/>
    <n v="11.5"/>
    <n v="12"/>
    <s v="((0.0294*(X4^1.8357)*X2^0.864)+(0.0053*(X4^2.0876)*X2^0.5842)+(0.0117*(X4^3.5097)*X2^-1.3006)+(0.1245*(X4^2.523)*X2^-1.123))*1000"/>
    <s v="((0.0294*(12^1.8357)*11.5^0.864)+(0.0053*(12^2.0876)*11.5^0.5842)+(0.0117*(12^3.5097)*11.5^-1.3006)+(0.1245*(12^2.523)*11.5^-1.123))*1000"/>
    <n v="34399.380324803933"/>
    <n v="34399.380324803933"/>
  </r>
  <r>
    <x v="0"/>
    <x v="13"/>
    <x v="2"/>
    <x v="1"/>
    <d v="2022-06-30T00:00:00"/>
    <x v="3"/>
    <x v="3"/>
    <s v="balsam_fir"/>
    <n v="13"/>
    <n v="16.75"/>
    <s v="((0.0294*(X4^1.8357)*X2^0.864)+(0.0053*(X4^2.0876)*X2^0.5842)+(0.0117*(X4^3.5097)*X2^-1.3006)+(0.1245*(X4^2.523)*X2^-1.123))*1000"/>
    <s v="((0.0294*(16.75^1.8357)*13^0.864)+(0.0053*(16.75^2.0876)*13^0.5842)+(0.0117*(16.75^3.5097)*13^-1.3006)+(0.1245*(16.75^2.523)*13^-1.123))*1000"/>
    <n v="72916.338467875132"/>
    <n v="72916.338467875132"/>
  </r>
  <r>
    <x v="0"/>
    <x v="14"/>
    <x v="2"/>
    <x v="1"/>
    <d v="2022-06-29T00:00:00"/>
    <x v="0"/>
    <x v="0"/>
    <s v="balsam_fir"/>
    <n v="5.5"/>
    <n v="5.25"/>
    <s v="((0.0294*(X4^1.8357)*X2^0.864)+(0.0053*(X4^2.0876)*X2^0.5842)+(0.0117*(X4^3.5097)*X2^-1.3006)+(0.1245*(X4^2.523)*X2^-1.123))*1000"/>
    <s v="((0.0294*(5.25^1.8357)*5.5^0.864)+(0.0053*(5.25^2.0876)*5.5^0.5842)+(0.0117*(5.25^3.5097)*5.5^-1.3006)+(0.1245*(5.25^2.523)*5.5^-1.123))*1000"/>
    <n v="4782.5066229787008"/>
    <n v="4782.5066229787008"/>
  </r>
  <r>
    <x v="0"/>
    <x v="14"/>
    <x v="2"/>
    <x v="1"/>
    <d v="2022-06-29T00:00:00"/>
    <x v="0"/>
    <x v="0"/>
    <s v="balsam_fir"/>
    <n v="5.5"/>
    <n v="10"/>
    <s v="((0.0294*(X4^1.8357)*X2^0.864)+(0.0053*(X4^2.0876)*X2^0.5842)+(0.0117*(X4^3.5097)*X2^-1.3006)+(0.1245*(X4^2.523)*X2^-1.123))*1000"/>
    <s v="((0.0294*(10^1.8357)*5.5^0.864)+(0.0053*(10^2.0876)*5.5^0.5842)+(0.0117*(10^3.5097)*5.5^-1.3006)+(0.1245*(10^2.523)*5.5^-1.123))*1000"/>
    <n v="20780.613112354942"/>
    <n v="20780.613112354942"/>
  </r>
  <r>
    <x v="0"/>
    <x v="14"/>
    <x v="2"/>
    <x v="1"/>
    <d v="2022-06-29T00:00:00"/>
    <x v="0"/>
    <x v="0"/>
    <s v="balsam_fir"/>
    <n v="7"/>
    <n v="9"/>
    <s v="((0.0294*(X4^1.8357)*X2^0.864)+(0.0053*(X4^2.0876)*X2^0.5842)+(0.0117*(X4^3.5097)*X2^-1.3006)+(0.1245*(X4^2.523)*X2^-1.123))*1000"/>
    <s v="((0.0294*(9^1.8357)*7^0.864)+(0.0053*(9^2.0876)*7^0.5842)+(0.0117*(9^3.5097)*7^-1.3006)+(0.1245*(9^2.523)*7^-1.123))*1000"/>
    <n v="16197.709013951411"/>
    <n v="16197.709013951411"/>
  </r>
  <r>
    <x v="0"/>
    <x v="14"/>
    <x v="2"/>
    <x v="1"/>
    <d v="2022-06-29T00:00:00"/>
    <x v="0"/>
    <x v="0"/>
    <s v="balsam_fir"/>
    <n v="7"/>
    <n v="8"/>
    <s v="((0.0294*(X4^1.8357)*X2^0.864)+(0.0053*(X4^2.0876)*X2^0.5842)+(0.0117*(X4^3.5097)*X2^-1.3006)+(0.1245*(X4^2.523)*X2^-1.123))*1000"/>
    <s v="((0.0294*(8^1.8357)*7^0.864)+(0.0053*(8^2.0876)*7^0.5842)+(0.0117*(8^3.5097)*7^-1.3006)+(0.1245*(8^2.523)*7^-1.123))*1000"/>
    <n v="12486.012927130998"/>
    <n v="12486.012927130998"/>
  </r>
  <r>
    <x v="0"/>
    <x v="14"/>
    <x v="2"/>
    <x v="1"/>
    <d v="2022-06-29T00:00:00"/>
    <x v="1"/>
    <x v="1"/>
    <s v="balsam_fir"/>
    <n v="3.5"/>
    <n v="4"/>
    <s v="((0.0294*(X4^1.8357)*X2^0.864)+(0.0053*(X4^2.0876)*X2^0.5842)+(0.0117*(X4^3.5097)*X2^-1.3006)+(0.1245*(X4^2.523)*X2^-1.123))*1000"/>
    <s v="((0.0294*(4^1.8357)*3.5^0.864)+(0.0053*(4^2.0876)*3.5^0.5842)+(0.0117*(4^3.5097)*3.5^-1.3006)+(0.1245*(4^2.523)*3.5^-1.123))*1000"/>
    <n v="2609.6606854351999"/>
    <n v="2609.6606854351999"/>
  </r>
  <r>
    <x v="0"/>
    <x v="14"/>
    <x v="2"/>
    <x v="1"/>
    <d v="2022-06-29T00:00:00"/>
    <x v="1"/>
    <x v="1"/>
    <s v="balsam_fir"/>
    <n v="4"/>
    <n v="5"/>
    <s v="((0.0294*(X4^1.8357)*X2^0.864)+(0.0053*(X4^2.0876)*X2^0.5842)+(0.0117*(X4^3.5097)*X2^-1.3006)+(0.1245*(X4^2.523)*X2^-1.123))*1000"/>
    <s v="((0.0294*(5^1.8357)*4^0.864)+(0.0053*(5^2.0876)*4^0.5842)+(0.0117*(5^3.5097)*4^-1.3006)+(0.1245*(5^2.523)*4^-1.123))*1000"/>
    <n v="4281.8961229916004"/>
    <n v="4281.8961229916004"/>
  </r>
  <r>
    <x v="0"/>
    <x v="14"/>
    <x v="2"/>
    <x v="1"/>
    <d v="2022-06-29T00:00:00"/>
    <x v="1"/>
    <x v="1"/>
    <s v="balsam_fir"/>
    <n v="5"/>
    <n v="6.5"/>
    <s v="((0.0294*(X4^1.8357)*X2^0.864)+(0.0053*(X4^2.0876)*X2^0.5842)+(0.0117*(X4^3.5097)*X2^-1.3006)+(0.1245*(X4^2.523)*X2^-1.123))*1000"/>
    <s v="((0.0294*(6.5^1.8357)*5^0.864)+(0.0053*(6.5^2.0876)*5^0.5842)+(0.0117*(6.5^3.5097)*5^-1.3006)+(0.1245*(6.5^2.523)*5^-1.123))*1000"/>
    <n v="7670.0287838434824"/>
    <n v="7670.0287838434824"/>
  </r>
  <r>
    <x v="0"/>
    <x v="14"/>
    <x v="2"/>
    <x v="1"/>
    <d v="2022-06-29T00:00:00"/>
    <x v="1"/>
    <x v="1"/>
    <s v="balsam_fir"/>
    <n v="12"/>
    <n v="20"/>
    <s v="((0.0294*(X4^1.8357)*X2^0.864)+(0.0053*(X4^2.0876)*X2^0.5842)+(0.0117*(X4^3.5097)*X2^-1.3006)+(0.1245*(X4^2.523)*X2^-1.123))*1000"/>
    <s v="((0.0294*(20^1.8357)*12^0.864)+(0.0053*(20^2.0876)*12^0.5842)+(0.0117*(20^3.5097)*12^-1.3006)+(0.1245*(20^2.523)*12^-1.123))*1000"/>
    <n v="104957.73423683105"/>
    <n v="104957.73423683105"/>
  </r>
  <r>
    <x v="0"/>
    <x v="14"/>
    <x v="2"/>
    <x v="1"/>
    <d v="2022-06-29T00:00:00"/>
    <x v="2"/>
    <x v="2"/>
    <s v="balsam_fir"/>
    <n v="5"/>
    <n v="5"/>
    <s v="((0.0294*(X4^1.8357)*X2^0.864)+(0.0053*(X4^2.0876)*X2^0.5842)+(0.0117*(X4^3.5097)*X2^-1.3006)+(0.1245*(X4^2.523)*X2^-1.123))*1000"/>
    <s v="((0.0294*(5^1.8357)*5^0.864)+(0.0053*(5^2.0876)*5^0.5842)+(0.0117*(5^3.5097)*5^-1.3006)+(0.1245*(5^2.523)*5^-1.123))*1000"/>
    <n v="4251.700983909227"/>
    <n v="4251.700983909227"/>
  </r>
  <r>
    <x v="0"/>
    <x v="14"/>
    <x v="2"/>
    <x v="1"/>
    <d v="2022-06-29T00:00:00"/>
    <x v="3"/>
    <x v="3"/>
    <s v="NA"/>
    <s v="N/A"/>
    <s v="N/A"/>
    <e v="#N/A"/>
    <e v="#N/A"/>
    <e v="#N/A"/>
    <n v="0"/>
  </r>
  <r>
    <x v="0"/>
    <x v="15"/>
    <x v="2"/>
    <x v="1"/>
    <d v="2022-07-14T00:00:00"/>
    <x v="0"/>
    <x v="0"/>
    <s v="balsam_fir"/>
    <n v="4"/>
    <n v="6.5"/>
    <s v="((0.0294*(X4^1.8357)*X2^0.864)+(0.0053*(X4^2.0876)*X2^0.5842)+(0.0117*(X4^3.5097)*X2^-1.3006)+(0.1245*(X4^2.523)*X2^-1.123))*1000"/>
    <s v="((0.0294*(6.5^1.8357)*4^0.864)+(0.0053*(6.5^2.0876)*4^0.5842)+(0.0117*(6.5^3.5097)*4^-1.3006)+(0.1245*(6.5^2.523)*4^-1.123))*1000"/>
    <n v="7944.6637330096082"/>
    <n v="7944.6637330096082"/>
  </r>
  <r>
    <x v="0"/>
    <x v="15"/>
    <x v="2"/>
    <x v="1"/>
    <d v="2022-07-14T00:00:00"/>
    <x v="0"/>
    <x v="0"/>
    <s v="balsam_fir"/>
    <n v="5"/>
    <n v="5.5"/>
    <s v="((0.0294*(X4^1.8357)*X2^0.864)+(0.0053*(X4^2.0876)*X2^0.5842)+(0.0117*(X4^3.5097)*X2^-1.3006)+(0.1245*(X4^2.523)*X2^-1.123))*1000"/>
    <s v="((0.0294*(5.5^1.8357)*5^0.864)+(0.0053*(5.5^2.0876)*5^0.5842)+(0.0117*(5.5^3.5097)*5^-1.3006)+(0.1245*(5.5^2.523)*5^-1.123))*1000"/>
    <n v="5255.8823385097548"/>
    <n v="5255.8823385097548"/>
  </r>
  <r>
    <x v="0"/>
    <x v="15"/>
    <x v="2"/>
    <x v="1"/>
    <d v="2022-07-14T00:00:00"/>
    <x v="0"/>
    <x v="0"/>
    <s v="balsam_fir"/>
    <n v="7"/>
    <n v="13"/>
    <s v="((0.0294*(X4^1.8357)*X2^0.864)+(0.0053*(X4^2.0876)*X2^0.5842)+(0.0117*(X4^3.5097)*X2^-1.3006)+(0.1245*(X4^2.523)*X2^-1.123))*1000"/>
    <s v="((0.0294*(13^1.8357)*7^0.864)+(0.0053*(13^2.0876)*7^0.5842)+(0.0117*(13^3.5097)*7^-1.3006)+(0.1245*(13^2.523)*7^-1.123))*1000"/>
    <n v="37620.157005348061"/>
    <n v="37620.157005348061"/>
  </r>
  <r>
    <x v="0"/>
    <x v="15"/>
    <x v="2"/>
    <x v="1"/>
    <d v="2022-07-14T00:00:00"/>
    <x v="0"/>
    <x v="0"/>
    <s v="mountain_ash"/>
    <n v="7"/>
    <n v="6.5"/>
    <s v="((0.0306*(X4^2.1836)*X2^0.574)+(0.0897*(X4^2.2634)*X2^-0.567)+(0.0994*(X4^2.163)*X2^-0.4809)+(0.0124*(X4^1.0325)*X2^0.8747))*1000"/>
    <s v="((0.0306*(6.5^2.1836)*7^0.574)+(0.0897*(6.5^2.2634)*7^-0.567)+(0.0994*(6.5^2.163)*7^-0.4809)+(0.0124*(6.5^1.0325)*7^0.8747))*1000"/>
    <n v="10333.998401458406"/>
    <n v="10333.998401458406"/>
  </r>
  <r>
    <x v="0"/>
    <x v="15"/>
    <x v="2"/>
    <x v="1"/>
    <d v="2022-07-14T00:00:00"/>
    <x v="0"/>
    <x v="0"/>
    <s v="balsam_fir"/>
    <n v="10"/>
    <n v="13.5"/>
    <s v="((0.0294*(X4^1.8357)*X2^0.864)+(0.0053*(X4^2.0876)*X2^0.5842)+(0.0117*(X4^3.5097)*X2^-1.3006)+(0.1245*(X4^2.523)*X2^-1.123))*1000"/>
    <s v="((0.0294*(13.5^1.8357)*10^0.864)+(0.0053*(13.5^2.0876)*10^0.5842)+(0.0117*(13.5^3.5097)*10^-1.3006)+(0.1245*(13.5^2.523)*10^-1.123))*1000"/>
    <n v="42299.367077065443"/>
    <n v="42299.367077065443"/>
  </r>
  <r>
    <x v="0"/>
    <x v="15"/>
    <x v="2"/>
    <x v="1"/>
    <d v="2022-07-14T00:00:00"/>
    <x v="1"/>
    <x v="1"/>
    <s v="balsam_fir"/>
    <n v="8.5"/>
    <n v="10.5"/>
    <s v="((0.0294*(X4^1.8357)*X2^0.864)+(0.0053*(X4^2.0876)*X2^0.5842)+(0.0117*(X4^3.5097)*X2^-1.3006)+(0.1245*(X4^2.523)*X2^-1.123))*1000"/>
    <s v="((0.0294*(10.5^1.8357)*8.5^0.864)+(0.0053*(10.5^2.0876)*8.5^0.5842)+(0.0117*(10.5^3.5097)*8.5^-1.3006)+(0.1245*(10.5^2.523)*8.5^-1.123))*1000"/>
    <n v="23522.56950720766"/>
    <n v="23522.56950720766"/>
  </r>
  <r>
    <x v="0"/>
    <x v="15"/>
    <x v="2"/>
    <x v="1"/>
    <d v="2022-07-14T00:00:00"/>
    <x v="1"/>
    <x v="1"/>
    <s v="balsam_fir"/>
    <n v="12"/>
    <n v="20.5"/>
    <s v="((0.0294*(X4^1.8357)*X2^0.864)+(0.0053*(X4^2.0876)*X2^0.5842)+(0.0117*(X4^3.5097)*X2^-1.3006)+(0.1245*(X4^2.523)*X2^-1.123))*1000"/>
    <s v="((0.0294*(20.5^1.8357)*12^0.864)+(0.0053*(20.5^2.0876)*12^0.5842)+(0.0117*(20.5^3.5097)*12^-1.3006)+(0.1245*(20.5^2.523)*12^-1.123))*1000"/>
    <n v="110915.27177464173"/>
    <n v="110915.27177464173"/>
  </r>
  <r>
    <x v="0"/>
    <x v="15"/>
    <x v="2"/>
    <x v="1"/>
    <d v="2022-07-14T00:00:00"/>
    <x v="2"/>
    <x v="2"/>
    <s v="balsam_fir"/>
    <n v="7"/>
    <n v="9.25"/>
    <s v="((0.0294*(X4^1.8357)*X2^0.864)+(0.0053*(X4^2.0876)*X2^0.5842)+(0.0117*(X4^3.5097)*X2^-1.3006)+(0.1245*(X4^2.523)*X2^-1.123))*1000"/>
    <s v="((0.0294*(9.25^1.8357)*7^0.864)+(0.0053*(9.25^2.0876)*7^0.5842)+(0.0117*(9.25^3.5097)*7^-1.3006)+(0.1245*(9.25^2.523)*7^-1.123))*1000"/>
    <n v="17219.254445236544"/>
    <n v="17219.254445236544"/>
  </r>
  <r>
    <x v="0"/>
    <x v="15"/>
    <x v="2"/>
    <x v="1"/>
    <d v="2022-07-14T00:00:00"/>
    <x v="2"/>
    <x v="2"/>
    <s v="balsam_fir"/>
    <n v="8"/>
    <n v="7.5"/>
    <s v="((0.0294*(X4^1.8357)*X2^0.864)+(0.0053*(X4^2.0876)*X2^0.5842)+(0.0117*(X4^3.5097)*X2^-1.3006)+(0.1245*(X4^2.523)*X2^-1.123))*1000"/>
    <s v="((0.0294*(7.5^1.8357)*8^0.864)+(0.0053*(7.5^2.0876)*8^0.5842)+(0.0117*(7.5^3.5097)*8^-1.3006)+(0.1245*(7.5^2.523)*8^-1.123))*1000"/>
    <n v="11225.972271585522"/>
    <n v="11225.972271585522"/>
  </r>
  <r>
    <x v="0"/>
    <x v="15"/>
    <x v="2"/>
    <x v="1"/>
    <d v="2022-07-14T00:00:00"/>
    <x v="2"/>
    <x v="2"/>
    <s v="balsam_fir"/>
    <n v="8"/>
    <n v="11"/>
    <s v="((0.0294*(X4^1.8357)*X2^0.864)+(0.0053*(X4^2.0876)*X2^0.5842)+(0.0117*(X4^3.5097)*X2^-1.3006)+(0.1245*(X4^2.523)*X2^-1.123))*1000"/>
    <s v="((0.0294*(11^1.8357)*8^0.864)+(0.0053*(11^2.0876)*8^0.5842)+(0.0117*(11^3.5097)*8^-1.3006)+(0.1245*(11^2.523)*8^-1.123))*1000"/>
    <n v="25777.396723184695"/>
    <n v="25777.396723184695"/>
  </r>
  <r>
    <x v="0"/>
    <x v="15"/>
    <x v="2"/>
    <x v="1"/>
    <d v="2022-07-14T00:00:00"/>
    <x v="2"/>
    <x v="2"/>
    <s v="balsam_fir"/>
    <n v="8.5"/>
    <n v="11.5"/>
    <s v="((0.0294*(X4^1.8357)*X2^0.864)+(0.0053*(X4^2.0876)*X2^0.5842)+(0.0117*(X4^3.5097)*X2^-1.3006)+(0.1245*(X4^2.523)*X2^-1.123))*1000"/>
    <s v="((0.0294*(11.5^1.8357)*8.5^0.864)+(0.0053*(11.5^2.0876)*8.5^0.5842)+(0.0117*(11.5^3.5097)*8.5^-1.3006)+(0.1245*(11.5^2.523)*8.5^-1.123))*1000"/>
    <n v="28729.825598248244"/>
    <n v="28729.825598248244"/>
  </r>
  <r>
    <x v="0"/>
    <x v="15"/>
    <x v="2"/>
    <x v="1"/>
    <d v="2022-07-14T00:00:00"/>
    <x v="2"/>
    <x v="2"/>
    <s v="balsam_fir"/>
    <n v="9"/>
    <n v="11.5"/>
    <s v="((0.0294*(X4^1.8357)*X2^0.864)+(0.0053*(X4^2.0876)*X2^0.5842)+(0.0117*(X4^3.5097)*X2^-1.3006)+(0.1245*(X4^2.523)*X2^-1.123))*1000"/>
    <s v="((0.0294*(11.5^1.8357)*9^0.864)+(0.0053*(11.5^2.0876)*9^0.5842)+(0.0117*(11.5^3.5097)*9^-1.3006)+(0.1245*(11.5^2.523)*9^-1.123))*1000"/>
    <n v="29064.241759042648"/>
    <n v="29064.241759042648"/>
  </r>
  <r>
    <x v="0"/>
    <x v="15"/>
    <x v="2"/>
    <x v="1"/>
    <d v="2022-07-14T00:00:00"/>
    <x v="2"/>
    <x v="2"/>
    <s v="balsam_fir"/>
    <n v="9"/>
    <n v="11.25"/>
    <s v="((0.0294*(X4^1.8357)*X2^0.864)+(0.0053*(X4^2.0876)*X2^0.5842)+(0.0117*(X4^3.5097)*X2^-1.3006)+(0.1245*(X4^2.523)*X2^-1.123))*1000"/>
    <s v="((0.0294*(11.25^1.8357)*9^0.864)+(0.0053*(11.25^2.0876)*9^0.5842)+(0.0117*(11.25^3.5097)*9^-1.3006)+(0.1245*(11.25^2.523)*9^-1.123))*1000"/>
    <n v="27703.144573959955"/>
    <n v="27703.144573959955"/>
  </r>
  <r>
    <x v="0"/>
    <x v="15"/>
    <x v="2"/>
    <x v="1"/>
    <d v="2022-07-14T00:00:00"/>
    <x v="2"/>
    <x v="2"/>
    <s v="balsam_fir"/>
    <n v="10"/>
    <n v="11.75"/>
    <s v="((0.0294*(X4^1.8357)*X2^0.864)+(0.0053*(X4^2.0876)*X2^0.5842)+(0.0117*(X4^3.5097)*X2^-1.3006)+(0.1245*(X4^2.523)*X2^-1.123))*1000"/>
    <s v="((0.0294*(11.75^1.8357)*10^0.864)+(0.0053*(11.75^2.0876)*10^0.5842)+(0.0117*(11.75^3.5097)*10^-1.3006)+(0.1245*(11.75^2.523)*10^-1.123))*1000"/>
    <n v="31316.027905082734"/>
    <n v="31316.027905082734"/>
  </r>
  <r>
    <x v="0"/>
    <x v="15"/>
    <x v="2"/>
    <x v="1"/>
    <d v="2022-07-14T00:00:00"/>
    <x v="3"/>
    <x v="3"/>
    <s v="balsam_fir"/>
    <n v="8"/>
    <n v="11.25"/>
    <s v="((0.0294*(X4^1.8357)*X2^0.864)+(0.0053*(X4^2.0876)*X2^0.5842)+(0.0117*(X4^3.5097)*X2^-1.3006)+(0.1245*(X4^2.523)*X2^-1.123))*1000"/>
    <s v="((0.0294*(11.25^1.8357)*8^0.864)+(0.0053*(11.25^2.0876)*8^0.5842)+(0.0117*(11.25^3.5097)*8^-1.3006)+(0.1245*(11.25^2.523)*8^-1.123))*1000"/>
    <n v="27103.001601355914"/>
    <n v="27103.001601355914"/>
  </r>
  <r>
    <x v="0"/>
    <x v="15"/>
    <x v="2"/>
    <x v="1"/>
    <d v="2022-07-14T00:00:00"/>
    <x v="3"/>
    <x v="3"/>
    <s v="balsam_fir"/>
    <n v="8"/>
    <n v="8.75"/>
    <s v="((0.0294*(X4^1.8357)*X2^0.864)+(0.0053*(X4^2.0876)*X2^0.5842)+(0.0117*(X4^3.5097)*X2^-1.3006)+(0.1245*(X4^2.523)*X2^-1.123))*1000"/>
    <s v="((0.0294*(8.75^1.8357)*8^0.864)+(0.0053*(8.75^2.0876)*8^0.5842)+(0.0117*(8.75^3.5097)*8^-1.3006)+(0.1245*(8.75^2.523)*8^-1.123))*1000"/>
    <n v="15609.324438973654"/>
    <n v="15609.324438973654"/>
  </r>
  <r>
    <x v="0"/>
    <x v="15"/>
    <x v="2"/>
    <x v="1"/>
    <d v="2022-07-14T00:00:00"/>
    <x v="3"/>
    <x v="3"/>
    <s v="balsam_fir"/>
    <n v="9"/>
    <n v="13"/>
    <s v="((0.0294*(X4^1.8357)*X2^0.864)+(0.0053*(X4^2.0876)*X2^0.5842)+(0.0117*(X4^3.5097)*X2^-1.3006)+(0.1245*(X4^2.523)*X2^-1.123))*1000"/>
    <s v="((0.0294*(13^1.8357)*9^0.864)+(0.0053*(13^2.0876)*9^0.5842)+(0.0117*(13^3.5097)*9^-1.3006)+(0.1245*(13^2.523)*9^-1.123))*1000"/>
    <n v="38086.52570641385"/>
    <n v="38086.52570641385"/>
  </r>
  <r>
    <x v="0"/>
    <x v="15"/>
    <x v="2"/>
    <x v="1"/>
    <d v="2022-07-14T00:00:00"/>
    <x v="3"/>
    <x v="3"/>
    <s v="balsam_fir"/>
    <n v="10"/>
    <n v="14"/>
    <s v="((0.0294*(X4^1.8357)*X2^0.864)+(0.0053*(X4^2.0876)*X2^0.5842)+(0.0117*(X4^3.5097)*X2^-1.3006)+(0.1245*(X4^2.523)*X2^-1.123))*1000"/>
    <s v="((0.0294*(14^1.8357)*10^0.864)+(0.0053*(14^2.0876)*10^0.5842)+(0.0117*(14^3.5097)*10^-1.3006)+(0.1245*(14^2.523)*10^-1.123))*1000"/>
    <n v="45810.228253065019"/>
    <n v="45810.228253065019"/>
  </r>
  <r>
    <x v="0"/>
    <x v="16"/>
    <x v="2"/>
    <x v="1"/>
    <d v="2022-07-06T00:00:00"/>
    <x v="0"/>
    <x v="0"/>
    <s v="balsam_fir"/>
    <n v="3.3"/>
    <n v="6.1"/>
    <s v="((0.0294*(X4^1.8357)*X2^0.864)+(0.0053*(X4^2.0876)*X2^0.5842)+(0.0117*(X4^3.5097)*X2^-1.3006)+(0.1245*(X4^2.523)*X2^-1.123))*1000"/>
    <s v="((0.0294*(6.1^1.8357)*3.3^0.864)+(0.0053*(6.1^2.0876)*3.3^0.5842)+(0.0117*(6.1^3.5097)*3.3^-1.3006)+(0.1245*(6.1^2.523)*3.3^-1.123))*1000"/>
    <n v="7277.9288920837635"/>
    <n v="7277.9288920837635"/>
  </r>
  <r>
    <x v="0"/>
    <x v="16"/>
    <x v="2"/>
    <x v="1"/>
    <d v="2022-07-06T00:00:00"/>
    <x v="1"/>
    <x v="1"/>
    <s v="balsam_fir"/>
    <n v="4.7"/>
    <n v="8.1999999999999993"/>
    <s v="((0.0294*(X4^1.8357)*X2^0.864)+(0.0053*(X4^2.0876)*X2^0.5842)+(0.0117*(X4^3.5097)*X2^-1.3006)+(0.1245*(X4^2.523)*X2^-1.123))*1000"/>
    <s v="((0.0294*(8.2^1.8357)*4.7^0.864)+(0.0053*(8.2^2.0876)*4.7^0.5842)+(0.0117*(8.2^3.5097)*4.7^-1.3006)+(0.1245*(8.2^2.523)*4.7^-1.123))*1000"/>
    <n v="13330.481049262751"/>
    <n v="13330.481049262751"/>
  </r>
  <r>
    <x v="0"/>
    <x v="16"/>
    <x v="2"/>
    <x v="1"/>
    <d v="2022-07-06T00:00:00"/>
    <x v="2"/>
    <x v="2"/>
    <s v="balsam_fir"/>
    <n v="3"/>
    <n v="4.7"/>
    <s v="((0.0294*(X4^1.8357)*X2^0.864)+(0.0053*(X4^2.0876)*X2^0.5842)+(0.0117*(X4^3.5097)*X2^-1.3006)+(0.1245*(X4^2.523)*X2^-1.123))*1000"/>
    <s v="((0.0294*(4.7^1.8357)*3^0.864)+(0.0053*(4.7^2.0876)*3^0.5842)+(0.0117*(4.7^3.5097)*3^-1.3006)+(0.1245*(4.7^2.523)*3^-1.123))*1000"/>
    <n v="3995.5669808285224"/>
    <n v="3995.5669808285224"/>
  </r>
  <r>
    <x v="0"/>
    <x v="16"/>
    <x v="2"/>
    <x v="1"/>
    <d v="2022-07-06T00:00:00"/>
    <x v="2"/>
    <x v="2"/>
    <s v="balsam_fir"/>
    <n v="3.3"/>
    <n v="4.0999999999999996"/>
    <s v="((0.0294*(X4^1.8357)*X2^0.864)+(0.0053*(X4^2.0876)*X2^0.5842)+(0.0117*(X4^3.5097)*X2^-1.3006)+(0.1245*(X4^2.523)*X2^-1.123))*1000"/>
    <s v="((0.0294*(4.1^1.8357)*3.3^0.864)+(0.0053*(4.1^2.0876)*3.3^0.5842)+(0.0117*(4.1^3.5097)*3.3^-1.3006)+(0.1245*(4.1^2.523)*3.3^-1.123))*1000"/>
    <n v="2797.7732476705355"/>
    <n v="2797.7732476705355"/>
  </r>
  <r>
    <x v="0"/>
    <x v="16"/>
    <x v="2"/>
    <x v="1"/>
    <d v="2022-07-06T00:00:00"/>
    <x v="2"/>
    <x v="2"/>
    <s v="balsam_fir"/>
    <n v="3.8"/>
    <n v="5.0999999999999996"/>
    <s v="((0.0294*(X4^1.8357)*X2^0.864)+(0.0053*(X4^2.0876)*X2^0.5842)+(0.0117*(X4^3.5097)*X2^-1.3006)+(0.1245*(X4^2.523)*X2^-1.123))*1000"/>
    <s v="((0.0294*(5.1^1.8357)*3.8^0.864)+(0.0053*(5.1^2.0876)*3.8^0.5842)+(0.0117*(5.1^3.5097)*3.8^-1.3006)+(0.1245*(5.1^2.523)*3.8^-1.123))*1000"/>
    <n v="4523.7715052816848"/>
    <n v="4523.7715052816848"/>
  </r>
  <r>
    <x v="0"/>
    <x v="16"/>
    <x v="2"/>
    <x v="1"/>
    <d v="2022-07-06T00:00:00"/>
    <x v="2"/>
    <x v="2"/>
    <s v="balsam_fir"/>
    <n v="4"/>
    <n v="5.7"/>
    <s v="((0.0294*(X4^1.8357)*X2^0.864)+(0.0053*(X4^2.0876)*X2^0.5842)+(0.0117*(X4^3.5097)*X2^-1.3006)+(0.1245*(X4^2.523)*X2^-1.123))*1000"/>
    <s v="((0.0294*(5.7^1.8357)*4^0.864)+(0.0053*(5.7^2.0876)*4^0.5842)+(0.0117*(5.7^3.5097)*4^-1.3006)+(0.1245*(5.7^2.523)*4^-1.123))*1000"/>
    <n v="5814.1231862498125"/>
    <n v="5814.1231862498125"/>
  </r>
  <r>
    <x v="0"/>
    <x v="16"/>
    <x v="2"/>
    <x v="1"/>
    <d v="2022-07-06T00:00:00"/>
    <x v="2"/>
    <x v="2"/>
    <s v="balsam_fir"/>
    <n v="6"/>
    <n v="14.9"/>
    <s v="((0.0294*(X4^1.8357)*X2^0.864)+(0.0053*(X4^2.0876)*X2^0.5842)+(0.0117*(X4^3.5097)*X2^-1.3006)+(0.1245*(X4^2.523)*X2^-1.123))*1000"/>
    <s v="((0.0294*(14.9^1.8357)*6^0.864)+(0.0053*(14.9^2.0876)*6^0.5842)+(0.0117*(14.9^3.5097)*6^-1.3006)+(0.1245*(14.9^2.523)*6^-1.123))*1000"/>
    <n v="54033.723228470582"/>
    <n v="54033.723228470582"/>
  </r>
  <r>
    <x v="0"/>
    <x v="16"/>
    <x v="2"/>
    <x v="1"/>
    <d v="2022-07-06T00:00:00"/>
    <x v="3"/>
    <x v="3"/>
    <s v="balsam_fir"/>
    <n v="3.2"/>
    <n v="3.6"/>
    <s v="((0.0294*(X4^1.8357)*X2^0.864)+(0.0053*(X4^2.0876)*X2^0.5842)+(0.0117*(X4^3.5097)*X2^-1.3006)+(0.1245*(X4^2.523)*X2^-1.123))*1000"/>
    <s v="((0.0294*(3.6^1.8357)*3.2^0.864)+(0.0053*(3.6^2.0876)*3.2^0.5842)+(0.0117*(3.6^3.5097)*3.2^-1.3006)+(0.1245*(3.6^2.523)*3.2^-1.123))*1000"/>
    <n v="2079.9208750457956"/>
    <n v="2079.9208750457956"/>
  </r>
  <r>
    <x v="0"/>
    <x v="16"/>
    <x v="2"/>
    <x v="1"/>
    <d v="2022-07-06T00:00:00"/>
    <x v="3"/>
    <x v="3"/>
    <s v="balsam_fir"/>
    <n v="3.3"/>
    <n v="4.5"/>
    <s v="((0.0294*(X4^1.8357)*X2^0.864)+(0.0053*(X4^2.0876)*X2^0.5842)+(0.0117*(X4^3.5097)*X2^-1.3006)+(0.1245*(X4^2.523)*X2^-1.123))*1000"/>
    <s v="((0.0294*(4.5^1.8357)*3.3^0.864)+(0.0053*(4.5^2.0876)*3.3^0.5842)+(0.0117*(4.5^3.5097)*3.3^-1.3006)+(0.1245*(4.5^2.523)*3.3^-1.123))*1000"/>
    <n v="3484.7198753980992"/>
    <n v="3484.7198753980992"/>
  </r>
  <r>
    <x v="0"/>
    <x v="16"/>
    <x v="2"/>
    <x v="1"/>
    <d v="2022-07-06T00:00:00"/>
    <x v="3"/>
    <x v="3"/>
    <s v="balsam_fir"/>
    <n v="6"/>
    <n v="10.4"/>
    <s v="((0.0294*(X4^1.8357)*X2^0.864)+(0.0053*(X4^2.0876)*X2^0.5842)+(0.0117*(X4^3.5097)*X2^-1.3006)+(0.1245*(X4^2.523)*X2^-1.123))*1000"/>
    <s v="((0.0294*(10.4^1.8357)*6^0.864)+(0.0053*(10.4^2.0876)*6^0.5842)+(0.0117*(10.4^3.5097)*6^-1.3006)+(0.1245*(10.4^2.523)*6^-1.123))*1000"/>
    <n v="22532.341310103875"/>
    <n v="22532.341310103875"/>
  </r>
  <r>
    <x v="0"/>
    <x v="17"/>
    <x v="2"/>
    <x v="1"/>
    <d v="2022-06-30T00:00:00"/>
    <x v="0"/>
    <x v="0"/>
    <s v="balsam_fir"/>
    <n v="5"/>
    <n v="3.25"/>
    <s v="((0.0294*(X4^1.8357)*X2^0.864)+(0.0053*(X4^2.0876)*X2^0.5842)+(0.0117*(X4^3.5097)*X2^-1.3006)+(0.1245*(X4^2.523)*X2^-1.123))*1000"/>
    <s v="((0.0294*(3.25^1.8357)*5^0.864)+(0.0053*(3.25^2.0876)*5^0.5842)+(0.0117*(3.25^3.5097)*5^-1.3006)+(0.1245*(3.25^2.523)*5^-1.123))*1000"/>
    <n v="1676.737276731347"/>
    <n v="1676.737276731347"/>
  </r>
  <r>
    <x v="0"/>
    <x v="17"/>
    <x v="2"/>
    <x v="1"/>
    <d v="2022-06-30T00:00:00"/>
    <x v="0"/>
    <x v="0"/>
    <s v="balsam_fir"/>
    <n v="8.5"/>
    <n v="5.5"/>
    <s v="((0.0294*(X4^1.8357)*X2^0.864)+(0.0053*(X4^2.0876)*X2^0.5842)+(0.0117*(X4^3.5097)*X2^-1.3006)+(0.1245*(X4^2.523)*X2^-1.123))*1000"/>
    <s v="((0.0294*(5.5^1.8357)*8.5^0.864)+(0.0053*(5.5^2.0876)*8.5^0.5842)+(0.0117*(5.5^3.5097)*8.5^-1.3006)+(0.1245*(5.5^2.523)*8.5^-1.123))*1000"/>
    <n v="6037.5949835213123"/>
    <n v="6037.5949835213123"/>
  </r>
  <r>
    <x v="0"/>
    <x v="17"/>
    <x v="2"/>
    <x v="1"/>
    <d v="2022-06-30T00:00:00"/>
    <x v="0"/>
    <x v="0"/>
    <s v="balsam_fir"/>
    <n v="10"/>
    <n v="8.25"/>
    <s v="((0.0294*(X4^1.8357)*X2^0.864)+(0.0053*(X4^2.0876)*X2^0.5842)+(0.0117*(X4^3.5097)*X2^-1.3006)+(0.1245*(X4^2.523)*X2^-1.123))*1000"/>
    <s v="((0.0294*(8.25^1.8357)*10^0.864)+(0.0053*(8.25^2.0876)*10^0.5842)+(0.0117*(8.25^3.5097)*10^-1.3006)+(0.1245*(8.25^2.523)*10^-1.123))*1000"/>
    <n v="14898.561983275153"/>
    <n v="14898.561983275153"/>
  </r>
  <r>
    <x v="0"/>
    <x v="17"/>
    <x v="2"/>
    <x v="1"/>
    <d v="2022-06-30T00:00:00"/>
    <x v="0"/>
    <x v="0"/>
    <s v="balsam_fir"/>
    <n v="11.5"/>
    <n v="15.5"/>
    <s v="((0.0294*(X4^1.8357)*X2^0.864)+(0.0053*(X4^2.0876)*X2^0.5842)+(0.0117*(X4^3.5097)*X2^-1.3006)+(0.1245*(X4^2.523)*X2^-1.123))*1000"/>
    <s v="((0.0294*(15.5^1.8357)*11.5^0.864)+(0.0053*(15.5^2.0876)*11.5^0.5842)+(0.0117*(15.5^3.5097)*11.5^-1.3006)+(0.1245*(15.5^2.523)*11.5^-1.123))*1000"/>
    <n v="59314.088557334602"/>
    <n v="59314.088557334602"/>
  </r>
  <r>
    <x v="0"/>
    <x v="17"/>
    <x v="2"/>
    <x v="1"/>
    <d v="2022-06-30T00:00:00"/>
    <x v="1"/>
    <x v="1"/>
    <s v="balsam_fir"/>
    <n v="13"/>
    <n v="26"/>
    <s v="((0.0294*(X4^1.8357)*X2^0.864)+(0.0053*(X4^2.0876)*X2^0.5842)+(0.0117*(X4^3.5097)*X2^-1.3006)+(0.1245*(X4^2.523)*X2^-1.123))*1000"/>
    <s v="((0.0294*(26^1.8357)*13^0.864)+(0.0053*(26^2.0876)*13^0.5842)+(0.0117*(26^3.5097)*13^-1.3006)+(0.1245*(26^2.523)*13^-1.123))*1000"/>
    <n v="192509.81943769936"/>
    <n v="192509.81943769936"/>
  </r>
  <r>
    <x v="0"/>
    <x v="17"/>
    <x v="2"/>
    <x v="1"/>
    <d v="2022-06-30T00:00:00"/>
    <x v="2"/>
    <x v="2"/>
    <s v="balsam_fir"/>
    <n v="6"/>
    <n v="7.75"/>
    <s v="((0.0294*(X4^1.8357)*X2^0.864)+(0.0053*(X4^2.0876)*X2^0.5842)+(0.0117*(X4^3.5097)*X2^-1.3006)+(0.1245*(X4^2.523)*X2^-1.123))*1000"/>
    <s v="((0.0294*(7.75^1.8357)*6^0.864)+(0.0053*(7.75^2.0876)*6^0.5842)+(0.0117*(7.75^3.5097)*6^-1.3006)+(0.1245*(7.75^2.523)*6^-1.123))*1000"/>
    <n v="11438.039977028815"/>
    <n v="11438.039977028815"/>
  </r>
  <r>
    <x v="0"/>
    <x v="17"/>
    <x v="2"/>
    <x v="1"/>
    <d v="2022-06-30T00:00:00"/>
    <x v="2"/>
    <x v="2"/>
    <s v="balsam_fir"/>
    <n v="6.5"/>
    <n v="7.75"/>
    <s v="((0.0294*(X4^1.8357)*X2^0.864)+(0.0053*(X4^2.0876)*X2^0.5842)+(0.0117*(X4^3.5097)*X2^-1.3006)+(0.1245*(X4^2.523)*X2^-1.123))*1000"/>
    <s v="((0.0294*(7.75^1.8357)*6.5^0.864)+(0.0053*(7.75^2.0876)*6.5^0.5842)+(0.0117*(7.75^3.5097)*6.5^-1.3006)+(0.1245*(7.75^2.523)*6.5^-1.123))*1000"/>
    <n v="11515.166577755828"/>
    <n v="11515.166577755828"/>
  </r>
  <r>
    <x v="0"/>
    <x v="17"/>
    <x v="2"/>
    <x v="1"/>
    <d v="2022-06-30T00:00:00"/>
    <x v="2"/>
    <x v="2"/>
    <s v="white_birch"/>
    <n v="7"/>
    <n v="10.25"/>
    <s v="((0.0259*(X4^1.9044)*X2^0.9715)+(0.0069*(X4^2.0834)*X2^0.5371)+(0.0325*(X4^2.3851)*X2^0)+(0.1683*(X4^1.2764)*X2^0))*1000"/>
    <s v="((0.0259*(10.25^1.9044)*7^0.9715)+(0.0069*(10.25^2.0834)*7^0.5371)+(0.0325*(10.25^2.3851)*7^0)+(0.1683*(10.25^1.2764)*7^0))*1000"/>
    <n v="28577.906874077493"/>
    <n v="28577.906874077493"/>
  </r>
  <r>
    <x v="0"/>
    <x v="17"/>
    <x v="2"/>
    <x v="1"/>
    <d v="2022-06-30T00:00:00"/>
    <x v="2"/>
    <x v="2"/>
    <s v="white_birch"/>
    <n v="7.5"/>
    <n v="7.25"/>
    <s v="((0.0259*(X4^1.9044)*X2^0.9715)+(0.0069*(X4^2.0834)*X2^0.5371)+(0.0325*(X4^2.3851)*X2^0)+(0.1683*(X4^1.2764)*X2^0))*1000"/>
    <s v="((0.0259*(7.25^1.9044)*7.5^0.9715)+(0.0069*(7.25^2.0834)*7.5^0.5371)+(0.0325*(7.25^2.3851)*7.5^0)+(0.1683*(7.25^1.2764)*7.5^0))*1000"/>
    <n v="15012.821894018945"/>
    <n v="15012.821894018945"/>
  </r>
  <r>
    <x v="0"/>
    <x v="17"/>
    <x v="2"/>
    <x v="1"/>
    <d v="2022-06-30T00:00:00"/>
    <x v="2"/>
    <x v="2"/>
    <s v="white_birch"/>
    <n v="9"/>
    <n v="9.5"/>
    <s v="((0.0259*(X4^1.9044)*X2^0.9715)+(0.0069*(X4^2.0834)*X2^0.5371)+(0.0325*(X4^2.3851)*X2^0)+(0.1683*(X4^1.2764)*X2^0))*1000"/>
    <s v="((0.0259*(9.5^1.9044)*9^0.9715)+(0.0069*(9.5^2.0834)*9^0.5371)+(0.0325*(9.5^2.3851)*9^0)+(0.1683*(9.5^1.2764)*9^0))*1000"/>
    <n v="28338.216206218196"/>
    <n v="28338.216206218196"/>
  </r>
  <r>
    <x v="0"/>
    <x v="17"/>
    <x v="2"/>
    <x v="1"/>
    <d v="2022-06-30T00:00:00"/>
    <x v="2"/>
    <x v="2"/>
    <s v="yellow_birch"/>
    <n v="10"/>
    <n v="12"/>
    <s v="((0.0259*(X4^1.9044)*X2^0.9715)+(0.0069*(X4^2.0834)*X2^0.5371)+(0.0325*(X4^2.3851)*X2^0)+(0.1683*(X4^1.2764)*X2^0))*1000"/>
    <s v="((0.0259*(12^1.9044)*10^0.9715)+(0.0069*(12^2.0834)*10^0.5371)+(0.0325*(12^2.3851)*10^0)+(0.1683*(12^1.2764)*10^0))*1000"/>
    <n v="47951.257191693359"/>
    <n v="47951.257191693359"/>
  </r>
  <r>
    <x v="0"/>
    <x v="17"/>
    <x v="2"/>
    <x v="1"/>
    <d v="2022-06-30T00:00:00"/>
    <x v="2"/>
    <x v="2"/>
    <s v="white_birch"/>
    <n v="10"/>
    <n v="12"/>
    <s v="((0.0259*(X4^1.9044)*X2^0.9715)+(0.0069*(X4^2.0834)*X2^0.5371)+(0.0325*(X4^2.3851)*X2^0)+(0.1683*(X4^1.2764)*X2^0))*1000"/>
    <s v="((0.0259*(12^1.9044)*10^0.9715)+(0.0069*(12^2.0834)*10^0.5371)+(0.0325*(12^2.3851)*10^0)+(0.1683*(12^1.2764)*10^0))*1000"/>
    <n v="47951.257191693359"/>
    <n v="47951.257191693359"/>
  </r>
  <r>
    <x v="0"/>
    <x v="17"/>
    <x v="2"/>
    <x v="1"/>
    <d v="2022-06-30T00:00:00"/>
    <x v="2"/>
    <x v="2"/>
    <s v="yellow_birch"/>
    <n v="11"/>
    <n v="12.5"/>
    <s v="((0.0259*(X4^1.9044)*X2^0.9715)+(0.0069*(X4^2.0834)*X2^0.5371)+(0.0325*(X4^2.3851)*X2^0)+(0.1683*(X4^1.2764)*X2^0))*1000"/>
    <s v="((0.0259*(12.5^1.9044)*11^0.9715)+(0.0069*(12.5^2.0834)*11^0.5371)+(0.0325*(12.5^2.3851)*11^0)+(0.1683*(12.5^1.2764)*11^0))*1000"/>
    <n v="55141.141938306588"/>
    <n v="55141.141938306588"/>
  </r>
  <r>
    <x v="0"/>
    <x v="17"/>
    <x v="2"/>
    <x v="1"/>
    <d v="2022-06-30T00:00:00"/>
    <x v="2"/>
    <x v="2"/>
    <s v="yellow_birch"/>
    <n v="13"/>
    <n v="26"/>
    <s v="((0.0259*(X4^1.9044)*X2^0.9715)+(0.0069*(X4^2.0834)*X2^0.5371)+(0.0325*(X4^2.3851)*X2^0)+(0.1683*(X4^1.2764)*X2^0))*1000"/>
    <s v="((0.0259*(26^1.9044)*13^0.9715)+(0.0069*(26^2.0834)*13^0.5371)+(0.0325*(26^2.3851)*13^0)+(0.1683*(26^1.2764)*13^0))*1000"/>
    <n v="267026.60836600111"/>
    <n v="267026.60836600111"/>
  </r>
  <r>
    <x v="0"/>
    <x v="17"/>
    <x v="2"/>
    <x v="1"/>
    <d v="2022-06-30T00:00:00"/>
    <x v="3"/>
    <x v="3"/>
    <s v="balsam_fir"/>
    <n v="5"/>
    <n v="6.5"/>
    <s v="((0.0294*(X4^1.8357)*X2^0.864)+(0.0053*(X4^2.0876)*X2^0.5842)+(0.0117*(X4^3.5097)*X2^-1.3006)+(0.1245*(X4^2.523)*X2^-1.123))*1000"/>
    <s v="((0.0294*(6.5^1.8357)*5^0.864)+(0.0053*(6.5^2.0876)*5^0.5842)+(0.0117*(6.5^3.5097)*5^-1.3006)+(0.1245*(6.5^2.523)*5^-1.123))*1000"/>
    <n v="7670.0287838434824"/>
    <n v="7670.0287838434824"/>
  </r>
  <r>
    <x v="0"/>
    <x v="17"/>
    <x v="2"/>
    <x v="1"/>
    <d v="2022-06-30T00:00:00"/>
    <x v="3"/>
    <x v="3"/>
    <s v="balsam_fir"/>
    <n v="5.5"/>
    <n v="5.5"/>
    <s v="((0.0294*(X4^1.8357)*X2^0.864)+(0.0053*(X4^2.0876)*X2^0.5842)+(0.0117*(X4^3.5097)*X2^-1.3006)+(0.1245*(X4^2.523)*X2^-1.123))*1000"/>
    <s v="((0.0294*(5.5^1.8357)*5.5^0.864)+(0.0053*(5.5^2.0876)*5.5^0.5842)+(0.0117*(5.5^3.5097)*5.5^-1.3006)+(0.1245*(5.5^2.523)*5.5^-1.123))*1000"/>
    <n v="5295.2183666215424"/>
    <n v="5295.2183666215424"/>
  </r>
  <r>
    <x v="0"/>
    <x v="17"/>
    <x v="2"/>
    <x v="1"/>
    <d v="2022-06-30T00:00:00"/>
    <x v="3"/>
    <x v="3"/>
    <s v="balsam_fir"/>
    <n v="8"/>
    <n v="9.5"/>
    <s v="((0.0294*(X4^1.8357)*X2^0.864)+(0.0053*(X4^2.0876)*X2^0.5842)+(0.0117*(X4^3.5097)*X2^-1.3006)+(0.1245*(X4^2.523)*X2^-1.123))*1000"/>
    <s v="((0.0294*(9.5^1.8357)*8^0.864)+(0.0053*(9.5^2.0876)*8^0.5842)+(0.0117*(9.5^3.5097)*8^-1.3006)+(0.1245*(9.5^2.523)*8^-1.123))*1000"/>
    <n v="18659.103869717583"/>
    <n v="18659.103869717583"/>
  </r>
  <r>
    <x v="0"/>
    <x v="17"/>
    <x v="2"/>
    <x v="1"/>
    <d v="2022-06-30T00:00:00"/>
    <x v="3"/>
    <x v="3"/>
    <s v="white_birch"/>
    <n v="9.5"/>
    <n v="11.25"/>
    <s v="((0.0259*(X4^1.9044)*X2^0.9715)+(0.0069*(X4^2.0834)*X2^0.5371)+(0.0325*(X4^2.3851)*X2^0)+(0.1683*(X4^1.2764)*X2^0))*1000"/>
    <s v="((0.0259*(11.25^1.9044)*9.5^0.9715)+(0.0069*(11.25^2.0834)*9.5^0.5371)+(0.0325*(11.25^2.3851)*9.5^0)+(0.1683*(11.25^1.2764)*9.5^0))*1000"/>
    <n v="40896.373290067408"/>
    <n v="40896.373290067408"/>
  </r>
  <r>
    <x v="0"/>
    <x v="17"/>
    <x v="2"/>
    <x v="1"/>
    <d v="2022-06-30T00:00:00"/>
    <x v="3"/>
    <x v="3"/>
    <s v="white_birch"/>
    <n v="11"/>
    <n v="12.5"/>
    <s v="((0.0259*(X4^1.9044)*X2^0.9715)+(0.0069*(X4^2.0834)*X2^0.5371)+(0.0325*(X4^2.3851)*X2^0)+(0.1683*(X4^1.2764)*X2^0))*1000"/>
    <s v="((0.0259*(12.5^1.9044)*11^0.9715)+(0.0069*(12.5^2.0834)*11^0.5371)+(0.0325*(12.5^2.3851)*11^0)+(0.1683*(12.5^1.2764)*11^0))*1000"/>
    <n v="55141.141938306588"/>
    <n v="55141.141938306588"/>
  </r>
  <r>
    <x v="1"/>
    <x v="18"/>
    <x v="0"/>
    <x v="0"/>
    <d v="2022-06-14T00:00:00"/>
    <x v="0"/>
    <x v="0"/>
    <s v="balsam_fir"/>
    <n v="4.5"/>
    <n v="5"/>
    <s v="((0.0294*(X4^1.8357)*X2^0.864)+(0.0053*(X4^2.0876)*X2^0.5842)+(0.0117*(X4^3.5097)*X2^-1.3006)+(0.1245*(X4^2.523)*X2^-1.123))*1000"/>
    <s v="((0.0294*(5^1.8357)*4.5^0.864)+(0.0053*(5^2.0876)*4.5^0.5842)+(0.0117*(5^3.5097)*4.5^-1.3006)+(0.1245*(5^2.523)*4.5^-1.123))*1000"/>
    <n v="4240.1588951391304"/>
    <n v="4240.1588951391304"/>
  </r>
  <r>
    <x v="1"/>
    <x v="18"/>
    <x v="0"/>
    <x v="0"/>
    <d v="2022-06-14T00:00:00"/>
    <x v="0"/>
    <x v="0"/>
    <s v="balsam_fir"/>
    <n v="5"/>
    <n v="6.5"/>
    <s v="((0.0294*(X4^1.8357)*X2^0.864)+(0.0053*(X4^2.0876)*X2^0.5842)+(0.0117*(X4^3.5097)*X2^-1.3006)+(0.1245*(X4^2.523)*X2^-1.123))*1000"/>
    <s v="((0.0294*(6.5^1.8357)*5^0.864)+(0.0053*(6.5^2.0876)*5^0.5842)+(0.0117*(6.5^3.5097)*5^-1.3006)+(0.1245*(6.5^2.523)*5^-1.123))*1000"/>
    <n v="7670.0287838434824"/>
    <n v="7670.0287838434824"/>
  </r>
  <r>
    <x v="1"/>
    <x v="18"/>
    <x v="0"/>
    <x v="0"/>
    <d v="2022-06-14T00:00:00"/>
    <x v="0"/>
    <x v="0"/>
    <s v="balsam_fir"/>
    <n v="5.5"/>
    <n v="7.5"/>
    <s v="((0.0294*(X4^1.8357)*X2^0.864)+(0.0053*(X4^2.0876)*X2^0.5842)+(0.0117*(X4^3.5097)*X2^-1.3006)+(0.1245*(X4^2.523)*X2^-1.123))*1000"/>
    <s v="((0.0294*(7.5^1.8357)*5.5^0.864)+(0.0053*(7.5^2.0876)*5.5^0.5842)+(0.0117*(7.5^3.5097)*5.5^-1.3006)+(0.1245*(7.5^2.523)*5.5^-1.123))*1000"/>
    <n v="10606.256371914713"/>
    <n v="10606.256371914713"/>
  </r>
  <r>
    <x v="1"/>
    <x v="18"/>
    <x v="1"/>
    <x v="0"/>
    <d v="2022-06-14T00:00:00"/>
    <x v="0"/>
    <x v="0"/>
    <s v="NA"/>
    <s v="NA"/>
    <s v="NA"/>
    <e v="#N/A"/>
    <e v="#N/A"/>
    <e v="#N/A"/>
    <n v="0"/>
  </r>
  <r>
    <x v="1"/>
    <x v="18"/>
    <x v="0"/>
    <x v="0"/>
    <d v="2022-06-14T00:00:00"/>
    <x v="1"/>
    <x v="1"/>
    <s v="balsam_fir"/>
    <n v="3"/>
    <n v="4.75"/>
    <s v="((0.0294*(X4^1.8357)*X2^0.864)+(0.0053*(X4^2.0876)*X2^0.5842)+(0.0117*(X4^3.5097)*X2^-1.3006)+(0.1245*(X4^2.523)*X2^-1.123))*1000"/>
    <s v="((0.0294*(4.75^1.8357)*3^0.864)+(0.0053*(4.75^2.0876)*3^0.5842)+(0.0117*(4.75^3.5097)*3^-1.3006)+(0.1245*(4.75^2.523)*3^-1.123))*1000"/>
    <n v="4099.6971540690556"/>
    <n v="4099.6971540690556"/>
  </r>
  <r>
    <x v="1"/>
    <x v="18"/>
    <x v="0"/>
    <x v="0"/>
    <d v="2022-06-14T00:00:00"/>
    <x v="1"/>
    <x v="1"/>
    <s v="white_birch"/>
    <n v="5"/>
    <n v="5"/>
    <s v="((0.0259*(X4^1.9044)*X2^0.9715)+(0.0069*(X4^2.0834)*X2^0.5371)+(0.0325*(X4^2.3851)*X2^0)+(0.1683*(X4^1.2764)*X2^0))*1000"/>
    <s v="((0.0259*(5^1.9044)*5^0.9715)+(0.0069*(5^2.0834)*5^0.5371)+(0.0325*(5^2.3851)*5^0)+(0.1683*(5^1.2764)*5^0))*1000"/>
    <n v="5942.649717713055"/>
    <n v="5942.649717713055"/>
  </r>
  <r>
    <x v="1"/>
    <x v="18"/>
    <x v="0"/>
    <x v="0"/>
    <d v="2022-06-14T00:00:00"/>
    <x v="1"/>
    <x v="1"/>
    <s v="balsam_fir"/>
    <n v="5.5"/>
    <n v="5.5"/>
    <s v="((0.0294*(X4^1.8357)*X2^0.864)+(0.0053*(X4^2.0876)*X2^0.5842)+(0.0117*(X4^3.5097)*X2^-1.3006)+(0.1245*(X4^2.523)*X2^-1.123))*1000"/>
    <s v="((0.0294*(5.5^1.8357)*5.5^0.864)+(0.0053*(5.5^2.0876)*5.5^0.5842)+(0.0117*(5.5^3.5097)*5.5^-1.3006)+(0.1245*(5.5^2.523)*5.5^-1.123))*1000"/>
    <n v="5295.2183666215424"/>
    <n v="5295.2183666215424"/>
  </r>
  <r>
    <x v="1"/>
    <x v="18"/>
    <x v="0"/>
    <x v="0"/>
    <d v="2022-06-14T00:00:00"/>
    <x v="1"/>
    <x v="1"/>
    <s v="white_birch"/>
    <n v="5.5"/>
    <n v="5.25"/>
    <s v="((0.0259*(X4^1.9044)*X2^0.9715)+(0.0069*(X4^2.0834)*X2^0.5371)+(0.0325*(X4^2.3851)*X2^0)+(0.1683*(X4^1.2764)*X2^0))*1000"/>
    <s v="((0.0259*(5.25^1.9044)*5.5^0.9715)+(0.0069*(5.25^2.0834)*5.5^0.5371)+(0.0325*(5.25^2.3851)*5.5^0)+(0.1683*(5.25^1.2764)*5.5^0))*1000"/>
    <n v="6831.1344864952598"/>
    <n v="6831.1344864952598"/>
  </r>
  <r>
    <x v="1"/>
    <x v="18"/>
    <x v="0"/>
    <x v="0"/>
    <d v="2022-06-14T00:00:00"/>
    <x v="1"/>
    <x v="1"/>
    <s v="balsam_fir"/>
    <n v="6"/>
    <n v="7.25"/>
    <s v="((0.0294*(X4^1.8357)*X2^0.864)+(0.0053*(X4^2.0876)*X2^0.5842)+(0.0117*(X4^3.5097)*X2^-1.3006)+(0.1245*(X4^2.523)*X2^-1.123))*1000"/>
    <s v="((0.0294*(7.25^1.8357)*6^0.864)+(0.0053*(7.25^2.0876)*6^0.5842)+(0.0117*(7.25^3.5097)*6^-1.3006)+(0.1245*(7.25^2.523)*6^-1.123))*1000"/>
    <n v="9847.8296890617985"/>
    <n v="9847.8296890617985"/>
  </r>
  <r>
    <x v="1"/>
    <x v="18"/>
    <x v="0"/>
    <x v="0"/>
    <d v="2022-06-14T00:00:00"/>
    <x v="1"/>
    <x v="1"/>
    <s v="white_birch"/>
    <n v="6.5"/>
    <n v="6"/>
    <s v="((0.0259*(X4^1.9044)*X2^0.9715)+(0.0069*(X4^2.0834)*X2^0.5371)+(0.0325*(X4^2.3851)*X2^0)+(0.1683*(X4^1.2764)*X2^0))*1000"/>
    <s v="((0.0259*(6^1.9044)*6.5^0.9715)+(0.0069*(6^2.0834)*6.5^0.5371)+(0.0325*(6^2.3851)*6.5^0)+(0.1683*(6^1.2764)*6.5^0))*1000"/>
    <n v="9619.128111222868"/>
    <n v="9619.128111222868"/>
  </r>
  <r>
    <x v="1"/>
    <x v="18"/>
    <x v="1"/>
    <x v="0"/>
    <d v="2022-06-14T00:00:00"/>
    <x v="1"/>
    <x v="1"/>
    <s v="NA"/>
    <s v="NA"/>
    <s v="NA"/>
    <e v="#N/A"/>
    <e v="#N/A"/>
    <e v="#N/A"/>
    <n v="0"/>
  </r>
  <r>
    <x v="1"/>
    <x v="18"/>
    <x v="0"/>
    <x v="0"/>
    <d v="2022-06-14T00:00:00"/>
    <x v="2"/>
    <x v="2"/>
    <s v="white_birch"/>
    <n v="3.5"/>
    <n v="3"/>
    <s v="((0.0259*(X4^1.9044)*X2^0.9715)+(0.0069*(X4^2.0834)*X2^0.5371)+(0.0325*(X4^2.3851)*X2^0)+(0.1683*(X4^1.2764)*X2^0))*1000"/>
    <s v="((0.0259*(3^1.9044)*3.5^0.9715)+(0.0069*(3^2.0834)*3.5^0.5371)+(0.0325*(3^2.3851)*3.5^0)+(0.1683*(3^1.2764)*3.5^0))*1000"/>
    <n v="1972.7165142405092"/>
    <n v="1972.7165142405092"/>
  </r>
  <r>
    <x v="1"/>
    <x v="18"/>
    <x v="0"/>
    <x v="0"/>
    <d v="2022-06-14T00:00:00"/>
    <x v="2"/>
    <x v="2"/>
    <s v="balsam_fir"/>
    <n v="3.5"/>
    <n v="4.5"/>
    <s v="((0.0294*(X4^1.8357)*X2^0.864)+(0.0053*(X4^2.0876)*X2^0.5842)+(0.0117*(X4^3.5097)*X2^-1.3006)+(0.1245*(X4^2.523)*X2^-1.123))*1000"/>
    <s v="((0.0294*(4.5^1.8357)*3.5^0.864)+(0.0053*(4.5^2.0876)*3.5^0.5842)+(0.0117*(4.5^3.5097)*3.5^-1.3006)+(0.1245*(4.5^2.523)*3.5^-1.123))*1000"/>
    <n v="3432.9467682736999"/>
    <n v="3432.9467682736999"/>
  </r>
  <r>
    <x v="1"/>
    <x v="18"/>
    <x v="0"/>
    <x v="0"/>
    <d v="2022-06-14T00:00:00"/>
    <x v="2"/>
    <x v="2"/>
    <s v="balsam_fir"/>
    <n v="4"/>
    <n v="4.5"/>
    <s v="((0.0294*(X4^1.8357)*X2^0.864)+(0.0053*(X4^2.0876)*X2^0.5842)+(0.0117*(X4^3.5097)*X2^-1.3006)+(0.1245*(X4^2.523)*X2^-1.123))*1000"/>
    <s v="((0.0294*(4.5^1.8357)*4^0.864)+(0.0053*(4.5^2.0876)*4^0.5842)+(0.0117*(4.5^3.5097)*4^-1.3006)+(0.1245*(4.5^2.523)*4^-1.123))*1000"/>
    <n v="3360.8963462472743"/>
    <n v="3360.8963462472743"/>
  </r>
  <r>
    <x v="1"/>
    <x v="18"/>
    <x v="0"/>
    <x v="0"/>
    <d v="2022-06-14T00:00:00"/>
    <x v="2"/>
    <x v="2"/>
    <s v="balsam_fir"/>
    <n v="4.5"/>
    <n v="5.75"/>
    <s v="((0.0294*(X4^1.8357)*X2^0.864)+(0.0053*(X4^2.0876)*X2^0.5842)+(0.0117*(X4^3.5097)*X2^-1.3006)+(0.1245*(X4^2.523)*X2^-1.123))*1000"/>
    <s v="((0.0294*(5.75^1.8357)*4.5^0.864)+(0.0053*(5.75^2.0876)*4.5^0.5842)+(0.0117*(5.75^3.5097)*4.5^-1.3006)+(0.1245*(5.75^2.523)*4.5^-1.123))*1000"/>
    <n v="5831.1541371704297"/>
    <n v="5831.1541371704297"/>
  </r>
  <r>
    <x v="1"/>
    <x v="18"/>
    <x v="0"/>
    <x v="0"/>
    <d v="2022-06-14T00:00:00"/>
    <x v="2"/>
    <x v="2"/>
    <s v="balsam_fir"/>
    <n v="4.5"/>
    <n v="4.5"/>
    <s v="((0.0294*(X4^1.8357)*X2^0.864)+(0.0053*(X4^2.0876)*X2^0.5842)+(0.0117*(X4^3.5097)*X2^-1.3006)+(0.1245*(X4^2.523)*X2^-1.123))*1000"/>
    <s v="((0.0294*(4.5^1.8357)*4.5^0.864)+(0.0053*(4.5^2.0876)*4.5^0.5842)+(0.0117*(4.5^3.5097)*4.5^-1.3006)+(0.1245*(4.5^2.523)*4.5^-1.123))*1000"/>
    <n v="3347.1923468557252"/>
    <n v="3347.1923468557252"/>
  </r>
  <r>
    <x v="1"/>
    <x v="18"/>
    <x v="0"/>
    <x v="0"/>
    <d v="2022-06-14T00:00:00"/>
    <x v="2"/>
    <x v="2"/>
    <s v="balsam_fir"/>
    <n v="5.5"/>
    <n v="7.75"/>
    <s v="((0.0294*(X4^1.8357)*X2^0.864)+(0.0053*(X4^2.0876)*X2^0.5842)+(0.0117*(X4^3.5097)*X2^-1.3006)+(0.1245*(X4^2.523)*X2^-1.123))*1000"/>
    <s v="((0.0294*(7.75^1.8357)*5.5^0.864)+(0.0053*(7.75^2.0876)*5.5^0.5842)+(0.0117*(7.75^3.5097)*5.5^-1.3006)+(0.1245*(7.75^2.523)*5.5^-1.123))*1000"/>
    <n v="11434.413420674076"/>
    <n v="11434.413420674076"/>
  </r>
  <r>
    <x v="1"/>
    <x v="18"/>
    <x v="1"/>
    <x v="0"/>
    <d v="2022-06-14T00:00:00"/>
    <x v="2"/>
    <x v="2"/>
    <s v="black_spruce"/>
    <n v="6"/>
    <n v="21"/>
    <s v="((0.0309*(X4^1.7527)*X2^1.0014)+(0.0115*(X4^1.7405)*X2^0.6589)+(0.038*(X4^3.2558)*X2^-1.4218)+(0.2048*(X4^2.5754)*X2^-1.3704))*1000"/>
    <s v="((0.0309*(21^1.7527)*6^1.0014)+(0.0115*(21^1.7405)*6^0.6589)+(0.038*(21^3.2558)*6^-1.4218)+(0.2048*(21^2.5754)*6^-1.3704))*1000"/>
    <n v="150807.91984198571"/>
    <n v="150807.91984198571"/>
  </r>
  <r>
    <x v="1"/>
    <x v="18"/>
    <x v="0"/>
    <x v="0"/>
    <d v="2022-06-14T00:00:00"/>
    <x v="3"/>
    <x v="3"/>
    <s v="white_birch"/>
    <n v="5"/>
    <n v="4"/>
    <s v="((0.0259*(X4^1.9044)*X2^0.9715)+(0.0069*(X4^2.0834)*X2^0.5371)+(0.0325*(X4^2.3851)*X2^0)+(0.1683*(X4^1.2764)*X2^0))*1000"/>
    <s v="((0.0259*(4^1.9044)*5^0.9715)+(0.0069*(4^2.0834)*5^0.5371)+(0.0325*(4^2.3851)*5^0)+(0.1683*(4^1.2764)*5^0))*1000"/>
    <n v="3902.0233950168667"/>
    <n v="3902.0233950168667"/>
  </r>
  <r>
    <x v="1"/>
    <x v="18"/>
    <x v="0"/>
    <x v="0"/>
    <d v="2022-06-14T00:00:00"/>
    <x v="3"/>
    <x v="3"/>
    <s v="white_birch"/>
    <n v="5"/>
    <n v="3.25"/>
    <s v="((0.0259*(X4^1.9044)*X2^0.9715)+(0.0069*(X4^2.0834)*X2^0.5371)+(0.0325*(X4^2.3851)*X2^0)+(0.1683*(X4^1.2764)*X2^0))*1000"/>
    <s v="((0.0259*(3.25^1.9044)*5^0.9715)+(0.0069*(3.25^2.0834)*5^0.5371)+(0.0325*(3.25^2.3851)*5^0)+(0.1683*(3.25^1.2764)*5^0))*1000"/>
    <n v="2656.2536171775942"/>
    <n v="2656.2536171775942"/>
  </r>
  <r>
    <x v="1"/>
    <x v="18"/>
    <x v="0"/>
    <x v="0"/>
    <d v="2022-06-14T00:00:00"/>
    <x v="3"/>
    <x v="3"/>
    <s v="white_birch"/>
    <n v="5"/>
    <n v="3"/>
    <s v="((0.0259*(X4^1.9044)*X2^0.9715)+(0.0069*(X4^2.0834)*X2^0.5371)+(0.0325*(X4^2.3851)*X2^0)+(0.1683*(X4^1.2764)*X2^0))*1000"/>
    <s v="((0.0259*(3^1.9044)*5^0.9715)+(0.0069*(3^2.0834)*5^0.5371)+(0.0325*(3^2.3851)*5^0)+(0.1683*(3^1.2764)*5^0))*1000"/>
    <n v="2294.38925910938"/>
    <n v="2294.38925910938"/>
  </r>
  <r>
    <x v="1"/>
    <x v="18"/>
    <x v="0"/>
    <x v="0"/>
    <d v="2022-06-14T00:00:00"/>
    <x v="3"/>
    <x v="3"/>
    <s v="white_birch"/>
    <n v="5.5"/>
    <n v="4.5"/>
    <s v="((0.0259*(X4^1.9044)*X2^0.9715)+(0.0069*(X4^2.0834)*X2^0.5371)+(0.0325*(X4^2.3851)*X2^0)+(0.1683*(X4^1.2764)*X2^0))*1000"/>
    <s v="((0.0259*(4.5^1.9044)*5.5^0.9715)+(0.0069*(4.5^2.0834)*5.5^0.5371)+(0.0325*(4.5^2.3851)*5.5^0)+(0.1683*(4.5^1.2764)*5.5^0))*1000"/>
    <n v="5097.7924123606363"/>
    <n v="5097.7924123606363"/>
  </r>
  <r>
    <x v="1"/>
    <x v="18"/>
    <x v="0"/>
    <x v="0"/>
    <d v="2022-06-14T00:00:00"/>
    <x v="3"/>
    <x v="3"/>
    <s v="white_birch"/>
    <n v="6"/>
    <n v="5"/>
    <s v="((0.0259*(X4^1.9044)*X2^0.9715)+(0.0069*(X4^2.0834)*X2^0.5371)+(0.0325*(X4^2.3851)*X2^0)+(0.1683*(X4^1.2764)*X2^0))*1000"/>
    <s v="((0.0259*(5^1.9044)*6^0.9715)+(0.0069*(5^2.0834)*6^0.5371)+(0.0325*(5^2.3851)*6^0)+(0.1683*(5^1.2764)*6^0))*1000"/>
    <n v="6504.6070171461251"/>
    <n v="6504.6070171461251"/>
  </r>
  <r>
    <x v="1"/>
    <x v="18"/>
    <x v="0"/>
    <x v="0"/>
    <d v="2022-06-14T00:00:00"/>
    <x v="3"/>
    <x v="3"/>
    <s v="white_birch"/>
    <n v="6.5"/>
    <n v="6.75"/>
    <s v="((0.0259*(X4^1.9044)*X2^0.9715)+(0.0069*(X4^2.0834)*X2^0.5371)+(0.0325*(X4^2.3851)*X2^0)+(0.1683*(X4^1.2764)*X2^0))*1000"/>
    <s v="((0.0259*(6.75^1.9044)*6.5^0.9715)+(0.0069*(6.75^2.0834)*6.5^0.5371)+(0.0325*(6.75^2.3851)*6.5^0)+(0.1683*(6.75^1.2764)*6.5^0))*1000"/>
    <n v="12081.117534357058"/>
    <n v="12081.117534357058"/>
  </r>
  <r>
    <x v="1"/>
    <x v="18"/>
    <x v="0"/>
    <x v="0"/>
    <d v="2022-06-14T00:00:00"/>
    <x v="3"/>
    <x v="3"/>
    <s v="white_birch"/>
    <n v="7"/>
    <n v="7"/>
    <s v="((0.0259*(X4^1.9044)*X2^0.9715)+(0.0069*(X4^2.0834)*X2^0.5371)+(0.0325*(X4^2.3851)*X2^0)+(0.1683*(X4^1.2764)*X2^0))*1000"/>
    <s v="((0.0259*(7^1.9044)*7^0.9715)+(0.0069*(7^2.0834)*7^0.5371)+(0.0325*(7^2.3851)*7^0)+(0.1683*(7^1.2764)*7^0))*1000"/>
    <n v="13495.174544514926"/>
    <n v="13495.174544514926"/>
  </r>
  <r>
    <x v="1"/>
    <x v="18"/>
    <x v="1"/>
    <x v="0"/>
    <d v="2022-06-14T00:00:00"/>
    <x v="3"/>
    <x v="3"/>
    <s v="NA"/>
    <s v="NA"/>
    <s v="NA"/>
    <e v="#N/A"/>
    <e v="#N/A"/>
    <e v="#N/A"/>
    <n v="0"/>
  </r>
  <r>
    <x v="1"/>
    <x v="19"/>
    <x v="0"/>
    <x v="0"/>
    <d v="2022-06-14T00:00:00"/>
    <x v="0"/>
    <x v="0"/>
    <s v="mountain_maple"/>
    <n v="4"/>
    <n v="4.3"/>
    <s v="((0.0315*(X4^2.0342)*X2^0.7485)+(0.0283*(X4^2.0907)*X2^0)+(0.0225*(X4^2.4106)*X2^0)+(0.0571*(X4^1.4898)*X2^0))*1000"/>
    <s v="((0.0315*(4.3^2.0342)*4^0.7485)+(0.0283*(4.3^2.0907)*4^0)+(0.0225*(4.3^2.4106)*4^0)+(0.0571*(4.3^1.4898)*4^0))*1000"/>
    <n v="3584.1642119571875"/>
    <n v="3584.1642119571875"/>
  </r>
  <r>
    <x v="1"/>
    <x v="19"/>
    <x v="1"/>
    <x v="0"/>
    <d v="2022-06-14T00:00:00"/>
    <x v="0"/>
    <x v="0"/>
    <s v="white_birch"/>
    <n v="7"/>
    <n v="26.5"/>
    <s v="((0.0259*(X4^1.9044)*X2^0.9715)+(0.0069*(X4^2.0834)*X2^0.5371)+(0.0325*(X4^2.3851)*X2^0)+(0.1683*(X4^1.2764)*X2^0))*1000"/>
    <s v="((0.0259*(26.5^1.9044)*7^0.9715)+(0.0069*(26.5^2.0834)*7^0.5371)+(0.0325*(26.5^2.3851)*7^0)+(0.1683*(26.5^1.2764)*7^0))*1000"/>
    <n v="197821.58082354951"/>
    <n v="197821.58082354951"/>
  </r>
  <r>
    <x v="1"/>
    <x v="19"/>
    <x v="0"/>
    <x v="0"/>
    <d v="2022-06-14T00:00:00"/>
    <x v="1"/>
    <x v="1"/>
    <s v="balsam_fir"/>
    <n v="4.5"/>
    <n v="6"/>
    <s v="((0.0294*(X4^1.8357)*X2^0.864)+(0.0053*(X4^2.0876)*X2^0.5842)+(0.0117*(X4^3.5097)*X2^-1.3006)+(0.1245*(X4^2.523)*X2^-1.123))*1000"/>
    <s v="((0.0294*(6^1.8357)*4.5^0.864)+(0.0053*(6^2.0876)*4.5^0.5842)+(0.0117*(6^3.5097)*4.5^-1.3006)+(0.1245*(6^2.523)*4.5^-1.123))*1000"/>
    <n v="6432.8785630407465"/>
    <n v="6432.8785630407465"/>
  </r>
  <r>
    <x v="1"/>
    <x v="19"/>
    <x v="0"/>
    <x v="0"/>
    <d v="2022-06-14T00:00:00"/>
    <x v="1"/>
    <x v="1"/>
    <s v="white_birch"/>
    <n v="6.5"/>
    <n v="8"/>
    <s v="((0.0259*(X4^1.9044)*X2^0.9715)+(0.0069*(X4^2.0834)*X2^0.5371)+(0.0325*(X4^2.3851)*X2^0)+(0.1683*(X4^1.2764)*X2^0))*1000"/>
    <s v="((0.0259*(8^1.9044)*6.5^0.9715)+(0.0069*(8^2.0834)*6.5^0.5371)+(0.0325*(8^2.3851)*6.5^0)+(0.1683*(8^1.2764)*6.5^0))*1000"/>
    <n v="16833.476737975867"/>
    <n v="16833.476737975867"/>
  </r>
  <r>
    <x v="1"/>
    <x v="19"/>
    <x v="1"/>
    <x v="0"/>
    <d v="2022-06-14T00:00:00"/>
    <x v="1"/>
    <x v="1"/>
    <s v="NA"/>
    <s v="N/A"/>
    <s v="N/A"/>
    <e v="#N/A"/>
    <e v="#N/A"/>
    <e v="#N/A"/>
    <n v="0"/>
  </r>
  <r>
    <x v="1"/>
    <x v="19"/>
    <x v="0"/>
    <x v="0"/>
    <d v="2022-06-14T00:00:00"/>
    <x v="2"/>
    <x v="2"/>
    <s v="black_spruce"/>
    <n v="3.5"/>
    <n v="5.2"/>
    <s v="((0.0309*(X4^1.7527)*X2^1.0014)+(0.0115*(X4^1.7405)*X2^0.6589)+(0.038*(X4^3.2558)*X2^-1.4218)+(0.2048*(X4^2.5754)*X2^-1.3704))*1000"/>
    <s v="((0.0309*(5.2^1.7527)*3.5^1.0014)+(0.0115*(5.2^1.7405)*3.5^0.6589)+(0.038*(5.2^3.2558)*3.5^-1.4218)+(0.2048*(5.2^2.5754)*3.5^-1.3704))*1000"/>
    <n v="6352.3551742193004"/>
    <n v="6352.3551742193004"/>
  </r>
  <r>
    <x v="1"/>
    <x v="19"/>
    <x v="1"/>
    <x v="0"/>
    <d v="2022-06-14T00:00:00"/>
    <x v="2"/>
    <x v="2"/>
    <s v="NA"/>
    <s v="N/A"/>
    <s v="N/A"/>
    <e v="#N/A"/>
    <e v="#N/A"/>
    <e v="#N/A"/>
    <n v="0"/>
  </r>
  <r>
    <x v="1"/>
    <x v="19"/>
    <x v="0"/>
    <x v="0"/>
    <d v="2022-06-14T00:00:00"/>
    <x v="3"/>
    <x v="3"/>
    <s v="balsam_fir"/>
    <n v="3.8"/>
    <n v="6.1"/>
    <s v="((0.0294*(X4^1.8357)*X2^0.864)+(0.0053*(X4^2.0876)*X2^0.5842)+(0.0117*(X4^3.5097)*X2^-1.3006)+(0.1245*(X4^2.523)*X2^-1.123))*1000"/>
    <s v="((0.0294*(6.1^1.8357)*3.8^0.864)+(0.0053*(6.1^2.0876)*3.8^0.5842)+(0.0117*(6.1^3.5097)*3.8^-1.3006)+(0.1245*(6.1^2.523)*3.8^-1.123))*1000"/>
    <n v="6919.299272408075"/>
    <n v="6919.299272408075"/>
  </r>
  <r>
    <x v="1"/>
    <x v="19"/>
    <x v="0"/>
    <x v="0"/>
    <d v="2022-06-14T00:00:00"/>
    <x v="3"/>
    <x v="3"/>
    <s v="balsam_fir"/>
    <n v="3.9"/>
    <n v="6"/>
    <s v="((0.0294*(X4^1.8357)*X2^0.864)+(0.0053*(X4^2.0876)*X2^0.5842)+(0.0117*(X4^3.5097)*X2^-1.3006)+(0.1245*(X4^2.523)*X2^-1.123))*1000"/>
    <s v="((0.0294*(6^1.8357)*3.9^0.864)+(0.0053*(6^2.0876)*3.9^0.5842)+(0.0117*(6^3.5097)*3.9^-1.3006)+(0.1245*(6^2.523)*3.9^-1.123))*1000"/>
    <n v="6603.9972025168345"/>
    <n v="6603.9972025168345"/>
  </r>
  <r>
    <x v="1"/>
    <x v="19"/>
    <x v="0"/>
    <x v="0"/>
    <d v="2022-06-14T00:00:00"/>
    <x v="3"/>
    <x v="3"/>
    <s v="balsam_fir"/>
    <n v="4"/>
    <n v="3.6"/>
    <s v="((0.0294*(X4^1.8357)*X2^0.864)+(0.0053*(X4^2.0876)*X2^0.5842)+(0.0117*(X4^3.5097)*X2^-1.3006)+(0.1245*(X4^2.523)*X2^-1.123))*1000"/>
    <s v="((0.0294*(3.6^1.8357)*4^0.864)+(0.0053*(3.6^2.0876)*4^0.5842)+(0.0117*(3.6^3.5097)*4^-1.3006)+(0.1245*(3.6^2.523)*4^-1.123))*1000"/>
    <n v="2032.8731552334957"/>
    <n v="2032.8731552334957"/>
  </r>
  <r>
    <x v="1"/>
    <x v="19"/>
    <x v="1"/>
    <x v="0"/>
    <d v="2022-06-14T00:00:00"/>
    <x v="3"/>
    <x v="3"/>
    <s v="NA"/>
    <s v="N/A"/>
    <s v="N/A"/>
    <e v="#N/A"/>
    <e v="#N/A"/>
    <e v="#N/A"/>
    <n v="0"/>
  </r>
  <r>
    <x v="1"/>
    <x v="20"/>
    <x v="0"/>
    <x v="0"/>
    <d v="2022-06-16T00:00:00"/>
    <x v="0"/>
    <x v="0"/>
    <s v="red_maple"/>
    <n v="3"/>
    <n v="2.5"/>
    <s v="((0.0315*(X4^2.0342)*X2^0.7485)+(0.0283*(X4^2.0907)*X2^0)+(0.0225*(X4^2.4106)*X2^0)+(0.0571*(X4^1.4898)*X2^0))*1000"/>
    <s v="((0.0315*(2.5^2.0342)*3^0.7485)+(0.0283*(2.5^2.0907)*3^0)+(0.0225*(2.5^2.4106)*3^0)+(0.0571*(2.5^1.4898)*3^0))*1000"/>
    <n v="1082.9720127602523"/>
    <n v="1082.9720127602523"/>
  </r>
  <r>
    <x v="1"/>
    <x v="20"/>
    <x v="0"/>
    <x v="0"/>
    <d v="2022-06-16T00:00:00"/>
    <x v="0"/>
    <x v="0"/>
    <s v="red_maple"/>
    <n v="3.5"/>
    <n v="3.5"/>
    <s v="((0.0315*(X4^2.0342)*X2^0.7485)+(0.0283*(X4^2.0907)*X2^0)+(0.0225*(X4^2.4106)*X2^0)+(0.0571*(X4^1.4898)*X2^0))*1000"/>
    <s v="((0.0315*(3.5^2.0342)*3.5^0.7485)+(0.0283*(3.5^2.0907)*3.5^0)+(0.0225*(3.5^2.4106)*3.5^0)+(0.0571*(3.5^1.4898)*3.5^0))*1000"/>
    <n v="2247.2419067356032"/>
    <n v="2247.2419067356032"/>
  </r>
  <r>
    <x v="1"/>
    <x v="20"/>
    <x v="0"/>
    <x v="0"/>
    <d v="2022-06-16T00:00:00"/>
    <x v="0"/>
    <x v="0"/>
    <s v="red_maple"/>
    <n v="3.5"/>
    <n v="2.5"/>
    <s v="((0.0315*(X4^2.0342)*X2^0.7485)+(0.0283*(X4^2.0907)*X2^0)+(0.0225*(X4^2.4106)*X2^0)+(0.0571*(X4^1.4898)*X2^0))*1000"/>
    <s v="((0.0315*(2.5^2.0342)*3.5^0.7485)+(0.0283*(2.5^2.0907)*3.5^0)+(0.0225*(2.5^2.4106)*3.5^0)+(0.0571*(2.5^1.4898)*3.5^0))*1000"/>
    <n v="1139.5123432769792"/>
    <n v="1139.5123432769792"/>
  </r>
  <r>
    <x v="1"/>
    <x v="20"/>
    <x v="0"/>
    <x v="0"/>
    <d v="2022-06-16T00:00:00"/>
    <x v="0"/>
    <x v="0"/>
    <s v="red_maple"/>
    <n v="4"/>
    <n v="4.5"/>
    <s v="((0.0315*(X4^2.0342)*X2^0.7485)+(0.0283*(X4^2.0907)*X2^0)+(0.0225*(X4^2.4106)*X2^0)+(0.0571*(X4^1.4898)*X2^0))*1000"/>
    <s v="((0.0315*(4.5^2.0342)*4^0.7485)+(0.0283*(4.5^2.0907)*4^0)+(0.0225*(4.5^2.4106)*4^0)+(0.0571*(4.5^1.4898)*4^0))*1000"/>
    <n v="3934.0060192727697"/>
    <n v="3934.0060192727697"/>
  </r>
  <r>
    <x v="1"/>
    <x v="20"/>
    <x v="0"/>
    <x v="0"/>
    <d v="2022-06-16T00:00:00"/>
    <x v="0"/>
    <x v="0"/>
    <s v="red_maple"/>
    <n v="4"/>
    <n v="3"/>
    <s v="((0.0315*(X4^2.0342)*X2^0.7485)+(0.0283*(X4^2.0907)*X2^0)+(0.0225*(X4^2.4106)*X2^0)+(0.0571*(X4^1.4898)*X2^0))*1000"/>
    <s v="((0.0315*(3^2.0342)*4^0.7485)+(0.0283*(3^2.0907)*4^0)+(0.0225*(3^2.4106)*4^0)+(0.0571*(3^1.4898)*4^0))*1000"/>
    <n v="1723.5412589651216"/>
    <n v="1723.5412589651216"/>
  </r>
  <r>
    <x v="1"/>
    <x v="20"/>
    <x v="0"/>
    <x v="0"/>
    <d v="2022-06-16T00:00:00"/>
    <x v="0"/>
    <x v="0"/>
    <s v="red_maple"/>
    <n v="4.5"/>
    <n v="2.5"/>
    <s v="((0.0315*(X4^2.0342)*X2^0.7485)+(0.0283*(X4^2.0907)*X2^0)+(0.0225*(X4^2.4106)*X2^0)+(0.0571*(X4^1.4898)*X2^0))*1000"/>
    <s v="((0.0315*(2.5^2.0342)*4.5^0.7485)+(0.0283*(2.5^2.0907)*4.5^0)+(0.0225*(2.5^2.4106)*4.5^0)+(0.0571*(2.5^1.4898)*4.5^0))*1000"/>
    <n v="1246.8944002295812"/>
    <n v="1246.8944002295812"/>
  </r>
  <r>
    <x v="1"/>
    <x v="20"/>
    <x v="0"/>
    <x v="0"/>
    <d v="2022-06-16T00:00:00"/>
    <x v="0"/>
    <x v="0"/>
    <s v="red_maple"/>
    <n v="5"/>
    <n v="4.75"/>
    <s v="((0.0315*(X4^2.0342)*X2^0.7485)+(0.0283*(X4^2.0907)*X2^0)+(0.0225*(X4^2.4106)*X2^0)+(0.0571*(X4^1.4898)*X2^0))*1000"/>
    <s v="((0.0315*(4.75^2.0342)*5^0.7485)+(0.0283*(4.75^2.0907)*5^0)+(0.0225*(4.75^2.4106)*5^0)+(0.0571*(4.75^1.4898)*5^0))*1000"/>
    <n v="4780.246989254877"/>
    <n v="4780.246989254877"/>
  </r>
  <r>
    <x v="1"/>
    <x v="20"/>
    <x v="0"/>
    <x v="0"/>
    <d v="2022-06-16T00:00:00"/>
    <x v="0"/>
    <x v="0"/>
    <s v="red_maple"/>
    <n v="5"/>
    <n v="3"/>
    <s v="((0.0315*(X4^2.0342)*X2^0.7485)+(0.0283*(X4^2.0907)*X2^0)+(0.0225*(X4^2.4106)*X2^0)+(0.0571*(X4^1.4898)*X2^0))*1000"/>
    <s v="((0.0315*(3^2.0342)*5^0.7485)+(0.0283*(3^2.0907)*5^0)+(0.0225*(3^2.4106)*5^0)+(0.0571*(3^1.4898)*5^0))*1000"/>
    <n v="1874.5708063758675"/>
    <n v="1874.5708063758675"/>
  </r>
  <r>
    <x v="1"/>
    <x v="20"/>
    <x v="0"/>
    <x v="0"/>
    <d v="2022-06-16T00:00:00"/>
    <x v="0"/>
    <x v="0"/>
    <s v="red_maple"/>
    <n v="8"/>
    <n v="6.5"/>
    <s v="((0.0315*(X4^2.0342)*X2^0.7485)+(0.0283*(X4^2.0907)*X2^0)+(0.0225*(X4^2.4106)*X2^0)+(0.0571*(X4^1.4898)*X2^0))*1000"/>
    <s v="((0.0315*(6.5^2.0342)*8^0.7485)+(0.0283*(6.5^2.0907)*8^0)+(0.0225*(6.5^2.4106)*8^0)+(0.0571*(6.5^1.4898)*8^0))*1000"/>
    <n v="11123.694546155433"/>
    <n v="11123.694546155433"/>
  </r>
  <r>
    <x v="1"/>
    <x v="20"/>
    <x v="1"/>
    <x v="0"/>
    <d v="2022-06-16T00:00:00"/>
    <x v="0"/>
    <x v="0"/>
    <s v="NA"/>
    <s v="N/A"/>
    <s v="N/A"/>
    <e v="#N/A"/>
    <e v="#N/A"/>
    <e v="#N/A"/>
    <n v="0"/>
  </r>
  <r>
    <x v="1"/>
    <x v="20"/>
    <x v="0"/>
    <x v="0"/>
    <d v="2022-06-16T00:00:00"/>
    <x v="1"/>
    <x v="1"/>
    <s v="red_maple"/>
    <n v="3"/>
    <n v="1.5"/>
    <s v="((0.0315*(X4^2.0342)*X2^0.7485)+(0.0283*(X4^2.0907)*X2^0)+(0.0225*(X4^2.4106)*X2^0)+(0.0571*(X4^1.4898)*X2^0))*1000"/>
    <s v="((0.0315*(1.5^2.0342)*3^0.7485)+(0.0283*(1.5^2.0907)*3^0)+(0.0225*(1.5^2.4106)*3^0)+(0.0571*(1.5^1.4898)*3^0))*1000"/>
    <n v="393.86845907671443"/>
    <n v="393.86845907671443"/>
  </r>
  <r>
    <x v="1"/>
    <x v="20"/>
    <x v="0"/>
    <x v="0"/>
    <d v="2022-06-16T00:00:00"/>
    <x v="1"/>
    <x v="1"/>
    <s v="red_maple"/>
    <n v="5"/>
    <n v="4"/>
    <s v="((0.0315*(X4^2.0342)*X2^0.7485)+(0.0283*(X4^2.0907)*X2^0)+(0.0225*(X4^2.4106)*X2^0)+(0.0571*(X4^1.4898)*X2^0))*1000"/>
    <s v="((0.0315*(4^2.0342)*5^0.7485)+(0.0283*(4^2.0907)*5^0)+(0.0225*(4^2.4106)*5^0)+(0.0571*(4^1.4898)*5^0))*1000"/>
    <n v="3362.7168730488934"/>
    <n v="3362.7168730488934"/>
  </r>
  <r>
    <x v="1"/>
    <x v="20"/>
    <x v="0"/>
    <x v="0"/>
    <d v="2022-06-16T00:00:00"/>
    <x v="1"/>
    <x v="1"/>
    <s v="pin_cherry"/>
    <n v="5.5"/>
    <n v="4"/>
    <s v="((0.0181*(X4^1.7013)*X2^1.3057)+(0.0101*(X4^1.5956)*X2^0.919)+(0.0005*(X4^2.8004)*X2^0.8603)+(0.1976*(X4^1.4421)*X2^-0.5264))*1000"/>
    <s v="((0.0181*(4^1.7013)*5.5^1.3057)+(0.0101*(4^1.5956)*5.5^0.919)+(0.0005*(4^2.8004)*5.5^0.8603)+(0.1976*(4^1.4421)*5.5^-0.5264))*1000"/>
    <n v="2914.583304542457"/>
    <n v="2914.583304542457"/>
  </r>
  <r>
    <x v="1"/>
    <x v="20"/>
    <x v="0"/>
    <x v="0"/>
    <d v="2022-06-16T00:00:00"/>
    <x v="1"/>
    <x v="1"/>
    <s v="red_maple"/>
    <n v="6"/>
    <n v="4.75"/>
    <s v="((0.0315*(X4^2.0342)*X2^0.7485)+(0.0283*(X4^2.0907)*X2^0)+(0.0225*(X4^2.4106)*X2^0)+(0.0571*(X4^1.4898)*X2^0))*1000"/>
    <s v="((0.0315*(4.75^2.0342)*6^0.7485)+(0.0283*(4.75^2.0907)*6^0)+(0.0225*(4.75^2.4106)*6^0)+(0.0571*(4.75^1.4898)*6^0))*1000"/>
    <n v="5145.8587009946632"/>
    <n v="5145.8587009946632"/>
  </r>
  <r>
    <x v="1"/>
    <x v="20"/>
    <x v="0"/>
    <x v="0"/>
    <d v="2022-06-16T00:00:00"/>
    <x v="1"/>
    <x v="1"/>
    <s v="red_maple"/>
    <n v="6.5"/>
    <n v="7"/>
    <s v="((0.0315*(X4^2.0342)*X2^0.7485)+(0.0283*(X4^2.0907)*X2^0)+(0.0225*(X4^2.4106)*X2^0)+(0.0571*(X4^1.4898)*X2^0))*1000"/>
    <s v="((0.0315*(7^2.0342)*6.5^0.7485)+(0.0283*(7^2.0907)*6.5^0)+(0.0225*(7^2.4106)*6.5^0)+(0.0571*(7^1.4898)*6.5^0))*1000"/>
    <n v="11839.191345797255"/>
    <n v="11839.191345797255"/>
  </r>
  <r>
    <x v="1"/>
    <x v="20"/>
    <x v="0"/>
    <x v="0"/>
    <d v="2022-06-16T00:00:00"/>
    <x v="1"/>
    <x v="1"/>
    <s v="red_maple"/>
    <n v="6.5"/>
    <n v="6.5"/>
    <s v="((0.0315*(X4^2.0342)*X2^0.7485)+(0.0283*(X4^2.0907)*X2^0)+(0.0225*(X4^2.4106)*X2^0)+(0.0571*(X4^1.4898)*X2^0))*1000"/>
    <s v="((0.0315*(6.5^2.0342)*6.5^0.7485)+(0.0283*(6.5^2.0907)*6.5^0)+(0.0225*(6.5^2.4106)*6.5^0)+(0.0571*(6.5^1.4898)*6.5^0))*1000"/>
    <n v="10155.212311226642"/>
    <n v="10155.212311226642"/>
  </r>
  <r>
    <x v="1"/>
    <x v="20"/>
    <x v="1"/>
    <x v="0"/>
    <d v="2022-06-16T00:00:00"/>
    <x v="1"/>
    <x v="1"/>
    <s v="NA"/>
    <s v="N/A"/>
    <s v="N/A"/>
    <e v="#N/A"/>
    <e v="#N/A"/>
    <e v="#N/A"/>
    <n v="0"/>
  </r>
  <r>
    <x v="1"/>
    <x v="20"/>
    <x v="0"/>
    <x v="0"/>
    <d v="2022-06-16T00:00:00"/>
    <x v="2"/>
    <x v="2"/>
    <s v="red_maple"/>
    <n v="4"/>
    <n v="2.5"/>
    <s v="((0.0315*(X4^2.0342)*X2^0.7485)+(0.0283*(X4^2.0907)*X2^0)+(0.0225*(X4^2.4106)*X2^0)+(0.0571*(X4^1.4898)*X2^0))*1000"/>
    <s v="((0.0315*(2.5^2.0342)*4^0.7485)+(0.0283*(2.5^2.0907)*4^0)+(0.0225*(2.5^2.4106)*4^0)+(0.0571*(2.5^1.4898)*4^0))*1000"/>
    <n v="1194.0497487890914"/>
    <n v="1194.0497487890914"/>
  </r>
  <r>
    <x v="1"/>
    <x v="20"/>
    <x v="0"/>
    <x v="0"/>
    <d v="2022-06-16T00:00:00"/>
    <x v="2"/>
    <x v="2"/>
    <s v="red_maple"/>
    <n v="6"/>
    <n v="3"/>
    <s v="((0.0315*(X4^2.0342)*X2^0.7485)+(0.0283*(X4^2.0907)*X2^0)+(0.0225*(X4^2.4106)*X2^0)+(0.0571*(X4^1.4898)*X2^0))*1000"/>
    <s v="((0.0315*(3^2.0342)*6^0.7485)+(0.0283*(3^2.0907)*6^0)+(0.0225*(3^2.4106)*6^0)+(0.0571*(3^1.4898)*6^0))*1000"/>
    <n v="2018.1362822412966"/>
    <n v="2018.1362822412966"/>
  </r>
  <r>
    <x v="1"/>
    <x v="20"/>
    <x v="0"/>
    <x v="0"/>
    <d v="2022-06-16T00:00:00"/>
    <x v="2"/>
    <x v="2"/>
    <s v="red_maple"/>
    <n v="6"/>
    <n v="3.5"/>
    <s v="((0.0315*(X4^2.0342)*X2^0.7485)+(0.0283*(X4^2.0907)*X2^0)+(0.0225*(X4^2.4106)*X2^0)+(0.0571*(X4^1.4898)*X2^0))*1000"/>
    <s v="((0.0315*(3.5^2.0342)*6^0.7485)+(0.0283*(3.5^2.0907)*6^0)+(0.0225*(3.5^2.4106)*6^0)+(0.0571*(3.5^1.4898)*6^0))*1000"/>
    <n v="2758.4684561721465"/>
    <n v="2758.4684561721465"/>
  </r>
  <r>
    <x v="1"/>
    <x v="20"/>
    <x v="1"/>
    <x v="0"/>
    <d v="2022-06-16T00:00:00"/>
    <x v="2"/>
    <x v="2"/>
    <s v="NA"/>
    <s v="N/A"/>
    <s v="N/A"/>
    <e v="#N/A"/>
    <e v="#N/A"/>
    <e v="#N/A"/>
    <n v="0"/>
  </r>
  <r>
    <x v="1"/>
    <x v="20"/>
    <x v="1"/>
    <x v="0"/>
    <d v="2022-06-16T00:00:00"/>
    <x v="3"/>
    <x v="3"/>
    <s v="black_spruce"/>
    <n v="4"/>
    <n v="4"/>
    <s v="((0.0309*(X4^1.7527)*X2^1.0014)+(0.0115*(X4^1.7405)*X2^0.6589)+(0.038*(X4^3.2558)*X2^-1.4218)+(0.2048*(X4^2.5754)*X2^-1.3704))*1000"/>
    <s v="((0.0309*(4^1.7527)*4^1.0014)+(0.0115*(4^1.7405)*4^0.6589)+(0.038*(4^3.2558)*4^-1.4218)+(0.2048*(4^2.5754)*4^-1.3704))*1000"/>
    <n v="3297.9168730273523"/>
    <n v="3297.9168730273523"/>
  </r>
  <r>
    <x v="1"/>
    <x v="20"/>
    <x v="0"/>
    <x v="0"/>
    <d v="2022-06-16T00:00:00"/>
    <x v="3"/>
    <x v="3"/>
    <s v="mountain_ash"/>
    <n v="4"/>
    <n v="2.25"/>
    <s v="((0.0306*(X4^2.1836)*X2^0.574)+(0.0897*(X4^2.2634)*X2^-0.567)+(0.0994*(X4^2.163)*X2^-0.4809)+(0.0124*(X4^1.0325)*X2^0.8747))*1000"/>
    <s v="((0.0306*(2.25^2.1836)*4^0.574)+(0.0897*(2.25^2.2634)*4^-0.567)+(0.0994*(2.25^2.163)*4^-0.4809)+(0.0124*(2.25^1.0325)*4^0.8747))*1000"/>
    <n v="1045.7721841306034"/>
    <n v="1045.7721841306034"/>
  </r>
  <r>
    <x v="1"/>
    <x v="20"/>
    <x v="0"/>
    <x v="0"/>
    <d v="2022-06-16T00:00:00"/>
    <x v="3"/>
    <x v="3"/>
    <s v="red_maple"/>
    <n v="5.5"/>
    <n v="2.5"/>
    <s v="((0.0315*(X4^2.0342)*X2^0.7485)+(0.0283*(X4^2.0907)*X2^0)+(0.0225*(X4^2.4106)*X2^0)+(0.0571*(X4^1.4898)*X2^0))*1000"/>
    <s v="((0.0315*(2.5^2.0342)*5.5^0.7485)+(0.0283*(2.5^2.0907)*5.5^0)+(0.0225*(2.5^2.4106)*5.5^0)+(0.0571*(2.5^1.4898)*5.5^0))*1000"/>
    <n v="1348.3858769228184"/>
    <n v="1348.3858769228184"/>
  </r>
  <r>
    <x v="1"/>
    <x v="20"/>
    <x v="0"/>
    <x v="0"/>
    <d v="2022-06-16T00:00:00"/>
    <x v="3"/>
    <x v="3"/>
    <s v="red_maple"/>
    <n v="7.5"/>
    <n v="5.5"/>
    <s v="((0.0315*(X4^2.0342)*X2^0.7485)+(0.0283*(X4^2.0907)*X2^0)+(0.0225*(X4^2.4106)*X2^0)+(0.0571*(X4^1.4898)*X2^0))*1000"/>
    <s v="((0.0315*(5.5^2.0342)*7.5^0.7485)+(0.0283*(5.5^2.0907)*7.5^0)+(0.0225*(5.5^2.4106)*7.5^0)+(0.0571*(5.5^1.4898)*7.5^0))*1000"/>
    <n v="7657.5463705359307"/>
    <n v="7657.5463705359307"/>
  </r>
  <r>
    <x v="1"/>
    <x v="20"/>
    <x v="0"/>
    <x v="0"/>
    <d v="2022-06-16T00:00:00"/>
    <x v="3"/>
    <x v="3"/>
    <s v="red_maple"/>
    <n v="8"/>
    <n v="5"/>
    <s v="((0.0315*(X4^2.0342)*X2^0.7485)+(0.0283*(X4^2.0907)*X2^0)+(0.0225*(X4^2.4106)*X2^0)+(0.0571*(X4^1.4898)*X2^0))*1000"/>
    <s v="((0.0315*(5^2.0342)*8^0.7485)+(0.0283*(5^2.0907)*8^0)+(0.0225*(5^2.4106)*8^0)+(0.0571*(5^1.4898)*8^0))*1000"/>
    <n v="6481.5762387474206"/>
    <n v="6481.5762387474206"/>
  </r>
  <r>
    <x v="1"/>
    <x v="21"/>
    <x v="1"/>
    <x v="0"/>
    <d v="2022-06-20T00:00:00"/>
    <x v="0"/>
    <x v="0"/>
    <s v="NA"/>
    <s v="N/A"/>
    <s v="N/A"/>
    <e v="#N/A"/>
    <e v="#N/A"/>
    <e v="#N/A"/>
    <n v="0"/>
  </r>
  <r>
    <x v="1"/>
    <x v="21"/>
    <x v="0"/>
    <x v="0"/>
    <d v="2022-06-20T00:00:00"/>
    <x v="0"/>
    <x v="0"/>
    <s v="NA"/>
    <s v="N/A"/>
    <s v="N/A"/>
    <e v="#N/A"/>
    <e v="#N/A"/>
    <e v="#N/A"/>
    <n v="0"/>
  </r>
  <r>
    <x v="1"/>
    <x v="21"/>
    <x v="1"/>
    <x v="0"/>
    <d v="2022-06-20T00:00:00"/>
    <x v="1"/>
    <x v="1"/>
    <s v="black_spruce"/>
    <n v="5.5"/>
    <n v="4.75"/>
    <s v="((0.0309*(X4^1.7527)*X2^1.0014)+(0.0115*(X4^1.7405)*X2^0.6589)+(0.038*(X4^3.2558)*X2^-1.4218)+(0.2048*(X4^2.5754)*X2^-1.3704))*1000"/>
    <s v="((0.0309*(4.75^1.7527)*5.5^1.0014)+(0.0115*(4.75^1.7405)*5.5^0.6589)+(0.038*(4.75^3.2558)*5.5^-1.4218)+(0.2048*(4.75^2.5754)*5.5^-1.3704))*1000"/>
    <n v="4779.6674943387188"/>
    <n v="4779.6674943387188"/>
  </r>
  <r>
    <x v="1"/>
    <x v="21"/>
    <x v="0"/>
    <x v="0"/>
    <d v="2022-06-20T00:00:00"/>
    <x v="1"/>
    <x v="1"/>
    <s v="black_spruce"/>
    <n v="5.5"/>
    <n v="6"/>
    <s v="((0.0309*(X4^1.7527)*X2^1.0014)+(0.0115*(X4^1.7405)*X2^0.6589)+(0.038*(X4^3.2558)*X2^-1.4218)+(0.2048*(X4^2.5754)*X2^-1.3704))*1000"/>
    <s v="((0.0309*(6^1.7527)*5.5^1.0014)+(0.0115*(6^1.7405)*5.5^0.6589)+(0.038*(6^3.2558)*5.5^-1.4218)+(0.2048*(6^2.5754)*5.5^-1.3704))*1000"/>
    <n v="7885.8996297155845"/>
    <n v="7885.8996297155845"/>
  </r>
  <r>
    <x v="1"/>
    <x v="21"/>
    <x v="1"/>
    <x v="0"/>
    <d v="2022-06-20T00:00:00"/>
    <x v="1"/>
    <x v="1"/>
    <s v="black_spruce"/>
    <n v="7"/>
    <n v="7"/>
    <s v="((0.0309*(X4^1.7527)*X2^1.0014)+(0.0115*(X4^1.7405)*X2^0.6589)+(0.038*(X4^3.2558)*X2^-1.4218)+(0.2048*(X4^2.5754)*X2^-1.3704))*1000"/>
    <s v="((0.0309*(7^1.7527)*7^1.0014)+(0.0115*(7^1.7405)*7^0.6589)+(0.038*(7^3.2558)*7^-1.4218)+(0.2048*(7^2.5754)*7^-1.3704))*1000"/>
    <n v="11278.331427656227"/>
    <n v="11278.331427656227"/>
  </r>
  <r>
    <x v="1"/>
    <x v="21"/>
    <x v="1"/>
    <x v="0"/>
    <d v="2022-06-20T00:00:00"/>
    <x v="1"/>
    <x v="1"/>
    <s v="black_spruce"/>
    <n v="7"/>
    <n v="6.5"/>
    <s v="((0.0309*(X4^1.7527)*X2^1.0014)+(0.0115*(X4^1.7405)*X2^0.6589)+(0.038*(X4^3.2558)*X2^-1.4218)+(0.2048*(X4^2.5754)*X2^-1.3704))*1000"/>
    <s v="((0.0309*(6.5^1.7527)*7^1.0014)+(0.0115*(6.5^1.7405)*7^0.6589)+(0.038*(6.5^3.2558)*7^-1.4218)+(0.2048*(6.5^2.5754)*7^-1.3704))*1000"/>
    <n v="9669.7681770652416"/>
    <n v="9669.7681770652416"/>
  </r>
  <r>
    <x v="1"/>
    <x v="21"/>
    <x v="1"/>
    <x v="0"/>
    <d v="2022-06-20T00:00:00"/>
    <x v="1"/>
    <x v="1"/>
    <s v="black_spruce"/>
    <n v="8"/>
    <n v="8"/>
    <s v="((0.0309*(X4^1.7527)*X2^1.0014)+(0.0115*(X4^1.7405)*X2^0.6589)+(0.038*(X4^3.2558)*X2^-1.4218)+(0.2048*(X4^2.5754)*X2^-1.3704))*1000"/>
    <s v="((0.0309*(8^1.7527)*8^1.0014)+(0.0115*(8^1.7405)*8^0.6589)+(0.038*(8^3.2558)*8^-1.4218)+(0.2048*(8^2.5754)*8^-1.3704))*1000"/>
    <n v="15407.798662858504"/>
    <n v="15407.798662858504"/>
  </r>
  <r>
    <x v="1"/>
    <x v="21"/>
    <x v="1"/>
    <x v="0"/>
    <d v="2022-06-20T00:00:00"/>
    <x v="1"/>
    <x v="1"/>
    <s v="balsam_fir"/>
    <n v="10"/>
    <n v="16.5"/>
    <s v="((0.0294*(X4^1.8357)*X2^0.864)+(0.0053*(X4^2.0876)*X2^0.5842)+(0.0117*(X4^3.5097)*X2^-1.3006)+(0.1245*(X4^2.523)*X2^-1.123))*1000"/>
    <s v="((0.0294*(16.5^1.8357)*10^0.864)+(0.0053*(16.5^2.0876)*10^0.5842)+(0.0117*(16.5^3.5097)*10^-1.3006)+(0.1245*(16.5^2.523)*10^-1.123))*1000"/>
    <n v="66045.674434313187"/>
    <n v="66045.674434313187"/>
  </r>
  <r>
    <x v="1"/>
    <x v="21"/>
    <x v="0"/>
    <x v="0"/>
    <d v="2022-06-20T00:00:00"/>
    <x v="1"/>
    <x v="1"/>
    <s v="balsam_fir"/>
    <n v="14.8"/>
    <n v="40"/>
    <s v="((0.0294*(X4^1.8357)*X2^0.864)+(0.0053*(X4^2.0876)*X2^0.5842)+(0.0117*(X4^3.5097)*X2^-1.3006)+(0.1245*(X4^2.523)*X2^-1.123))*1000"/>
    <s v="((0.0294*(40^1.8357)*14.8^0.864)+(0.0053*(40^2.0876)*14.8^0.5842)+(0.0117*(40^3.5097)*14.8^-1.3006)+(0.1245*(40^2.523)*14.8^-1.123))*1000"/>
    <n v="533844.11033364269"/>
    <n v="533844.11033364269"/>
  </r>
  <r>
    <x v="1"/>
    <x v="21"/>
    <x v="0"/>
    <x v="0"/>
    <d v="2022-06-20T00:00:00"/>
    <x v="2"/>
    <x v="2"/>
    <s v="balsam_fir"/>
    <n v="12.4"/>
    <n v="26.75"/>
    <s v="((0.0294*(X4^1.8357)*X2^0.864)+(0.0053*(X4^2.0876)*X2^0.5842)+(0.0117*(X4^3.5097)*X2^-1.3006)+(0.1245*(X4^2.523)*X2^-1.123))*1000"/>
    <s v="((0.0294*(26.75^1.8357)*12.4^0.864)+(0.0053*(26.75^2.0876)*12.4^0.5842)+(0.0117*(26.75^3.5097)*12.4^-1.3006)+(0.1245*(26.75^2.523)*12.4^-1.123))*1000"/>
    <n v="204607.72216330009"/>
    <n v="204607.72216330009"/>
  </r>
  <r>
    <x v="1"/>
    <x v="21"/>
    <x v="1"/>
    <x v="0"/>
    <d v="2022-06-20T00:00:00"/>
    <x v="2"/>
    <x v="2"/>
    <s v="NA"/>
    <s v="N/A"/>
    <s v="N/A"/>
    <e v="#N/A"/>
    <e v="#N/A"/>
    <e v="#N/A"/>
    <n v="0"/>
  </r>
  <r>
    <x v="1"/>
    <x v="21"/>
    <x v="0"/>
    <x v="0"/>
    <d v="2022-06-20T00:00:00"/>
    <x v="3"/>
    <x v="3"/>
    <s v="balsam_fir"/>
    <n v="11.2"/>
    <n v="24"/>
    <s v="((0.0294*(X4^1.8357)*X2^0.864)+(0.0053*(X4^2.0876)*X2^0.5842)+(0.0117*(X4^3.5097)*X2^-1.3006)+(0.1245*(X4^2.523)*X2^-1.123))*1000"/>
    <s v="((0.0294*(24^1.8357)*11.2^0.864)+(0.0053*(24^2.0876)*11.2^0.5842)+(0.0117*(24^3.5097)*11.2^-1.3006)+(0.1245*(24^2.523)*11.2^-1.123))*1000"/>
    <n v="157913.28841046485"/>
    <n v="157913.28841046485"/>
  </r>
  <r>
    <x v="1"/>
    <x v="21"/>
    <x v="1"/>
    <x v="0"/>
    <d v="2022-06-20T00:00:00"/>
    <x v="3"/>
    <x v="3"/>
    <s v="NA"/>
    <s v="N/A"/>
    <s v="N/A"/>
    <e v="#N/A"/>
    <e v="#N/A"/>
    <e v="#N/A"/>
    <n v="0"/>
  </r>
  <r>
    <x v="1"/>
    <x v="22"/>
    <x v="2"/>
    <x v="0"/>
    <d v="2022-06-15T00:00:00"/>
    <x v="0"/>
    <x v="0"/>
    <s v="NA"/>
    <s v="NA"/>
    <s v="NA"/>
    <e v="#N/A"/>
    <e v="#N/A"/>
    <e v="#N/A"/>
    <n v="0"/>
  </r>
  <r>
    <x v="1"/>
    <x v="22"/>
    <x v="2"/>
    <x v="0"/>
    <d v="2022-06-15T00:00:00"/>
    <x v="1"/>
    <x v="1"/>
    <s v="NA"/>
    <s v="NA"/>
    <s v="NA"/>
    <e v="#N/A"/>
    <e v="#N/A"/>
    <e v="#N/A"/>
    <n v="0"/>
  </r>
  <r>
    <x v="1"/>
    <x v="22"/>
    <x v="2"/>
    <x v="0"/>
    <d v="2022-06-15T00:00:00"/>
    <x v="2"/>
    <x v="2"/>
    <s v="NA"/>
    <s v="NA"/>
    <s v="NA"/>
    <e v="#N/A"/>
    <e v="#N/A"/>
    <e v="#N/A"/>
    <n v="0"/>
  </r>
  <r>
    <x v="1"/>
    <x v="22"/>
    <x v="2"/>
    <x v="0"/>
    <d v="2022-06-15T00:00:00"/>
    <x v="3"/>
    <x v="3"/>
    <s v="NA"/>
    <s v="NA"/>
    <s v="NA"/>
    <e v="#N/A"/>
    <e v="#N/A"/>
    <e v="#N/A"/>
    <n v="0"/>
  </r>
  <r>
    <x v="1"/>
    <x v="23"/>
    <x v="2"/>
    <x v="0"/>
    <d v="2022-06-13T00:00:00"/>
    <x v="0"/>
    <x v="0"/>
    <s v="NA"/>
    <s v="NA"/>
    <s v="NA"/>
    <e v="#N/A"/>
    <e v="#N/A"/>
    <e v="#N/A"/>
    <n v="0"/>
  </r>
  <r>
    <x v="1"/>
    <x v="23"/>
    <x v="2"/>
    <x v="0"/>
    <d v="2022-06-13T00:00:00"/>
    <x v="1"/>
    <x v="1"/>
    <s v="NA"/>
    <s v="NA"/>
    <s v="NA"/>
    <e v="#N/A"/>
    <e v="#N/A"/>
    <e v="#N/A"/>
    <n v="0"/>
  </r>
  <r>
    <x v="1"/>
    <x v="23"/>
    <x v="2"/>
    <x v="0"/>
    <d v="2022-06-13T00:00:00"/>
    <x v="2"/>
    <x v="2"/>
    <s v="black_spruce"/>
    <n v="11.4"/>
    <n v="42.5"/>
    <s v="((0.0309*(X4^1.7527)*X2^1.0014)+(0.0115*(X4^1.7405)*X2^0.6589)+(0.038*(X4^3.2558)*X2^-1.4218)+(0.2048*(X4^2.5754)*X2^-1.3704))*1000"/>
    <s v="((0.0309*(42.5^1.7527)*11.4^1.0014)+(0.0115*(42.5^1.7405)*11.4^0.6589)+(0.038*(42.5^3.2558)*11.4^-1.4218)+(0.2048*(42.5^2.5754)*11.4^-1.3704))*1000"/>
    <n v="644773.28831218195"/>
    <n v="644773.28831218195"/>
  </r>
  <r>
    <x v="1"/>
    <x v="23"/>
    <x v="2"/>
    <x v="0"/>
    <d v="2022-06-13T00:00:00"/>
    <x v="3"/>
    <x v="3"/>
    <s v="NA"/>
    <s v="NA"/>
    <s v="NA"/>
    <e v="#N/A"/>
    <e v="#N/A"/>
    <e v="#N/A"/>
    <n v="0"/>
  </r>
  <r>
    <x v="1"/>
    <x v="24"/>
    <x v="0"/>
    <x v="2"/>
    <d v="2022-06-16T00:00:00"/>
    <x v="0"/>
    <x v="0"/>
    <s v="alder"/>
    <n v="3.25"/>
    <n v="2.2999999999999998"/>
    <s v="((0.0117*(X4^1.7757)*X2^1.2555)+(0.018*(X4^1.8131)*X2^0.5144)+(0.0112*(X4^3.0861)*X2^-0.7164)+(0.0617*(X4^1.8615)*X2^-0.5375))*1000"/>
    <s v="((0.0117*(2.3^1.7757)*3.25^1.2555)+(0.018*(2.3^1.8131)*3.25^0.5144)+(0.0112*(2.3^3.0861)*3.25^-0.7164)+(0.0617*(2.3^1.8615)*3.25^-0.5375))*1000"/>
    <n v="592.21933276093648"/>
    <n v="592.21933276093648"/>
  </r>
  <r>
    <x v="1"/>
    <x v="24"/>
    <x v="0"/>
    <x v="2"/>
    <d v="2022-06-16T00:00:00"/>
    <x v="0"/>
    <x v="0"/>
    <s v="trembling_aspen"/>
    <n v="4"/>
    <n v="3.4"/>
    <s v="((0.0117*(X4^1.7757)*X2^1.2555)+(0.018*(X4^1.8131)*X2^0.5144)+(0.0112*(X4^3.0861)*X2^-0.7164)+(0.0617*(X4^1.8615)*X2^-0.5375))*1000"/>
    <s v="((0.0117*(3.4^1.7757)*4^1.2555)+(0.018*(3.4^1.8131)*4^0.5144)+(0.0112*(3.4^3.0861)*4^-0.7164)+(0.0617*(3.4^1.8615)*4^-0.5375))*1000"/>
    <n v="1390.5968401049784"/>
    <n v="1390.5968401049784"/>
  </r>
  <r>
    <x v="1"/>
    <x v="24"/>
    <x v="0"/>
    <x v="2"/>
    <d v="2022-06-16T00:00:00"/>
    <x v="0"/>
    <x v="0"/>
    <s v="trembling_aspen"/>
    <n v="5.5"/>
    <n v="3.7"/>
    <s v="((0.0117*(X4^1.7757)*X2^1.2555)+(0.018*(X4^1.8131)*X2^0.5144)+(0.0112*(X4^3.0861)*X2^-0.7164)+(0.0617*(X4^1.8615)*X2^-0.5375))*1000"/>
    <s v="((0.0117*(3.7^1.7757)*5.5^1.2555)+(0.018*(3.7^1.8131)*5.5^0.5144)+(0.0112*(3.7^3.0861)*5.5^-0.7164)+(0.0617*(3.7^1.8615)*5.5^-0.5375))*1000"/>
    <n v="1948.3481730442991"/>
    <n v="1948.3481730442991"/>
  </r>
  <r>
    <x v="1"/>
    <x v="24"/>
    <x v="1"/>
    <x v="2"/>
    <d v="2022-06-16T00:00:00"/>
    <x v="0"/>
    <x v="0"/>
    <s v="NA"/>
    <s v="NA"/>
    <s v="NA"/>
    <e v="#N/A"/>
    <e v="#N/A"/>
    <e v="#N/A"/>
    <n v="0"/>
  </r>
  <r>
    <x v="1"/>
    <x v="24"/>
    <x v="0"/>
    <x v="2"/>
    <d v="2022-06-16T00:00:00"/>
    <x v="1"/>
    <x v="1"/>
    <s v="trembling_aspen"/>
    <n v="4.5"/>
    <n v="4.4000000000000004"/>
    <s v="((0.0117*(X4^1.7757)*X2^1.2555)+(0.018*(X4^1.8131)*X2^0.5144)+(0.0112*(X4^3.0861)*X2^-0.7164)+(0.0617*(X4^1.8615)*X2^-0.5375))*1000"/>
    <s v="((0.0117*(4.4^1.7757)*4.5^1.2555)+(0.018*(4.4^1.8131)*4.5^0.5144)+(0.0112*(4.4^3.0861)*4.5^-0.7164)+(0.0617*(4.4^1.8615)*4.5^-0.5375))*1000"/>
    <n v="2448.8507254329688"/>
    <n v="2448.8507254329688"/>
  </r>
  <r>
    <x v="1"/>
    <x v="24"/>
    <x v="1"/>
    <x v="2"/>
    <d v="2022-06-16T00:00:00"/>
    <x v="1"/>
    <x v="1"/>
    <s v="NA"/>
    <s v="NA"/>
    <s v="NA"/>
    <e v="#N/A"/>
    <e v="#N/A"/>
    <e v="#N/A"/>
    <n v="0"/>
  </r>
  <r>
    <x v="1"/>
    <x v="24"/>
    <x v="0"/>
    <x v="2"/>
    <d v="2022-06-16T00:00:00"/>
    <x v="2"/>
    <x v="2"/>
    <s v="trembling_aspen"/>
    <n v="4.3"/>
    <n v="4.7"/>
    <s v="((0.0117*(X4^1.7757)*X2^1.2555)+(0.018*(X4^1.8131)*X2^0.5144)+(0.0112*(X4^3.0861)*X2^-0.7164)+(0.0617*(X4^1.8615)*X2^-0.5375))*1000"/>
    <s v="((0.0117*(4.7^1.7757)*4.3^1.2555)+(0.018*(4.7^1.8131)*4.3^0.5144)+(0.0112*(4.7^3.0861)*4.3^-0.7164)+(0.0617*(4.7^1.8615)*4.3^-0.5375))*1000"/>
    <n v="2740.1508325896816"/>
    <n v="2740.1508325896816"/>
  </r>
  <r>
    <x v="1"/>
    <x v="24"/>
    <x v="1"/>
    <x v="2"/>
    <d v="2022-06-16T00:00:00"/>
    <x v="2"/>
    <x v="2"/>
    <s v="NA"/>
    <s v="NA"/>
    <s v="NA"/>
    <e v="#N/A"/>
    <e v="#N/A"/>
    <e v="#N/A"/>
    <n v="0"/>
  </r>
  <r>
    <x v="1"/>
    <x v="24"/>
    <x v="0"/>
    <x v="2"/>
    <d v="2022-06-16T00:00:00"/>
    <x v="3"/>
    <x v="3"/>
    <s v="trembling_aspen"/>
    <n v="3"/>
    <n v="3.5"/>
    <s v="((0.0117*(X4^1.7757)*X2^1.2555)+(0.018*(X4^1.8131)*X2^0.5144)+(0.0112*(X4^3.0861)*X2^-0.7164)+(0.0617*(X4^1.8615)*X2^-0.5375))*1000"/>
    <s v="((0.0117*(3.5^1.7757)*3^1.2555)+(0.018*(3.5^1.8131)*3^0.5144)+(0.0112*(3.5^3.0861)*3^-0.7164)+(0.0617*(3.5^1.8615)*3^-0.5375))*1000"/>
    <n v="1332.3920760430981"/>
    <n v="1332.3920760430981"/>
  </r>
  <r>
    <x v="1"/>
    <x v="24"/>
    <x v="1"/>
    <x v="2"/>
    <d v="2022-06-16T00:00:00"/>
    <x v="3"/>
    <x v="3"/>
    <s v="NA"/>
    <s v="NA"/>
    <s v="NA"/>
    <e v="#N/A"/>
    <e v="#N/A"/>
    <e v="#N/A"/>
    <n v="0"/>
  </r>
  <r>
    <x v="1"/>
    <x v="25"/>
    <x v="2"/>
    <x v="2"/>
    <d v="2022-06-17T00:00:00"/>
    <x v="0"/>
    <x v="0"/>
    <s v="NA"/>
    <s v="NA"/>
    <s v="NA"/>
    <e v="#N/A"/>
    <e v="#N/A"/>
    <e v="#N/A"/>
    <n v="0"/>
  </r>
  <r>
    <x v="1"/>
    <x v="25"/>
    <x v="2"/>
    <x v="2"/>
    <d v="2022-06-17T00:00:00"/>
    <x v="1"/>
    <x v="1"/>
    <s v="NA"/>
    <s v="NA"/>
    <s v="NA"/>
    <e v="#N/A"/>
    <e v="#N/A"/>
    <e v="#N/A"/>
    <n v="0"/>
  </r>
  <r>
    <x v="1"/>
    <x v="25"/>
    <x v="2"/>
    <x v="2"/>
    <d v="2022-06-17T00:00:00"/>
    <x v="2"/>
    <x v="2"/>
    <s v="NA"/>
    <s v="NA"/>
    <s v="NA"/>
    <e v="#N/A"/>
    <e v="#N/A"/>
    <e v="#N/A"/>
    <n v="0"/>
  </r>
  <r>
    <x v="1"/>
    <x v="25"/>
    <x v="2"/>
    <x v="2"/>
    <d v="2022-06-17T00:00:00"/>
    <x v="3"/>
    <x v="3"/>
    <s v="NA"/>
    <s v="NA"/>
    <s v="NA"/>
    <e v="#N/A"/>
    <e v="#N/A"/>
    <e v="#N/A"/>
    <n v="0"/>
  </r>
  <r>
    <x v="1"/>
    <x v="26"/>
    <x v="2"/>
    <x v="2"/>
    <d v="2022-06-15T00:00:00"/>
    <x v="0"/>
    <x v="0"/>
    <s v="NA"/>
    <s v="NA"/>
    <s v="NA"/>
    <e v="#N/A"/>
    <e v="#N/A"/>
    <e v="#N/A"/>
    <n v="0"/>
  </r>
  <r>
    <x v="1"/>
    <x v="26"/>
    <x v="2"/>
    <x v="2"/>
    <d v="2022-06-15T00:00:00"/>
    <x v="1"/>
    <x v="1"/>
    <s v="black_spruce"/>
    <n v="5"/>
    <n v="6.25"/>
    <s v="((0.0309*(X4^1.7527)*X2^1.0014)+(0.0115*(X4^1.7405)*X2^0.6589)+(0.038*(X4^3.2558)*X2^-1.4218)+(0.2048*(X4^2.5754)*X2^-1.3704))*1000"/>
    <s v="((0.0309*(6.25^1.7527)*5^1.0014)+(0.0115*(6.25^1.7405)*5^0.6589)+(0.038*(6.25^3.2558)*5^-1.4218)+(0.2048*(6.25^2.5754)*5^-1.3704))*1000"/>
    <n v="8684.9966238408633"/>
    <n v="8684.9966238408633"/>
  </r>
  <r>
    <x v="1"/>
    <x v="26"/>
    <x v="2"/>
    <x v="2"/>
    <d v="2022-06-15T00:00:00"/>
    <x v="2"/>
    <x v="2"/>
    <s v="NA"/>
    <s v="NA"/>
    <s v="NA"/>
    <e v="#N/A"/>
    <e v="#N/A"/>
    <e v="#N/A"/>
    <n v="0"/>
  </r>
  <r>
    <x v="1"/>
    <x v="26"/>
    <x v="2"/>
    <x v="2"/>
    <d v="2022-06-15T00:00:00"/>
    <x v="3"/>
    <x v="3"/>
    <s v="NA"/>
    <s v="NA"/>
    <s v="NA"/>
    <e v="#N/A"/>
    <e v="#N/A"/>
    <e v="#N/A"/>
    <n v="0"/>
  </r>
  <r>
    <x v="1"/>
    <x v="27"/>
    <x v="2"/>
    <x v="2"/>
    <d v="2022-06-17T00:00:00"/>
    <x v="0"/>
    <x v="0"/>
    <s v="black_spruce"/>
    <n v="3.5"/>
    <n v="6"/>
    <s v="((0.0309*(X4^1.7527)*X2^1.0014)+(0.0115*(X4^1.7405)*X2^0.6589)+(0.038*(X4^3.2558)*X2^-1.4218)+(0.2048*(X4^2.5754)*X2^-1.3704))*1000"/>
    <s v="((0.0309*(6^1.7527)*3.5^1.0014)+(0.0115*(6^1.7405)*3.5^0.6589)+(0.038*(6^3.2558)*3.5^-1.4218)+(0.2048*(6^2.5754)*3.5^-1.3704))*1000"/>
    <n v="8997.7678177970902"/>
    <n v="8997.7678177970902"/>
  </r>
  <r>
    <x v="1"/>
    <x v="27"/>
    <x v="2"/>
    <x v="2"/>
    <d v="2022-06-17T00:00:00"/>
    <x v="1"/>
    <x v="1"/>
    <s v="NA"/>
    <s v="NA"/>
    <s v="NA"/>
    <e v="#N/A"/>
    <e v="#N/A"/>
    <e v="#N/A"/>
    <n v="0"/>
  </r>
  <r>
    <x v="1"/>
    <x v="27"/>
    <x v="2"/>
    <x v="2"/>
    <d v="2022-06-17T00:00:00"/>
    <x v="2"/>
    <x v="2"/>
    <s v="black_spruce"/>
    <n v="3"/>
    <n v="5"/>
    <s v="((0.0309*(X4^1.7527)*X2^1.0014)+(0.0115*(X4^1.7405)*X2^0.6589)+(0.038*(X4^3.2558)*X2^-1.4218)+(0.2048*(X4^2.5754)*X2^-1.3704))*1000"/>
    <s v="((0.0309*(5^1.7527)*3^1.0014)+(0.0115*(5^1.7405)*3^0.6589)+(0.038*(5^3.2558)*3^-1.4218)+(0.2048*(5^2.5754)*3^-1.3704))*1000"/>
    <n v="6321.2195581925989"/>
    <n v="6321.2195581925989"/>
  </r>
  <r>
    <x v="1"/>
    <x v="27"/>
    <x v="2"/>
    <x v="2"/>
    <d v="2022-06-17T00:00:00"/>
    <x v="3"/>
    <x v="3"/>
    <s v="black_spruce"/>
    <n v="8"/>
    <n v="24"/>
    <s v="((0.0309*(X4^1.7527)*X2^1.0014)+(0.0115*(X4^1.7405)*X2^0.6589)+(0.038*(X4^3.2558)*X2^-1.4218)+(0.2048*(X4^2.5754)*X2^-1.3704))*1000"/>
    <s v="((0.0309*(24^1.7527)*8^1.0014)+(0.0115*(24^1.7405)*8^0.6589)+(0.038*(24^3.2558)*8^-1.4218)+(0.2048*(24^2.5754)*8^-1.3704))*1000"/>
    <n v="180580.59563940222"/>
    <n v="180580.59563940222"/>
  </r>
  <r>
    <x v="1"/>
    <x v="28"/>
    <x v="2"/>
    <x v="2"/>
    <d v="2022-06-15T00:00:00"/>
    <x v="0"/>
    <x v="0"/>
    <s v="NA"/>
    <s v="NA"/>
    <s v="NA"/>
    <e v="#N/A"/>
    <e v="#N/A"/>
    <e v="#N/A"/>
    <n v="0"/>
  </r>
  <r>
    <x v="1"/>
    <x v="28"/>
    <x v="2"/>
    <x v="2"/>
    <d v="2022-06-15T00:00:00"/>
    <x v="1"/>
    <x v="1"/>
    <s v="NA"/>
    <s v="NA"/>
    <s v="NA"/>
    <e v="#N/A"/>
    <e v="#N/A"/>
    <e v="#N/A"/>
    <n v="0"/>
  </r>
  <r>
    <x v="1"/>
    <x v="28"/>
    <x v="2"/>
    <x v="2"/>
    <d v="2022-06-15T00:00:00"/>
    <x v="2"/>
    <x v="2"/>
    <s v="NA"/>
    <s v="NA"/>
    <s v="NA"/>
    <e v="#N/A"/>
    <e v="#N/A"/>
    <e v="#N/A"/>
    <n v="0"/>
  </r>
  <r>
    <x v="1"/>
    <x v="28"/>
    <x v="2"/>
    <x v="2"/>
    <d v="2022-06-15T00:00:00"/>
    <x v="3"/>
    <x v="3"/>
    <s v="NA"/>
    <s v="NA"/>
    <s v="NA"/>
    <e v="#N/A"/>
    <e v="#N/A"/>
    <e v="#N/A"/>
    <n v="0"/>
  </r>
  <r>
    <x v="1"/>
    <x v="29"/>
    <x v="2"/>
    <x v="2"/>
    <d v="2022-06-15T00:00:00"/>
    <x v="0"/>
    <x v="0"/>
    <s v="NA"/>
    <s v="NA"/>
    <s v="NA"/>
    <e v="#N/A"/>
    <e v="#N/A"/>
    <e v="#N/A"/>
    <n v="0"/>
  </r>
  <r>
    <x v="1"/>
    <x v="29"/>
    <x v="2"/>
    <x v="2"/>
    <d v="2022-06-15T00:00:00"/>
    <x v="1"/>
    <x v="1"/>
    <s v="NA"/>
    <s v="NA"/>
    <s v="NA"/>
    <e v="#N/A"/>
    <e v="#N/A"/>
    <e v="#N/A"/>
    <n v="0"/>
  </r>
  <r>
    <x v="1"/>
    <x v="29"/>
    <x v="2"/>
    <x v="2"/>
    <d v="2022-06-15T00:00:00"/>
    <x v="2"/>
    <x v="2"/>
    <s v="NA"/>
    <s v="NA"/>
    <s v="NA"/>
    <e v="#N/A"/>
    <e v="#N/A"/>
    <e v="#N/A"/>
    <n v="0"/>
  </r>
  <r>
    <x v="1"/>
    <x v="29"/>
    <x v="2"/>
    <x v="2"/>
    <d v="2022-06-15T00:00:00"/>
    <x v="3"/>
    <x v="3"/>
    <s v="NA"/>
    <s v="NA"/>
    <s v="NA"/>
    <e v="#N/A"/>
    <e v="#N/A"/>
    <e v="#N/A"/>
    <n v="0"/>
  </r>
  <r>
    <x v="1"/>
    <x v="30"/>
    <x v="0"/>
    <x v="1"/>
    <d v="2022-06-21T00:00:00"/>
    <x v="0"/>
    <x v="0"/>
    <s v="balsam_fir"/>
    <n v="12"/>
    <n v="36"/>
    <s v="((0.0294*(X4^1.8357)*X2^0.864)+(0.0053*(X4^2.0876)*X2^0.5842)+(0.0117*(X4^3.5097)*X2^-1.3006)+(0.1245*(X4^2.523)*X2^-1.123))*1000"/>
    <s v="((0.0294*(36^1.8357)*12^0.864)+(0.0053*(36^2.0876)*12^0.5842)+(0.0117*(36^3.5097)*12^-1.3006)+(0.1245*(36^2.523)*12^-1.123))*1000"/>
    <n v="419571.34861705452"/>
    <n v="419571.34861705452"/>
  </r>
  <r>
    <x v="1"/>
    <x v="30"/>
    <x v="1"/>
    <x v="1"/>
    <d v="2022-06-21T00:00:00"/>
    <x v="0"/>
    <x v="0"/>
    <s v="balsam_fir"/>
    <n v="14.2"/>
    <n v="31"/>
    <s v="((0.0294*(X4^1.8357)*X2^0.864)+(0.0053*(X4^2.0876)*X2^0.5842)+(0.0117*(X4^3.5097)*X2^-1.3006)+(0.1245*(X4^2.523)*X2^-1.123))*1000"/>
    <s v="((0.0294*(31^1.8357)*14.2^0.864)+(0.0053*(31^2.0876)*14.2^0.5842)+(0.0117*(31^3.5097)*14.2^-1.3006)+(0.1245*(31^2.523)*14.2^-1.123))*1000"/>
    <n v="291774.99295581924"/>
    <n v="291774.99295581924"/>
  </r>
  <r>
    <x v="1"/>
    <x v="30"/>
    <x v="0"/>
    <x v="1"/>
    <d v="2022-06-21T00:00:00"/>
    <x v="1"/>
    <x v="1"/>
    <s v="white_birch"/>
    <n v="4.5"/>
    <n v="2.5"/>
    <s v="((0.0259*(X4^1.9044)*X2^0.9715)+(0.0069*(X4^2.0834)*X2^0.5371)+(0.0325*(X4^2.3851)*X2^0)+(0.1683*(X4^1.2764)*X2^0))*1000"/>
    <s v="((0.0259*(2.5^1.9044)*4.5^0.9715)+(0.0069*(2.5^2.0834)*4.5^0.5371)+(0.0325*(2.5^2.3851)*4.5^0)+(0.1683*(2.5^1.2764)*4.5^0))*1000"/>
    <n v="1574.8489206895194"/>
    <n v="1574.8489206895194"/>
  </r>
  <r>
    <x v="1"/>
    <x v="30"/>
    <x v="0"/>
    <x v="1"/>
    <d v="2022-06-21T00:00:00"/>
    <x v="1"/>
    <x v="1"/>
    <s v="white_birch"/>
    <n v="5"/>
    <n v="3"/>
    <s v="((0.0259*(X4^1.9044)*X2^0.9715)+(0.0069*(X4^2.0834)*X2^0.5371)+(0.0325*(X4^2.3851)*X2^0)+(0.1683*(X4^1.2764)*X2^0))*1000"/>
    <s v="((0.0259*(3^1.9044)*5^0.9715)+(0.0069*(3^2.0834)*5^0.5371)+(0.0325*(3^2.3851)*5^0)+(0.1683*(3^1.2764)*5^0))*1000"/>
    <n v="2294.38925910938"/>
    <n v="2294.38925910938"/>
  </r>
  <r>
    <x v="1"/>
    <x v="30"/>
    <x v="0"/>
    <x v="1"/>
    <d v="2022-06-21T00:00:00"/>
    <x v="1"/>
    <x v="1"/>
    <s v="white_birch"/>
    <n v="5"/>
    <n v="3.5"/>
    <s v="((0.0259*(X4^1.9044)*X2^0.9715)+(0.0069*(X4^2.0834)*X2^0.5371)+(0.0325*(X4^2.3851)*X2^0)+(0.1683*(X4^1.2764)*X2^0))*1000"/>
    <s v="((0.0259*(3.5^1.9044)*5^0.9715)+(0.0069*(3.5^2.0834)*5^0.5371)+(0.0325*(3.5^2.3851)*5^0)+(0.1683*(3.5^1.2764)*5^0))*1000"/>
    <n v="3044.710467821435"/>
    <n v="3044.710467821435"/>
  </r>
  <r>
    <x v="1"/>
    <x v="30"/>
    <x v="0"/>
    <x v="1"/>
    <d v="2022-06-21T00:00:00"/>
    <x v="1"/>
    <x v="1"/>
    <s v="trembling_aspen"/>
    <n v="5.5"/>
    <n v="3.5"/>
    <s v="((0.0117*(X4^1.7757)*X2^1.2555)+(0.018*(X4^1.8131)*X2^0.5144)+(0.0112*(X4^3.0861)*X2^-0.7164)+(0.0617*(X4^1.8615)*X2^-0.5375))*1000"/>
    <s v="((0.0117*(3.5^1.7757)*5.5^1.2555)+(0.018*(3.5^1.8131)*5.5^0.5144)+(0.0112*(3.5^3.0861)*5.5^-0.7164)+(0.0617*(3.5^1.8615)*5.5^-0.5375))*1000"/>
    <n v="1751.2749001855593"/>
    <n v="1751.2749001855593"/>
  </r>
  <r>
    <x v="1"/>
    <x v="30"/>
    <x v="0"/>
    <x v="1"/>
    <d v="2022-06-21T00:00:00"/>
    <x v="1"/>
    <x v="1"/>
    <s v="balsam_fir"/>
    <n v="7.5"/>
    <n v="15"/>
    <s v="((0.0294*(X4^1.8357)*X2^0.864)+(0.0053*(X4^2.0876)*X2^0.5842)+(0.0117*(X4^3.5097)*X2^-1.3006)+(0.1245*(X4^2.523)*X2^-1.123))*1000"/>
    <s v="((0.0294*(15^1.8357)*7.5^0.864)+(0.0053*(15^2.0876)*7.5^0.5842)+(0.0117*(15^3.5097)*7.5^-1.3006)+(0.1245*(15^2.523)*7.5^-1.123))*1000"/>
    <n v="52519.347454858835"/>
    <n v="52519.347454858835"/>
  </r>
  <r>
    <x v="1"/>
    <x v="30"/>
    <x v="0"/>
    <x v="1"/>
    <d v="2022-06-21T00:00:00"/>
    <x v="1"/>
    <x v="1"/>
    <s v="balsam_fir"/>
    <n v="9"/>
    <n v="29.5"/>
    <s v="((0.0294*(X4^1.8357)*X2^0.864)+(0.0053*(X4^2.0876)*X2^0.5842)+(0.0117*(X4^3.5097)*X2^-1.3006)+(0.1245*(X4^2.523)*X2^-1.123))*1000"/>
    <s v="((0.0294*(29.5^1.8357)*9^0.864)+(0.0053*(29.5^2.0876)*9^0.5842)+(0.0117*(29.5^3.5097)*9^-1.3006)+(0.1245*(29.5^2.523)*9^-1.123))*1000"/>
    <n v="271044.57214944815"/>
    <n v="271044.57214944815"/>
  </r>
  <r>
    <x v="1"/>
    <x v="30"/>
    <x v="0"/>
    <x v="1"/>
    <d v="2022-06-21T00:00:00"/>
    <x v="1"/>
    <x v="1"/>
    <s v="balsam_fir"/>
    <n v="10.5"/>
    <n v="25.5"/>
    <s v="((0.0294*(X4^1.8357)*X2^0.864)+(0.0053*(X4^2.0876)*X2^0.5842)+(0.0117*(X4^3.5097)*X2^-1.3006)+(0.1245*(X4^2.523)*X2^-1.123))*1000"/>
    <s v="((0.0294*(25.5^1.8357)*10.5^0.864)+(0.0053*(25.5^2.0876)*10.5^0.5842)+(0.0117*(25.5^3.5097)*10.5^-1.3006)+(0.1245*(25.5^2.523)*10.5^-1.123))*1000"/>
    <n v="182606.8043364849"/>
    <n v="182606.8043364849"/>
  </r>
  <r>
    <x v="1"/>
    <x v="30"/>
    <x v="1"/>
    <x v="1"/>
    <d v="2022-06-21T00:00:00"/>
    <x v="1"/>
    <x v="1"/>
    <s v="NA"/>
    <s v="NA"/>
    <s v="NA"/>
    <e v="#N/A"/>
    <e v="#N/A"/>
    <e v="#N/A"/>
    <n v="0"/>
  </r>
  <r>
    <x v="1"/>
    <x v="30"/>
    <x v="0"/>
    <x v="1"/>
    <d v="2022-06-21T00:00:00"/>
    <x v="2"/>
    <x v="2"/>
    <s v="black_spruce"/>
    <n v="10"/>
    <n v="33.75"/>
    <s v="((0.0309*(X4^1.7527)*X2^1.0014)+(0.0115*(X4^1.7405)*X2^0.6589)+(0.038*(X4^3.2558)*X2^-1.4218)+(0.2048*(X4^2.5754)*X2^-1.3704))*1000"/>
    <s v="((0.0309*(33.75^1.7527)*10^1.0014)+(0.0115*(33.75^1.7405)*10^0.6589)+(0.038*(33.75^3.2558)*10^-1.4218)+(0.2048*(33.75^2.5754)*10^-1.3704))*1000"/>
    <n v="383233.5494778452"/>
    <n v="383233.5494778452"/>
  </r>
  <r>
    <x v="1"/>
    <x v="30"/>
    <x v="1"/>
    <x v="1"/>
    <d v="2022-06-21T00:00:00"/>
    <x v="2"/>
    <x v="2"/>
    <s v="NA"/>
    <s v="NA"/>
    <s v="NA"/>
    <e v="#N/A"/>
    <e v="#N/A"/>
    <e v="#N/A"/>
    <n v="0"/>
  </r>
  <r>
    <x v="1"/>
    <x v="30"/>
    <x v="0"/>
    <x v="1"/>
    <d v="2022-06-21T00:00:00"/>
    <x v="3"/>
    <x v="3"/>
    <s v="trembling_aspen"/>
    <n v="3.34"/>
    <n v="3.75"/>
    <s v="((0.0117*(X4^1.7757)*X2^1.2555)+(0.018*(X4^1.8131)*X2^0.5144)+(0.0112*(X4^3.0861)*X2^-0.7164)+(0.0617*(X4^1.8615)*X2^-0.5375))*1000"/>
    <s v="((0.0117*(3.75^1.7757)*3.34^1.2555)+(0.018*(3.75^1.8131)*3.34^0.5144)+(0.0112*(3.75^3.0861)*3.34^-0.7164)+(0.0617*(3.75^1.8615)*3.34^-0.5375))*1000"/>
    <n v="1580.4599944082231"/>
    <n v="1580.4599944082231"/>
  </r>
  <r>
    <x v="1"/>
    <x v="30"/>
    <x v="0"/>
    <x v="1"/>
    <d v="2022-06-21T00:00:00"/>
    <x v="3"/>
    <x v="3"/>
    <s v="mountain_maple"/>
    <n v="3.84"/>
    <n v="2.75"/>
    <s v="((0.0315*(X4^2.0342)*X2^0.7485)+(0.0283*(X4^2.0907)*X2^0)+(0.0225*(X4^2.4106)*X2^0)+(0.0571*(X4^1.4898)*X2^0))*1000"/>
    <s v="((0.0315*(2.75^2.0342)*3.84^0.7485)+(0.0283*(2.75^2.0907)*3.84^0)+(0.0225*(2.75^2.4106)*3.84^0)+(0.0571*(2.75^1.4898)*3.84^0))*1000"/>
    <n v="1425.188909051451"/>
    <n v="1425.188909051451"/>
  </r>
  <r>
    <x v="1"/>
    <x v="30"/>
    <x v="1"/>
    <x v="1"/>
    <d v="2022-06-21T00:00:00"/>
    <x v="3"/>
    <x v="3"/>
    <s v="balsam_fir"/>
    <n v="9.5"/>
    <n v="13.5"/>
    <s v="((0.0294*(X4^1.8357)*X2^0.864)+(0.0053*(X4^2.0876)*X2^0.5842)+(0.0117*(X4^3.5097)*X2^-1.3006)+(0.1245*(X4^2.523)*X2^-1.123))*1000"/>
    <s v="((0.0294*(13.5^1.8357)*9.5^0.864)+(0.0053*(13.5^2.0876)*9.5^0.5842)+(0.0117*(13.5^3.5097)*9.5^-1.3006)+(0.1245*(13.5^2.523)*9.5^-1.123))*1000"/>
    <n v="41824.422071263092"/>
    <n v="41824.422071263092"/>
  </r>
  <r>
    <x v="1"/>
    <x v="30"/>
    <x v="1"/>
    <x v="1"/>
    <d v="2022-06-21T00:00:00"/>
    <x v="3"/>
    <x v="3"/>
    <s v="balsam_fir"/>
    <n v="13.5"/>
    <n v="31"/>
    <s v="((0.0294*(X4^1.8357)*X2^0.864)+(0.0053*(X4^2.0876)*X2^0.5842)+(0.0117*(X4^3.5097)*X2^-1.3006)+(0.1245*(X4^2.523)*X2^-1.123))*1000"/>
    <s v="((0.0294*(31^1.8357)*13.5^0.864)+(0.0053*(31^2.0876)*13.5^0.5842)+(0.0117*(31^3.5097)*13.5^-1.3006)+(0.1245*(31^2.523)*13.5^-1.123))*1000"/>
    <n v="290497.71318500646"/>
    <n v="290497.71318500646"/>
  </r>
  <r>
    <x v="1"/>
    <x v="30"/>
    <x v="0"/>
    <x v="1"/>
    <d v="2022-06-21T00:00:00"/>
    <x v="3"/>
    <x v="3"/>
    <s v="balsam_fir"/>
    <n v="15"/>
    <n v="30"/>
    <s v="((0.0294*(X4^1.8357)*X2^0.864)+(0.0053*(X4^2.0876)*X2^0.5842)+(0.0117*(X4^3.5097)*X2^-1.3006)+(0.1245*(X4^2.523)*X2^-1.123))*1000"/>
    <s v="((0.0294*(30^1.8357)*15^0.864)+(0.0053*(30^2.0876)*15^0.5842)+(0.0117*(30^3.5097)*15^-1.3006)+(0.1245*(30^2.523)*15^-1.123))*1000"/>
    <n v="272843.05391861731"/>
    <n v="272843.05391861731"/>
  </r>
  <r>
    <x v="1"/>
    <x v="31"/>
    <x v="2"/>
    <x v="1"/>
    <d v="2022-06-13T00:00:00"/>
    <x v="0"/>
    <x v="0"/>
    <s v="black_spruce"/>
    <n v="11.4"/>
    <n v="31.75"/>
    <s v="((0.0309*(X4^1.7527)*X2^1.0014)+(0.0115*(X4^1.7405)*X2^0.6589)+(0.038*(X4^3.2558)*X2^-1.4218)+(0.2048*(X4^2.5754)*X2^-1.3704))*1000"/>
    <s v="((0.0309*(31.75^1.7527)*11.4^1.0014)+(0.0115*(31.75^1.7405)*11.4^0.6589)+(0.038*(31.75^3.2558)*11.4^-1.4218)+(0.2048*(31.75^2.5754)*11.4^-1.3704))*1000"/>
    <n v="321338.68512488797"/>
    <n v="321338.68512488797"/>
  </r>
  <r>
    <x v="1"/>
    <x v="31"/>
    <x v="2"/>
    <x v="1"/>
    <d v="2022-06-13T00:00:00"/>
    <x v="0"/>
    <x v="0"/>
    <s v="black_spruce"/>
    <n v="14.4"/>
    <n v="33.5"/>
    <s v="((0.0309*(X4^1.7527)*X2^1.0014)+(0.0115*(X4^1.7405)*X2^0.6589)+(0.038*(X4^3.2558)*X2^-1.4218)+(0.2048*(X4^2.5754)*X2^-1.3704))*1000"/>
    <s v="((0.0309*(33.5^1.7527)*14.4^1.0014)+(0.0115*(33.5^1.7405)*14.4^0.6589)+(0.038*(33.5^3.2558)*14.4^-1.4218)+(0.2048*(33.5^2.5754)*14.4^-1.3704))*1000"/>
    <n v="364307.94356826058"/>
    <n v="364307.94356826058"/>
  </r>
  <r>
    <x v="1"/>
    <x v="31"/>
    <x v="2"/>
    <x v="1"/>
    <d v="2022-06-13T00:00:00"/>
    <x v="1"/>
    <x v="1"/>
    <s v="black_spruce"/>
    <n v="8.5"/>
    <n v="28"/>
    <s v="((0.0309*(X4^1.7527)*X2^1.0014)+(0.0115*(X4^1.7405)*X2^0.6589)+(0.038*(X4^3.2558)*X2^-1.4218)+(0.2048*(X4^2.5754)*X2^-1.3704))*1000"/>
    <s v="((0.0309*(28^1.7527)*8.5^1.0014)+(0.0115*(28^1.7405)*8.5^0.6589)+(0.038*(28^3.2558)*8.5^-1.4218)+(0.2048*(28^2.5754)*8.5^-1.3704))*1000"/>
    <n v="257641.08377040664"/>
    <n v="257641.08377040664"/>
  </r>
  <r>
    <x v="1"/>
    <x v="31"/>
    <x v="2"/>
    <x v="1"/>
    <d v="2022-06-13T00:00:00"/>
    <x v="1"/>
    <x v="1"/>
    <s v="black_spruce"/>
    <n v="8.6"/>
    <n v="29.5"/>
    <s v="((0.0309*(X4^1.7527)*X2^1.0014)+(0.0115*(X4^1.7405)*X2^0.6589)+(0.038*(X4^3.2558)*X2^-1.4218)+(0.2048*(X4^2.5754)*X2^-1.3704))*1000"/>
    <s v="((0.0309*(29.5^1.7527)*8.6^1.0014)+(0.0115*(29.5^1.7405)*8.6^0.6589)+(0.038*(29.5^3.2558)*8.6^-1.4218)+(0.2048*(29.5^2.5754)*8.6^-1.3704))*1000"/>
    <n v="291866.80542808276"/>
    <n v="291866.80542808276"/>
  </r>
  <r>
    <x v="1"/>
    <x v="31"/>
    <x v="2"/>
    <x v="1"/>
    <d v="2022-06-13T00:00:00"/>
    <x v="1"/>
    <x v="1"/>
    <s v="black_spruce"/>
    <n v="9.9"/>
    <n v="48.1"/>
    <s v="((0.0309*(X4^1.7527)*X2^1.0014)+(0.0115*(X4^1.7405)*X2^0.6589)+(0.038*(X4^3.2558)*X2^-1.4218)+(0.2048*(X4^2.5754)*X2^-1.3704))*1000"/>
    <s v="((0.0309*(48.1^1.7527)*9.9^1.0014)+(0.0115*(48.1^1.7405)*9.9^0.6589)+(0.038*(48.1^3.2558)*9.9^-1.4218)+(0.2048*(48.1^2.5754)*9.9^-1.3704))*1000"/>
    <n v="944147.51163495728"/>
    <n v="944147.51163495728"/>
  </r>
  <r>
    <x v="1"/>
    <x v="31"/>
    <x v="2"/>
    <x v="1"/>
    <d v="2022-06-13T00:00:00"/>
    <x v="2"/>
    <x v="2"/>
    <s v="black_spruce"/>
    <n v="9.1999999999999993"/>
    <n v="46"/>
    <s v="((0.0309*(X4^1.7527)*X2^1.0014)+(0.0115*(X4^1.7405)*X2^0.6589)+(0.038*(X4^3.2558)*X2^-1.4218)+(0.2048*(X4^2.5754)*X2^-1.3704))*1000"/>
    <s v="((0.0309*(46^1.7527)*9.2^1.0014)+(0.0115*(46^1.7405)*9.2^0.6589)+(0.038*(46^3.2558)*9.2^-1.4218)+(0.2048*(46^2.5754)*9.2^-1.3704))*1000"/>
    <n v="880244.89877627161"/>
    <n v="880244.89877627161"/>
  </r>
  <r>
    <x v="1"/>
    <x v="31"/>
    <x v="2"/>
    <x v="1"/>
    <d v="2022-06-13T00:00:00"/>
    <x v="3"/>
    <x v="3"/>
    <s v="NA"/>
    <s v="NA"/>
    <s v="NA"/>
    <e v="#N/A"/>
    <e v="#N/A"/>
    <e v="#N/A"/>
    <n v="0"/>
  </r>
  <r>
    <x v="1"/>
    <x v="32"/>
    <x v="2"/>
    <x v="1"/>
    <d v="2022-06-13T00:00:00"/>
    <x v="0"/>
    <x v="0"/>
    <s v="NA"/>
    <s v="NA"/>
    <s v="NA"/>
    <e v="#N/A"/>
    <e v="#N/A"/>
    <e v="#N/A"/>
    <n v="0"/>
  </r>
  <r>
    <x v="1"/>
    <x v="32"/>
    <x v="2"/>
    <x v="1"/>
    <d v="2022-06-13T00:00:00"/>
    <x v="1"/>
    <x v="1"/>
    <s v="balsam_fir"/>
    <n v="8.3000000000000007"/>
    <n v="13.5"/>
    <s v="((0.0294*(X4^1.8357)*X2^0.864)+(0.0053*(X4^2.0876)*X2^0.5842)+(0.0117*(X4^3.5097)*X2^-1.3006)+(0.1245*(X4^2.523)*X2^-1.123))*1000"/>
    <s v="((0.0294*(13.5^1.8357)*8.3^0.864)+(0.0053*(13.5^2.0876)*8.3^0.5842)+(0.0117*(13.5^3.5097)*8.3^-1.3006)+(0.1245*(13.5^2.523)*8.3^-1.123))*1000"/>
    <n v="41061.314604189152"/>
    <n v="41061.314604189152"/>
  </r>
  <r>
    <x v="1"/>
    <x v="32"/>
    <x v="2"/>
    <x v="1"/>
    <d v="2022-06-13T00:00:00"/>
    <x v="1"/>
    <x v="1"/>
    <s v="black_spruce"/>
    <n v="11.4"/>
    <n v="21"/>
    <s v="((0.0309*(X4^1.7527)*X2^1.0014)+(0.0115*(X4^1.7405)*X2^0.6589)+(0.038*(X4^3.2558)*X2^-1.4218)+(0.2048*(X4^2.5754)*X2^-1.3704))*1000"/>
    <s v="((0.0309*(21^1.7527)*11.4^1.0014)+(0.0115*(21^1.7405)*11.4^0.6589)+(0.038*(21^3.2558)*11.4^-1.4218)+(0.2048*(21^2.5754)*11.4^-1.3704))*1000"/>
    <n v="127496.92416896607"/>
    <n v="127496.92416896607"/>
  </r>
  <r>
    <x v="1"/>
    <x v="32"/>
    <x v="2"/>
    <x v="1"/>
    <d v="2022-06-13T00:00:00"/>
    <x v="2"/>
    <x v="2"/>
    <s v="NA"/>
    <s v="NA"/>
    <s v="NA"/>
    <e v="#N/A"/>
    <e v="#N/A"/>
    <e v="#N/A"/>
    <n v="0"/>
  </r>
  <r>
    <x v="1"/>
    <x v="32"/>
    <x v="2"/>
    <x v="1"/>
    <d v="2022-06-13T00:00:00"/>
    <x v="3"/>
    <x v="3"/>
    <s v="balsam_fir"/>
    <n v="11"/>
    <n v="28.5"/>
    <s v="((0.0294*(X4^1.8357)*X2^0.864)+(0.0053*(X4^2.0876)*X2^0.5842)+(0.0117*(X4^3.5097)*X2^-1.3006)+(0.1245*(X4^2.523)*X2^-1.123))*1000"/>
    <s v="((0.0294*(28.5^1.8357)*11^0.864)+(0.0053*(28.5^2.0876)*11^0.5842)+(0.0117*(28.5^3.5097)*11^-1.3006)+(0.1245*(28.5^2.523)*11^-1.123))*1000"/>
    <n v="238279.74147537648"/>
    <n v="238279.74147537648"/>
  </r>
  <r>
    <x v="1"/>
    <x v="33"/>
    <x v="0"/>
    <x v="1"/>
    <d v="2022-06-20T00:00:00"/>
    <x v="0"/>
    <x v="0"/>
    <s v="NA"/>
    <s v="N/A"/>
    <s v="N/A"/>
    <e v="#N/A"/>
    <e v="#N/A"/>
    <e v="#N/A"/>
    <n v="0"/>
  </r>
  <r>
    <x v="1"/>
    <x v="33"/>
    <x v="1"/>
    <x v="1"/>
    <d v="2022-06-20T00:00:00"/>
    <x v="0"/>
    <x v="0"/>
    <s v="NA"/>
    <s v="NA"/>
    <s v="NA"/>
    <e v="#N/A"/>
    <e v="#N/A"/>
    <e v="#N/A"/>
    <n v="0"/>
  </r>
  <r>
    <x v="1"/>
    <x v="33"/>
    <x v="0"/>
    <x v="1"/>
    <d v="2022-06-20T00:00:00"/>
    <x v="1"/>
    <x v="1"/>
    <s v="NA"/>
    <s v="N/A"/>
    <s v="N/A"/>
    <e v="#N/A"/>
    <e v="#N/A"/>
    <e v="#N/A"/>
    <n v="0"/>
  </r>
  <r>
    <x v="1"/>
    <x v="33"/>
    <x v="1"/>
    <x v="1"/>
    <d v="2022-06-20T00:00:00"/>
    <x v="1"/>
    <x v="1"/>
    <s v="NA"/>
    <s v="NA"/>
    <s v="NA"/>
    <e v="#N/A"/>
    <e v="#N/A"/>
    <e v="#N/A"/>
    <n v="0"/>
  </r>
  <r>
    <x v="1"/>
    <x v="33"/>
    <x v="1"/>
    <x v="1"/>
    <d v="2022-06-20T00:00:00"/>
    <x v="2"/>
    <x v="2"/>
    <s v="balsam_fir"/>
    <n v="3.3"/>
    <n v="3.8"/>
    <s v="((0.0294*(X4^1.8357)*X2^0.864)+(0.0053*(X4^2.0876)*X2^0.5842)+(0.0117*(X4^3.5097)*X2^-1.3006)+(0.1245*(X4^2.523)*X2^-1.123))*1000"/>
    <s v="((0.0294*(3.8^1.8357)*3.3^0.864)+(0.0053*(3.8^2.0876)*3.3^0.5842)+(0.0117*(3.8^3.5097)*3.3^-1.3006)+(0.1245*(3.8^2.523)*3.3^-1.123))*1000"/>
    <n v="2343.0849761226855"/>
    <n v="2343.0849761226855"/>
  </r>
  <r>
    <x v="1"/>
    <x v="33"/>
    <x v="0"/>
    <x v="1"/>
    <d v="2022-06-20T00:00:00"/>
    <x v="2"/>
    <x v="2"/>
    <s v="balsam_fir"/>
    <n v="3.9"/>
    <n v="6.8"/>
    <s v="((0.0294*(X4^1.8357)*X2^0.864)+(0.0053*(X4^2.0876)*X2^0.5842)+(0.0117*(X4^3.5097)*X2^-1.3006)+(0.1245*(X4^2.523)*X2^-1.123))*1000"/>
    <s v="((0.0294*(6.8^1.8357)*3.9^0.864)+(0.0053*(6.8^2.0876)*3.9^0.5842)+(0.0117*(6.8^3.5097)*3.9^-1.3006)+(0.1245*(6.8^2.523)*3.9^-1.123))*1000"/>
    <n v="8924.8702692673069"/>
    <n v="8924.8702692673069"/>
  </r>
  <r>
    <x v="1"/>
    <x v="33"/>
    <x v="0"/>
    <x v="1"/>
    <d v="2022-06-20T00:00:00"/>
    <x v="2"/>
    <x v="2"/>
    <s v="trembling_aspen"/>
    <n v="6.8"/>
    <n v="33.299999999999997"/>
    <s v="((0.0117*(X4^1.7757)*X2^1.2555)+(0.018*(X4^1.8131)*X2^0.5144)+(0.0112*(X4^3.0861)*X2^-0.7164)+(0.0617*(X4^1.8615)*X2^-0.5375))*1000"/>
    <s v="((0.0117*(33.3^1.7757)*6.8^1.2555)+(0.018*(33.3^1.8131)*6.8^0.5144)+(0.0112*(33.3^3.0861)*6.8^-0.7164)+(0.0617*(33.3^1.8615)*6.8^-0.5375))*1000"/>
    <n v="250051.45617310613"/>
    <n v="250051.45617310613"/>
  </r>
  <r>
    <x v="1"/>
    <x v="33"/>
    <x v="1"/>
    <x v="1"/>
    <d v="2022-06-20T00:00:00"/>
    <x v="2"/>
    <x v="2"/>
    <s v="trembling_aspen"/>
    <n v="14.2"/>
    <n v="33.200000000000003"/>
    <s v="((0.0117*(X4^1.7757)*X2^1.2555)+(0.018*(X4^1.8131)*X2^0.5144)+(0.0112*(X4^3.0861)*X2^-0.7164)+(0.0617*(X4^1.8615)*X2^-0.5375))*1000"/>
    <s v="((0.0117*(33.2^1.7757)*14.2^1.2555)+(0.018*(33.2^1.8131)*14.2^0.5144)+(0.0112*(33.2^3.0861)*14.2^-0.7164)+(0.0617*(33.2^1.8615)*14.2^-0.5375))*1000"/>
    <n v="297660.73291499924"/>
    <n v="297660.73291499924"/>
  </r>
  <r>
    <x v="1"/>
    <x v="33"/>
    <x v="0"/>
    <x v="1"/>
    <d v="2022-06-20T00:00:00"/>
    <x v="3"/>
    <x v="3"/>
    <s v="NA"/>
    <s v="N/A"/>
    <s v="N/A"/>
    <e v="#N/A"/>
    <e v="#N/A"/>
    <e v="#N/A"/>
    <n v="0"/>
  </r>
  <r>
    <x v="1"/>
    <x v="33"/>
    <x v="1"/>
    <x v="1"/>
    <d v="2022-06-20T00:00:00"/>
    <x v="3"/>
    <x v="3"/>
    <s v="NA"/>
    <s v="NA"/>
    <s v="NA"/>
    <e v="#N/A"/>
    <e v="#N/A"/>
    <e v="#N/A"/>
    <n v="0"/>
  </r>
  <r>
    <x v="0"/>
    <x v="34"/>
    <x v="2"/>
    <x v="1"/>
    <d v="2022-07-04T00:00:00"/>
    <x v="0"/>
    <x v="0"/>
    <s v="balsam_fir"/>
    <n v="4"/>
    <n v="3.5"/>
    <s v="((0.0294*(X4^1.8357)*X2^0.864)+(0.0053*(X4^2.0876)*X2^0.5842)+(0.0117*(X4^3.5097)*X2^-1.3006)+(0.1245*(X4^2.523)*X2^-1.123))*1000"/>
    <s v="((0.0294*(3.5^1.8357)*4^0.864)+(0.0053*(3.5^2.0876)*4^0.5842)+(0.0117*(3.5^3.5097)*4^-1.3006)+(0.1245*(3.5^2.523)*4^-1.123))*1000"/>
    <n v="1909.596106141111"/>
    <n v="1909.596106141111"/>
  </r>
  <r>
    <x v="0"/>
    <x v="34"/>
    <x v="2"/>
    <x v="1"/>
    <d v="2022-07-04T00:00:00"/>
    <x v="0"/>
    <x v="0"/>
    <s v="balsam_fir"/>
    <n v="5"/>
    <n v="7.3"/>
    <s v="((0.0294*(X4^1.8357)*X2^0.864)+(0.0053*(X4^2.0876)*X2^0.5842)+(0.0117*(X4^3.5097)*X2^-1.3006)+(0.1245*(X4^2.523)*X2^-1.123))*1000"/>
    <s v="((0.0294*(7.3^1.8357)*5^0.864)+(0.0053*(7.3^2.0876)*5^0.5842)+(0.0117*(7.3^3.5097)*5^-1.3006)+(0.1245*(7.3^2.523)*5^-1.123))*1000"/>
    <n v="10025.307063747499"/>
    <n v="10025.307063747499"/>
  </r>
  <r>
    <x v="0"/>
    <x v="34"/>
    <x v="2"/>
    <x v="1"/>
    <d v="2022-07-04T00:00:00"/>
    <x v="1"/>
    <x v="1"/>
    <s v="balsam_fir"/>
    <n v="4"/>
    <n v="6"/>
    <s v="((0.0294*(X4^1.8357)*X2^0.864)+(0.0053*(X4^2.0876)*X2^0.5842)+(0.0117*(X4^3.5097)*X2^-1.3006)+(0.1245*(X4^2.523)*X2^-1.123))*1000"/>
    <s v="((0.0294*(6^1.8357)*4^0.864)+(0.0053*(6^2.0876)*4^0.5842)+(0.0117*(6^3.5097)*4^-1.3006)+(0.1245*(6^2.523)*4^-1.123))*1000"/>
    <n v="6563.5749760315484"/>
    <n v="6563.5749760315484"/>
  </r>
  <r>
    <x v="0"/>
    <x v="34"/>
    <x v="2"/>
    <x v="1"/>
    <d v="2022-07-04T00:00:00"/>
    <x v="1"/>
    <x v="1"/>
    <s v="balsam_fir"/>
    <n v="7.5"/>
    <n v="19.100000000000001"/>
    <s v="((0.0294*(X4^1.8357)*X2^0.864)+(0.0053*(X4^2.0876)*X2^0.5842)+(0.0117*(X4^3.5097)*X2^-1.3006)+(0.1245*(X4^2.523)*X2^-1.123))*1000"/>
    <s v="((0.0294*(19.1^1.8357)*7.5^0.864)+(0.0053*(19.1^2.0876)*7.5^0.5842)+(0.0117*(19.1^3.5097)*7.5^-1.3006)+(0.1245*(19.1^2.523)*7.5^-1.123))*1000"/>
    <n v="94576.67037769864"/>
    <n v="94576.67037769864"/>
  </r>
  <r>
    <x v="0"/>
    <x v="34"/>
    <x v="2"/>
    <x v="1"/>
    <d v="2022-07-04T00:00:00"/>
    <x v="2"/>
    <x v="2"/>
    <s v="maple"/>
    <n v="8"/>
    <n v="4.5999999999999996"/>
    <s v="((0.0315*(X4^2.0342)*X2^0.7485)+(0.0283*(X4^2.0907)*X2^0)+(0.0225*(X4^2.4106)*X2^0)+(0.0571*(X4^1.4898)*X2^0))*1000"/>
    <s v="((0.0315*(4.6^2.0342)*8^0.7485)+(0.0283*(4.6^2.0907)*8^0)+(0.0225*(4.6^2.4106)*8^0)+(0.0571*(4.6^1.4898)*8^0))*1000"/>
    <n v="5463.3466494413788"/>
    <n v="5463.3466494413788"/>
  </r>
  <r>
    <x v="0"/>
    <x v="34"/>
    <x v="2"/>
    <x v="1"/>
    <d v="2022-07-04T00:00:00"/>
    <x v="3"/>
    <x v="3"/>
    <s v="NA"/>
    <s v="NA"/>
    <s v="NA"/>
    <e v="#N/A"/>
    <e v="#N/A"/>
    <e v="#N/A"/>
    <n v="0"/>
  </r>
  <r>
    <x v="0"/>
    <x v="35"/>
    <x v="2"/>
    <x v="1"/>
    <d v="2022-07-07T00:00:00"/>
    <x v="0"/>
    <x v="0"/>
    <s v="white_birch"/>
    <n v="7"/>
    <n v="15"/>
    <s v="((0.0259*(X4^1.9044)*X2^0.9715)+(0.0069*(X4^2.0834)*X2^0.5371)+(0.0325*(X4^2.3851)*X2^0)+(0.1683*(X4^1.2764)*X2^0))*1000"/>
    <s v="((0.0259*(15^1.9044)*7^0.9715)+(0.0069*(15^2.0834)*7^0.5371)+(0.0325*(15^2.3851)*7^0)+(0.1683*(15^1.2764)*7^0))*1000"/>
    <n v="61407.577867885935"/>
    <n v="61407.577867885935"/>
  </r>
  <r>
    <x v="0"/>
    <x v="35"/>
    <x v="2"/>
    <x v="1"/>
    <d v="2022-07-07T00:00:00"/>
    <x v="1"/>
    <x v="1"/>
    <s v="NA"/>
    <s v="NA"/>
    <s v="NA"/>
    <e v="#N/A"/>
    <e v="#N/A"/>
    <e v="#N/A"/>
    <n v="0"/>
  </r>
  <r>
    <x v="0"/>
    <x v="35"/>
    <x v="2"/>
    <x v="1"/>
    <d v="2022-07-07T00:00:00"/>
    <x v="2"/>
    <x v="2"/>
    <s v="black_spruce"/>
    <n v="6"/>
    <n v="16"/>
    <s v="((0.0309*(X4^1.7527)*X2^1.0014)+(0.0115*(X4^1.7405)*X2^0.6589)+(0.038*(X4^3.2558)*X2^-1.4218)+(0.2048*(X4^2.5754)*X2^-1.3704))*1000"/>
    <s v="((0.0309*(16^1.7527)*6^1.0014)+(0.0115*(16^1.7405)*6^0.6589)+(0.038*(16^3.2558)*6^-1.4218)+(0.2048*(16^2.5754)*6^-1.3704))*1000"/>
    <n v="75584.13355066537"/>
    <n v="75584.13355066537"/>
  </r>
  <r>
    <x v="0"/>
    <x v="35"/>
    <x v="2"/>
    <x v="1"/>
    <d v="2022-07-07T00:00:00"/>
    <x v="3"/>
    <x v="3"/>
    <s v="NA"/>
    <s v="NA"/>
    <s v="NA"/>
    <e v="#N/A"/>
    <e v="#N/A"/>
    <e v="#N/A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AB290F-BB35-5341-BE10-AD88EF83AF8C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gridDropZones="1" multipleFieldFilters="0">
  <location ref="A1:F191" firstHeaderRow="2" firstDataRow="2" firstDataCol="5"/>
  <pivotFields count="14">
    <pivotField axis="axisRow" compact="0" outline="0" showAll="0">
      <items count="3">
        <item x="0"/>
        <item x="1"/>
        <item t="default"/>
      </items>
    </pivotField>
    <pivotField axis="axisRow" compact="0" outline="0" showAll="0" defaultSubtota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</items>
    </pivotField>
    <pivotField axis="axisRow" compact="0" outline="0" showAll="0" defaultSubtotal="0">
      <items count="3">
        <item x="1"/>
        <item x="0"/>
        <item x="2"/>
      </items>
    </pivotField>
    <pivotField axis="axisRow" compact="0" outline="0" showAll="0">
      <items count="4">
        <item x="2"/>
        <item x="0"/>
        <item x="1"/>
        <item t="default"/>
      </items>
    </pivotField>
    <pivotField compact="0" numFmtId="15" outline="0" showAll="0"/>
    <pivotField axis="axisRow" compact="0" outline="0" showAll="0">
      <items count="5">
        <item x="0"/>
        <item x="1"/>
        <item x="2"/>
        <item x="3"/>
        <item t="default"/>
      </items>
    </pivotField>
    <pivotField compact="0" outline="0" defaultSubtotal="0">
      <items count="5">
        <item x="0"/>
        <item x="1"/>
        <item x="2"/>
        <item x="3"/>
        <item f="1" x="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5">
    <field x="0"/>
    <field x="3"/>
    <field x="1"/>
    <field x="2"/>
    <field x="5"/>
  </rowFields>
  <rowItems count="189">
    <i>
      <x/>
      <x v="1"/>
      <x/>
      <x/>
      <x/>
    </i>
    <i r="4">
      <x v="1"/>
    </i>
    <i r="4">
      <x v="2"/>
    </i>
    <i r="4">
      <x v="3"/>
    </i>
    <i r="3">
      <x v="1"/>
      <x/>
    </i>
    <i r="4">
      <x v="1"/>
    </i>
    <i r="4">
      <x v="2"/>
    </i>
    <i r="2">
      <x v="1"/>
      <x v="2"/>
      <x/>
    </i>
    <i r="4">
      <x v="1"/>
    </i>
    <i r="4">
      <x v="2"/>
    </i>
    <i r="4">
      <x v="3"/>
    </i>
    <i r="2">
      <x v="2"/>
      <x v="2"/>
      <x/>
    </i>
    <i r="4">
      <x v="1"/>
    </i>
    <i r="4">
      <x v="2"/>
    </i>
    <i r="4">
      <x v="3"/>
    </i>
    <i r="2">
      <x v="3"/>
      <x v="2"/>
      <x/>
    </i>
    <i r="4">
      <x v="1"/>
    </i>
    <i r="4">
      <x v="2"/>
    </i>
    <i r="4">
      <x v="3"/>
    </i>
    <i r="2">
      <x v="4"/>
      <x/>
      <x/>
    </i>
    <i r="4">
      <x v="1"/>
    </i>
    <i r="4">
      <x v="2"/>
    </i>
    <i r="4">
      <x v="3"/>
    </i>
    <i r="3">
      <x v="1"/>
      <x/>
    </i>
    <i r="4">
      <x v="1"/>
    </i>
    <i r="4">
      <x v="2"/>
    </i>
    <i r="2">
      <x v="5"/>
      <x v="2"/>
      <x/>
    </i>
    <i r="4">
      <x v="1"/>
    </i>
    <i r="4">
      <x v="2"/>
    </i>
    <i r="4">
      <x v="3"/>
    </i>
    <i r="2">
      <x v="6"/>
      <x v="2"/>
      <x/>
    </i>
    <i r="4">
      <x v="1"/>
    </i>
    <i r="4">
      <x v="2"/>
    </i>
    <i r="4">
      <x v="3"/>
    </i>
    <i r="2">
      <x v="7"/>
      <x v="2"/>
      <x/>
    </i>
    <i r="4">
      <x v="1"/>
    </i>
    <i r="4">
      <x v="2"/>
    </i>
    <i r="4">
      <x v="3"/>
    </i>
    <i r="2">
      <x v="8"/>
      <x v="2"/>
      <x/>
    </i>
    <i r="4">
      <x v="1"/>
    </i>
    <i r="4">
      <x v="2"/>
    </i>
    <i r="4">
      <x v="3"/>
    </i>
    <i r="2">
      <x v="9"/>
      <x v="2"/>
      <x/>
    </i>
    <i r="4">
      <x v="1"/>
    </i>
    <i r="4">
      <x v="2"/>
    </i>
    <i r="4">
      <x v="3"/>
    </i>
    <i r="2">
      <x v="10"/>
      <x v="2"/>
      <x/>
    </i>
    <i r="4">
      <x v="1"/>
    </i>
    <i r="4">
      <x v="2"/>
    </i>
    <i r="4">
      <x v="3"/>
    </i>
    <i r="2">
      <x v="11"/>
      <x v="2"/>
      <x/>
    </i>
    <i r="4">
      <x v="1"/>
    </i>
    <i r="4">
      <x v="2"/>
    </i>
    <i r="4">
      <x v="3"/>
    </i>
    <i t="default" r="1">
      <x v="1"/>
    </i>
    <i r="1">
      <x v="2"/>
      <x v="12"/>
      <x/>
      <x/>
    </i>
    <i r="4">
      <x v="1"/>
    </i>
    <i r="4">
      <x v="2"/>
    </i>
    <i r="4">
      <x v="3"/>
    </i>
    <i r="3">
      <x v="1"/>
      <x/>
    </i>
    <i r="4">
      <x v="1"/>
    </i>
    <i r="4">
      <x v="2"/>
    </i>
    <i r="2">
      <x v="13"/>
      <x v="2"/>
      <x/>
    </i>
    <i r="4">
      <x v="1"/>
    </i>
    <i r="4">
      <x v="2"/>
    </i>
    <i r="4">
      <x v="3"/>
    </i>
    <i r="2">
      <x v="14"/>
      <x v="2"/>
      <x/>
    </i>
    <i r="4">
      <x v="1"/>
    </i>
    <i r="4">
      <x v="2"/>
    </i>
    <i r="4">
      <x v="3"/>
    </i>
    <i r="2">
      <x v="15"/>
      <x v="2"/>
      <x/>
    </i>
    <i r="4">
      <x v="1"/>
    </i>
    <i r="4">
      <x v="2"/>
    </i>
    <i r="4">
      <x v="3"/>
    </i>
    <i r="2">
      <x v="16"/>
      <x v="2"/>
      <x/>
    </i>
    <i r="4">
      <x v="1"/>
    </i>
    <i r="4">
      <x v="2"/>
    </i>
    <i r="4">
      <x v="3"/>
    </i>
    <i r="2">
      <x v="17"/>
      <x v="2"/>
      <x/>
    </i>
    <i r="4">
      <x v="1"/>
    </i>
    <i r="4">
      <x v="2"/>
    </i>
    <i r="4">
      <x v="3"/>
    </i>
    <i r="2">
      <x v="34"/>
      <x v="2"/>
      <x/>
    </i>
    <i r="4">
      <x v="1"/>
    </i>
    <i r="4">
      <x v="2"/>
    </i>
    <i r="4">
      <x v="3"/>
    </i>
    <i r="2">
      <x v="35"/>
      <x v="2"/>
      <x/>
    </i>
    <i r="4">
      <x v="1"/>
    </i>
    <i r="4">
      <x v="2"/>
    </i>
    <i r="4">
      <x v="3"/>
    </i>
    <i t="default" r="1">
      <x v="2"/>
    </i>
    <i t="default">
      <x/>
    </i>
    <i>
      <x v="1"/>
      <x/>
      <x v="24"/>
      <x/>
      <x/>
    </i>
    <i r="4">
      <x v="1"/>
    </i>
    <i r="4">
      <x v="2"/>
    </i>
    <i r="4">
      <x v="3"/>
    </i>
    <i r="3">
      <x v="1"/>
      <x/>
    </i>
    <i r="4">
      <x v="1"/>
    </i>
    <i r="4">
      <x v="2"/>
    </i>
    <i r="4">
      <x v="3"/>
    </i>
    <i r="2">
      <x v="25"/>
      <x v="2"/>
      <x/>
    </i>
    <i r="4">
      <x v="1"/>
    </i>
    <i r="4">
      <x v="2"/>
    </i>
    <i r="4">
      <x v="3"/>
    </i>
    <i r="2">
      <x v="26"/>
      <x v="2"/>
      <x/>
    </i>
    <i r="4">
      <x v="1"/>
    </i>
    <i r="4">
      <x v="2"/>
    </i>
    <i r="4">
      <x v="3"/>
    </i>
    <i r="2">
      <x v="27"/>
      <x v="2"/>
      <x/>
    </i>
    <i r="4">
      <x v="1"/>
    </i>
    <i r="4">
      <x v="2"/>
    </i>
    <i r="4">
      <x v="3"/>
    </i>
    <i r="2">
      <x v="28"/>
      <x v="2"/>
      <x/>
    </i>
    <i r="4">
      <x v="1"/>
    </i>
    <i r="4">
      <x v="2"/>
    </i>
    <i r="4">
      <x v="3"/>
    </i>
    <i r="2">
      <x v="29"/>
      <x v="2"/>
      <x/>
    </i>
    <i r="4">
      <x v="1"/>
    </i>
    <i r="4">
      <x v="2"/>
    </i>
    <i r="4">
      <x v="3"/>
    </i>
    <i t="default" r="1">
      <x/>
    </i>
    <i r="1">
      <x v="1"/>
      <x v="18"/>
      <x/>
      <x/>
    </i>
    <i r="4">
      <x v="1"/>
    </i>
    <i r="4">
      <x v="2"/>
    </i>
    <i r="4">
      <x v="3"/>
    </i>
    <i r="3">
      <x v="1"/>
      <x/>
    </i>
    <i r="4">
      <x v="1"/>
    </i>
    <i r="4">
      <x v="2"/>
    </i>
    <i r="4">
      <x v="3"/>
    </i>
    <i r="2">
      <x v="19"/>
      <x/>
      <x/>
    </i>
    <i r="4">
      <x v="1"/>
    </i>
    <i r="4">
      <x v="2"/>
    </i>
    <i r="4">
      <x v="3"/>
    </i>
    <i r="3">
      <x v="1"/>
      <x/>
    </i>
    <i r="4">
      <x v="1"/>
    </i>
    <i r="4">
      <x v="2"/>
    </i>
    <i r="4">
      <x v="3"/>
    </i>
    <i r="2">
      <x v="20"/>
      <x/>
      <x/>
    </i>
    <i r="4">
      <x v="1"/>
    </i>
    <i r="4">
      <x v="2"/>
    </i>
    <i r="4">
      <x v="3"/>
    </i>
    <i r="3">
      <x v="1"/>
      <x/>
    </i>
    <i r="4">
      <x v="1"/>
    </i>
    <i r="4">
      <x v="2"/>
    </i>
    <i r="4">
      <x v="3"/>
    </i>
    <i r="2">
      <x v="21"/>
      <x/>
      <x/>
    </i>
    <i r="4">
      <x v="1"/>
    </i>
    <i r="4">
      <x v="2"/>
    </i>
    <i r="4">
      <x v="3"/>
    </i>
    <i r="3">
      <x v="1"/>
      <x/>
    </i>
    <i r="4">
      <x v="1"/>
    </i>
    <i r="4">
      <x v="2"/>
    </i>
    <i r="4">
      <x v="3"/>
    </i>
    <i r="2">
      <x v="22"/>
      <x v="2"/>
      <x/>
    </i>
    <i r="4">
      <x v="1"/>
    </i>
    <i r="4">
      <x v="2"/>
    </i>
    <i r="4">
      <x v="3"/>
    </i>
    <i r="2">
      <x v="23"/>
      <x v="2"/>
      <x/>
    </i>
    <i r="4">
      <x v="1"/>
    </i>
    <i r="4">
      <x v="2"/>
    </i>
    <i r="4">
      <x v="3"/>
    </i>
    <i t="default" r="1">
      <x v="1"/>
    </i>
    <i r="1">
      <x v="2"/>
      <x v="30"/>
      <x/>
      <x/>
    </i>
    <i r="4">
      <x v="1"/>
    </i>
    <i r="4">
      <x v="2"/>
    </i>
    <i r="4">
      <x v="3"/>
    </i>
    <i r="3">
      <x v="1"/>
      <x/>
    </i>
    <i r="4">
      <x v="1"/>
    </i>
    <i r="4">
      <x v="2"/>
    </i>
    <i r="4">
      <x v="3"/>
    </i>
    <i r="2">
      <x v="31"/>
      <x v="2"/>
      <x/>
    </i>
    <i r="4">
      <x v="1"/>
    </i>
    <i r="4">
      <x v="2"/>
    </i>
    <i r="4">
      <x v="3"/>
    </i>
    <i r="2">
      <x v="32"/>
      <x v="2"/>
      <x/>
    </i>
    <i r="4">
      <x v="1"/>
    </i>
    <i r="4">
      <x v="2"/>
    </i>
    <i r="4">
      <x v="3"/>
    </i>
    <i r="2">
      <x v="33"/>
      <x/>
      <x/>
    </i>
    <i r="4">
      <x v="1"/>
    </i>
    <i r="4">
      <x v="2"/>
    </i>
    <i r="4">
      <x v="3"/>
    </i>
    <i r="3">
      <x v="1"/>
      <x/>
    </i>
    <i r="4">
      <x v="1"/>
    </i>
    <i r="4">
      <x v="2"/>
    </i>
    <i r="4">
      <x v="3"/>
    </i>
    <i t="default" r="1">
      <x v="2"/>
    </i>
    <i t="default">
      <x v="1"/>
    </i>
    <i t="grand">
      <x/>
    </i>
  </rowItems>
  <colItems count="1">
    <i/>
  </colItems>
  <dataFields count="1">
    <dataField name="Sum of biomass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F140AD-A059-4AE9-8C6D-5F2F64EF0D72}" name="Table1" displayName="Table1" ref="A1:P316" totalsRowShown="0" headerRowDxfId="18" dataDxfId="17">
  <autoFilter ref="A1:P316" xr:uid="{89F140AD-A059-4AE9-8C6D-5F2F64EF0D72}"/>
  <sortState xmlns:xlrd2="http://schemas.microsoft.com/office/spreadsheetml/2017/richdata2" ref="A2:P316">
    <sortCondition ref="B1:B316"/>
  </sortState>
  <tableColumns count="16">
    <tableColumn id="1" xr3:uid="{8F2CC28A-3FD6-4B4B-8893-D272D06BACD7}" name="Park_ID" dataDxfId="16"/>
    <tableColumn id="2" xr3:uid="{33CF4F26-37DD-451C-B7C8-034CDB93420B}" name="Site_ID" dataDxfId="15"/>
    <tableColumn id="3" xr3:uid="{B98094E5-8FF0-4D6D-BBE2-7362634EED88}" name="Excl_Ctrl" dataDxfId="14"/>
    <tableColumn id="9" xr3:uid="{6BA473D6-F357-407E-89F9-C5E1852EBDD6}" name="Dist_Type" dataDxfId="13"/>
    <tableColumn id="8" xr3:uid="{60B7CB3A-7923-496C-842C-692FB2F16EDE}" name="Date_Sampled" dataDxfId="12"/>
    <tableColumn id="4" xr3:uid="{C3C11940-9815-4948-86DD-3DA33935EB37}" name="Transect_ID" dataDxfId="11"/>
    <tableColumn id="10" xr3:uid="{382B8E89-7CC7-4B99-ABBB-5CB0375F0E8F}" name="Subplot_ID" dataDxfId="10"/>
    <tableColumn id="5" xr3:uid="{C729ACA1-C6D7-45EB-9363-10FA36D02114}" name="Species " dataDxfId="9"/>
    <tableColumn id="6" xr3:uid="{2732A255-C5BC-498E-9802-A5BBE995AE7D}" name="Height " dataDxfId="8"/>
    <tableColumn id="7" xr3:uid="{11646FEE-6611-4AEC-990E-23D8AA8EEE00}" name="DBH" dataDxfId="7"/>
    <tableColumn id="11" xr3:uid="{315542D5-84E4-D140-906C-BD11AED63046}" name="equation" dataDxfId="6">
      <calculatedColumnFormula>VLOOKUP(Table1[[#This Row],[Species ]],eq!$A$3:$B$13,2,)</calculatedColumnFormula>
    </tableColumn>
    <tableColumn id="12" xr3:uid="{A5DAD34D-FA47-2640-A29C-591C1B3DC365}" name="eq w param" dataDxfId="5">
      <calculatedColumnFormula>SUBSTITUTE(SUBSTITUTE(K2, "X4",J2),"X2",I2)</calculatedColumnFormula>
    </tableColumn>
    <tableColumn id="13" xr3:uid="{99E8CB0D-1F2C-DB49-9816-3F4A83FB52A8}" name="biomass ind" dataDxfId="4">
      <calculatedColumnFormula array="1">eval_tr</calculatedColumnFormula>
    </tableColumn>
    <tableColumn id="14" xr3:uid="{B03EEE92-A443-CB44-88C3-449F0A345FAC}" name="biomass" dataDxfId="3">
      <calculatedColumnFormula>IF(ISNUMBER(M2),M2,0)</calculatedColumnFormula>
    </tableColumn>
    <tableColumn id="15" xr3:uid="{3DA76AC4-839E-5746-B978-9534D99BE700}" name="site" dataDxfId="2">
      <calculatedColumnFormula>A2&amp;"-"&amp;TEXT(B2,"0#")&amp;"-"&amp;C2</calculatedColumnFormula>
    </tableColumn>
    <tableColumn id="16" xr3:uid="{27A08991-87BE-8547-A5D6-F3675BD949E3}" name="team" dataDxfId="1">
      <calculatedColumnFormula>VLOOKUP(O2,teams!$A$1:$B$47,2,)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A1A5A3-B8DC-C549-963B-03F78D67781D}" name="Table5" displayName="Table5" ref="A1:N4" totalsRowShown="0">
  <autoFilter ref="A1:N4" xr:uid="{FCA1A5A3-B8DC-C549-963B-03F78D67781D}"/>
  <tableColumns count="14">
    <tableColumn id="1" xr3:uid="{BF66B718-6F72-634F-B2D6-A7649AD2C961}" name="Park_ID"/>
    <tableColumn id="2" xr3:uid="{0006A03A-2670-F84E-9471-C6B553D57ADD}" name="Site_ID"/>
    <tableColumn id="3" xr3:uid="{E009C9D4-2088-3B42-A781-AC7B4786051D}" name="Excl_Ctrl"/>
    <tableColumn id="4" xr3:uid="{2BF60D80-9A6A-A64C-B127-268702CF1254}" name="Dist_Type"/>
    <tableColumn id="5" xr3:uid="{A1C66358-0F0C-DE4B-B86D-7367735C867E}" name="Date_Sampled" dataDxfId="0"/>
    <tableColumn id="6" xr3:uid="{0E5E7A8C-AE9A-414C-A486-8292244FB505}" name="Transect_ID"/>
    <tableColumn id="7" xr3:uid="{98B5781D-DC4F-E148-9DBB-FC9FA5383CDD}" name="Subplot_ID"/>
    <tableColumn id="8" xr3:uid="{7A856120-FDA8-9946-A123-1AA40665AB5A}" name="Species "/>
    <tableColumn id="9" xr3:uid="{D92D3DE6-843E-984F-B34F-15C9F2B42C5F}" name="Height "/>
    <tableColumn id="10" xr3:uid="{54D09F55-2B4A-914C-9DAB-5A505D16234E}" name="DBH"/>
    <tableColumn id="11" xr3:uid="{15C1E5F3-66C7-E942-AA61-523E3F273594}" name="equation"/>
    <tableColumn id="12" xr3:uid="{B779E88D-C60C-5243-BE79-BD07BDE39817}" name="eq w param"/>
    <tableColumn id="13" xr3:uid="{792B4E34-6AB0-9D46-B752-966869FA61D6}" name="biomass ind"/>
    <tableColumn id="14" xr3:uid="{B4BDA2EF-45E3-2443-BE6A-BBE8350FF313}" name="biomas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60AF3-AE9F-124A-A399-7356687D6A9A}">
  <dimension ref="A1:C182"/>
  <sheetViews>
    <sheetView workbookViewId="0">
      <selection activeCell="B2" sqref="B2"/>
    </sheetView>
  </sheetViews>
  <sheetFormatPr baseColWidth="10" defaultRowHeight="13" x14ac:dyDescent="0.15"/>
  <cols>
    <col min="1" max="1" width="15.33203125" bestFit="1" customWidth="1"/>
  </cols>
  <sheetData>
    <row r="1" spans="1:3" ht="15" x14ac:dyDescent="0.2">
      <c r="A1" s="43" t="s">
        <v>289</v>
      </c>
      <c r="B1" s="43" t="s">
        <v>290</v>
      </c>
      <c r="C1" s="43" t="s">
        <v>291</v>
      </c>
    </row>
    <row r="2" spans="1:3" x14ac:dyDescent="0.15">
      <c r="A2" t="str" cm="1">
        <f t="array" ref="A2:A182">_xlfn.UNIQUE('DBH only'!P2:P316)</f>
        <v>GM_1_CTRL_B1</v>
      </c>
      <c r="B2" t="e">
        <f>SUMIF('DBH only'!$P$2:$P$316,A2,'DBH only'!$O$2:$O$316)</f>
        <v>#N/A</v>
      </c>
      <c r="C2" t="e">
        <f>B2*9/5</f>
        <v>#N/A</v>
      </c>
    </row>
    <row r="3" spans="1:3" x14ac:dyDescent="0.15">
      <c r="A3" t="str">
        <v>GM_1_CTRL_B2</v>
      </c>
      <c r="B3" t="e">
        <f>SUMIF('DBH only'!$P$2:$P$316,A3,'DBH only'!$O$2:$O$316)</f>
        <v>#N/A</v>
      </c>
      <c r="C3" t="e">
        <f t="shared" ref="C3:C66" si="0">B3*9/5</f>
        <v>#N/A</v>
      </c>
    </row>
    <row r="4" spans="1:3" x14ac:dyDescent="0.15">
      <c r="A4" t="str">
        <v>GM_1_CTRL_B3</v>
      </c>
      <c r="B4" t="e">
        <f>SUMIF('DBH only'!$P$2:$P$316,A4,'DBH only'!$O$2:$O$316)</f>
        <v>#N/A</v>
      </c>
      <c r="C4" t="e">
        <f t="shared" si="0"/>
        <v>#N/A</v>
      </c>
    </row>
    <row r="5" spans="1:3" x14ac:dyDescent="0.15">
      <c r="A5" t="str">
        <v>GM_1_CTRL_B4</v>
      </c>
      <c r="B5" t="e">
        <f>SUMIF('DBH only'!$P$2:$P$316,A5,'DBH only'!$O$2:$O$316)</f>
        <v>#N/A</v>
      </c>
      <c r="C5" t="e">
        <f t="shared" si="0"/>
        <v>#N/A</v>
      </c>
    </row>
    <row r="6" spans="1:3" x14ac:dyDescent="0.15">
      <c r="A6" t="str">
        <v>GM_1_EX_B3</v>
      </c>
      <c r="B6">
        <f>SUMIF('DBH only'!$P$2:$P$316,A6,'DBH only'!$O$2:$O$316)</f>
        <v>61377.874878880852</v>
      </c>
      <c r="C6">
        <f t="shared" si="0"/>
        <v>110480.17478198554</v>
      </c>
    </row>
    <row r="7" spans="1:3" x14ac:dyDescent="0.15">
      <c r="A7" t="str">
        <v>GM_1_EX_B1</v>
      </c>
      <c r="B7">
        <f>SUMIF('DBH only'!$P$2:$P$316,A7,'DBH only'!$O$2:$O$316)</f>
        <v>42506.359267964661</v>
      </c>
      <c r="C7">
        <f t="shared" si="0"/>
        <v>76511.446682336391</v>
      </c>
    </row>
    <row r="8" spans="1:3" x14ac:dyDescent="0.15">
      <c r="A8" t="str">
        <v>GM_1_EX_B2</v>
      </c>
      <c r="B8">
        <f>SUMIF('DBH only'!$P$2:$P$316,A8,'DBH only'!$O$2:$O$316)</f>
        <v>152791.87731129956</v>
      </c>
      <c r="C8">
        <f t="shared" si="0"/>
        <v>275025.37916033919</v>
      </c>
    </row>
    <row r="9" spans="1:3" x14ac:dyDescent="0.15">
      <c r="A9" t="str">
        <v>GM_2_NA_B1</v>
      </c>
      <c r="B9" t="e">
        <f>SUMIF('DBH only'!$P$2:$P$316,A9,'DBH only'!$O$2:$O$316)</f>
        <v>#N/A</v>
      </c>
      <c r="C9" t="e">
        <f t="shared" si="0"/>
        <v>#N/A</v>
      </c>
    </row>
    <row r="10" spans="1:3" x14ac:dyDescent="0.15">
      <c r="A10" t="str">
        <v>GM_2_NA_B2</v>
      </c>
      <c r="B10" t="e">
        <f>SUMIF('DBH only'!$P$2:$P$316,A10,'DBH only'!$O$2:$O$316)</f>
        <v>#N/A</v>
      </c>
      <c r="C10" t="e">
        <f t="shared" si="0"/>
        <v>#N/A</v>
      </c>
    </row>
    <row r="11" spans="1:3" x14ac:dyDescent="0.15">
      <c r="A11" t="str">
        <v>GM_2_NA_B3</v>
      </c>
      <c r="B11" t="e">
        <f>SUMIF('DBH only'!$P$2:$P$316,A11,'DBH only'!$O$2:$O$316)</f>
        <v>#N/A</v>
      </c>
      <c r="C11" t="e">
        <f t="shared" si="0"/>
        <v>#N/A</v>
      </c>
    </row>
    <row r="12" spans="1:3" x14ac:dyDescent="0.15">
      <c r="A12" t="str">
        <v>GM_2_NA_B4</v>
      </c>
      <c r="B12" t="e">
        <f>SUMIF('DBH only'!$P$2:$P$316,A12,'DBH only'!$O$2:$O$316)</f>
        <v>#N/A</v>
      </c>
      <c r="C12" t="e">
        <f t="shared" si="0"/>
        <v>#N/A</v>
      </c>
    </row>
    <row r="13" spans="1:3" x14ac:dyDescent="0.15">
      <c r="A13" t="str">
        <v>GM_3_NA_B1</v>
      </c>
      <c r="B13" t="e">
        <f>SUMIF('DBH only'!$P$2:$P$316,A13,'DBH only'!$O$2:$O$316)</f>
        <v>#N/A</v>
      </c>
      <c r="C13" t="e">
        <f t="shared" si="0"/>
        <v>#N/A</v>
      </c>
    </row>
    <row r="14" spans="1:3" x14ac:dyDescent="0.15">
      <c r="A14" t="str">
        <v>GM_3_NA_B2</v>
      </c>
      <c r="B14" t="e">
        <f>SUMIF('DBH only'!$P$2:$P$316,A14,'DBH only'!$O$2:$O$316)</f>
        <v>#N/A</v>
      </c>
      <c r="C14" t="e">
        <f t="shared" si="0"/>
        <v>#N/A</v>
      </c>
    </row>
    <row r="15" spans="1:3" x14ac:dyDescent="0.15">
      <c r="A15" t="str">
        <v>GM_3_NA_B3</v>
      </c>
      <c r="B15" t="e">
        <f>SUMIF('DBH only'!$P$2:$P$316,A15,'DBH only'!$O$2:$O$316)</f>
        <v>#N/A</v>
      </c>
      <c r="C15" t="e">
        <f t="shared" si="0"/>
        <v>#N/A</v>
      </c>
    </row>
    <row r="16" spans="1:3" x14ac:dyDescent="0.15">
      <c r="A16" t="str">
        <v>GM_3_NA_B4</v>
      </c>
      <c r="B16" t="e">
        <f>SUMIF('DBH only'!$P$2:$P$316,A16,'DBH only'!$O$2:$O$316)</f>
        <v>#N/A</v>
      </c>
      <c r="C16" t="e">
        <f t="shared" si="0"/>
        <v>#N/A</v>
      </c>
    </row>
    <row r="17" spans="1:3" x14ac:dyDescent="0.15">
      <c r="A17" t="str">
        <v>GM_4_NA_B1</v>
      </c>
      <c r="B17" t="e">
        <f>SUMIF('DBH only'!$P$2:$P$316,A17,'DBH only'!$O$2:$O$316)</f>
        <v>#N/A</v>
      </c>
      <c r="C17" t="e">
        <f t="shared" si="0"/>
        <v>#N/A</v>
      </c>
    </row>
    <row r="18" spans="1:3" x14ac:dyDescent="0.15">
      <c r="A18" t="str">
        <v>GM_4_NA_B2</v>
      </c>
      <c r="B18" t="e">
        <f>SUMIF('DBH only'!$P$2:$P$316,A18,'DBH only'!$O$2:$O$316)</f>
        <v>#N/A</v>
      </c>
      <c r="C18" t="e">
        <f t="shared" si="0"/>
        <v>#N/A</v>
      </c>
    </row>
    <row r="19" spans="1:3" x14ac:dyDescent="0.15">
      <c r="A19" t="str">
        <v>GM_4_NA_B3</v>
      </c>
      <c r="B19" t="e">
        <f>SUMIF('DBH only'!$P$2:$P$316,A19,'DBH only'!$O$2:$O$316)</f>
        <v>#N/A</v>
      </c>
      <c r="C19" t="e">
        <f t="shared" si="0"/>
        <v>#N/A</v>
      </c>
    </row>
    <row r="20" spans="1:3" x14ac:dyDescent="0.15">
      <c r="A20" t="str">
        <v>GM_4_NA_B4</v>
      </c>
      <c r="B20" t="e">
        <f>SUMIF('DBH only'!$P$2:$P$316,A20,'DBH only'!$O$2:$O$316)</f>
        <v>#N/A</v>
      </c>
      <c r="C20" t="e">
        <f t="shared" si="0"/>
        <v>#N/A</v>
      </c>
    </row>
    <row r="21" spans="1:3" x14ac:dyDescent="0.15">
      <c r="A21" t="str">
        <v>GM_5_CTRL_B1</v>
      </c>
      <c r="B21" t="e">
        <f>SUMIF('DBH only'!$P$2:$P$316,A21,'DBH only'!$O$2:$O$316)</f>
        <v>#N/A</v>
      </c>
      <c r="C21" t="e">
        <f t="shared" si="0"/>
        <v>#N/A</v>
      </c>
    </row>
    <row r="22" spans="1:3" x14ac:dyDescent="0.15">
      <c r="A22" t="str">
        <v>GM_5_CTRL_B2</v>
      </c>
      <c r="B22" t="e">
        <f>SUMIF('DBH only'!$P$2:$P$316,A22,'DBH only'!$O$2:$O$316)</f>
        <v>#N/A</v>
      </c>
      <c r="C22" t="e">
        <f t="shared" si="0"/>
        <v>#N/A</v>
      </c>
    </row>
    <row r="23" spans="1:3" x14ac:dyDescent="0.15">
      <c r="A23" t="str">
        <v>GM_5_CTRL_B3</v>
      </c>
      <c r="B23" t="e">
        <f>SUMIF('DBH only'!$P$2:$P$316,A23,'DBH only'!$O$2:$O$316)</f>
        <v>#N/A</v>
      </c>
      <c r="C23" t="e">
        <f t="shared" si="0"/>
        <v>#N/A</v>
      </c>
    </row>
    <row r="24" spans="1:3" x14ac:dyDescent="0.15">
      <c r="A24" t="str">
        <v>GM_5_CTRL_B4</v>
      </c>
      <c r="B24" t="e">
        <f>SUMIF('DBH only'!$P$2:$P$316,A24,'DBH only'!$O$2:$O$316)</f>
        <v>#N/A</v>
      </c>
      <c r="C24" t="e">
        <f t="shared" si="0"/>
        <v>#N/A</v>
      </c>
    </row>
    <row r="25" spans="1:3" x14ac:dyDescent="0.15">
      <c r="A25" t="str">
        <v>GM_5_EX_B1</v>
      </c>
      <c r="B25">
        <f>SUMIF('DBH only'!$P$2:$P$316,A25,'DBH only'!$O$2:$O$316)</f>
        <v>12530.240928791187</v>
      </c>
      <c r="C25">
        <f t="shared" si="0"/>
        <v>22554.433671824136</v>
      </c>
    </row>
    <row r="26" spans="1:3" x14ac:dyDescent="0.15">
      <c r="A26" t="str">
        <v>GM_5_EX_B3</v>
      </c>
      <c r="B26">
        <f>SUMIF('DBH only'!$P$2:$P$316,A26,'DBH only'!$O$2:$O$316)</f>
        <v>50959.262988036557</v>
      </c>
      <c r="C26">
        <f t="shared" si="0"/>
        <v>91726.673378465799</v>
      </c>
    </row>
    <row r="27" spans="1:3" x14ac:dyDescent="0.15">
      <c r="A27" t="str">
        <v>GM_5_EX_B2</v>
      </c>
      <c r="B27">
        <f>SUMIF('DBH only'!$P$2:$P$316,A27,'DBH only'!$O$2:$O$316)</f>
        <v>48093.870479498379</v>
      </c>
      <c r="C27">
        <f t="shared" si="0"/>
        <v>86568.966863097085</v>
      </c>
    </row>
    <row r="28" spans="1:3" x14ac:dyDescent="0.15">
      <c r="A28" t="str">
        <v>GM_6_NA_B4</v>
      </c>
      <c r="B28">
        <f>SUMIF('DBH only'!$P$2:$P$316,A28,'DBH only'!$O$2:$O$316)</f>
        <v>197357.56039671315</v>
      </c>
      <c r="C28">
        <f t="shared" si="0"/>
        <v>355243.60871408368</v>
      </c>
    </row>
    <row r="29" spans="1:3" x14ac:dyDescent="0.15">
      <c r="A29" t="str">
        <v>GM_6_NA_B1</v>
      </c>
      <c r="B29" t="e">
        <f>SUMIF('DBH only'!$P$2:$P$316,A29,'DBH only'!$O$2:$O$316)</f>
        <v>#N/A</v>
      </c>
      <c r="C29" t="e">
        <f t="shared" si="0"/>
        <v>#N/A</v>
      </c>
    </row>
    <row r="30" spans="1:3" x14ac:dyDescent="0.15">
      <c r="A30" t="str">
        <v>GM_6_NA_B2</v>
      </c>
      <c r="B30" t="e">
        <f>SUMIF('DBH only'!$P$2:$P$316,A30,'DBH only'!$O$2:$O$316)</f>
        <v>#N/A</v>
      </c>
      <c r="C30" t="e">
        <f t="shared" si="0"/>
        <v>#N/A</v>
      </c>
    </row>
    <row r="31" spans="1:3" x14ac:dyDescent="0.15">
      <c r="A31" t="str">
        <v>GM_6_NA_B3</v>
      </c>
      <c r="B31" t="e">
        <f>SUMIF('DBH only'!$P$2:$P$316,A31,'DBH only'!$O$2:$O$316)</f>
        <v>#N/A</v>
      </c>
      <c r="C31" t="e">
        <f t="shared" si="0"/>
        <v>#N/A</v>
      </c>
    </row>
    <row r="32" spans="1:3" x14ac:dyDescent="0.15">
      <c r="A32" t="str">
        <v>GM_7_NA_B1</v>
      </c>
      <c r="B32" t="e">
        <f>SUMIF('DBH only'!$P$2:$P$316,A32,'DBH only'!$O$2:$O$316)</f>
        <v>#N/A</v>
      </c>
      <c r="C32" t="e">
        <f t="shared" si="0"/>
        <v>#N/A</v>
      </c>
    </row>
    <row r="33" spans="1:3" x14ac:dyDescent="0.15">
      <c r="A33" t="str">
        <v>GM_7_NA_B2</v>
      </c>
      <c r="B33" t="e">
        <f>SUMIF('DBH only'!$P$2:$P$316,A33,'DBH only'!$O$2:$O$316)</f>
        <v>#N/A</v>
      </c>
      <c r="C33" t="e">
        <f t="shared" si="0"/>
        <v>#N/A</v>
      </c>
    </row>
    <row r="34" spans="1:3" x14ac:dyDescent="0.15">
      <c r="A34" t="str">
        <v>GM_7_NA_B3</v>
      </c>
      <c r="B34" t="e">
        <f>SUMIF('DBH only'!$P$2:$P$316,A34,'DBH only'!$O$2:$O$316)</f>
        <v>#N/A</v>
      </c>
      <c r="C34" t="e">
        <f t="shared" si="0"/>
        <v>#N/A</v>
      </c>
    </row>
    <row r="35" spans="1:3" x14ac:dyDescent="0.15">
      <c r="A35" t="str">
        <v>GM_7_NA_B4</v>
      </c>
      <c r="B35" t="e">
        <f>SUMIF('DBH only'!$P$2:$P$316,A35,'DBH only'!$O$2:$O$316)</f>
        <v>#N/A</v>
      </c>
      <c r="C35" t="e">
        <f t="shared" si="0"/>
        <v>#N/A</v>
      </c>
    </row>
    <row r="36" spans="1:3" x14ac:dyDescent="0.15">
      <c r="A36" t="str">
        <v>GM_8_NA_B2</v>
      </c>
      <c r="B36">
        <f>SUMIF('DBH only'!$P$2:$P$316,A36,'DBH only'!$O$2:$O$316)</f>
        <v>75854.868550937084</v>
      </c>
      <c r="C36">
        <f t="shared" si="0"/>
        <v>136538.76339168675</v>
      </c>
    </row>
    <row r="37" spans="1:3" x14ac:dyDescent="0.15">
      <c r="A37" t="str">
        <v>GM_8_NA_B1</v>
      </c>
      <c r="B37" t="e">
        <f>SUMIF('DBH only'!$P$2:$P$316,A37,'DBH only'!$O$2:$O$316)</f>
        <v>#N/A</v>
      </c>
      <c r="C37" t="e">
        <f t="shared" si="0"/>
        <v>#N/A</v>
      </c>
    </row>
    <row r="38" spans="1:3" x14ac:dyDescent="0.15">
      <c r="A38" t="str">
        <v>GM_8_NA_B3</v>
      </c>
      <c r="B38" t="e">
        <f>SUMIF('DBH only'!$P$2:$P$316,A38,'DBH only'!$O$2:$O$316)</f>
        <v>#N/A</v>
      </c>
      <c r="C38" t="e">
        <f t="shared" si="0"/>
        <v>#N/A</v>
      </c>
    </row>
    <row r="39" spans="1:3" x14ac:dyDescent="0.15">
      <c r="A39" t="str">
        <v>GM_8_NA_B4</v>
      </c>
      <c r="B39" t="e">
        <f>SUMIF('DBH only'!$P$2:$P$316,A39,'DBH only'!$O$2:$O$316)</f>
        <v>#N/A</v>
      </c>
      <c r="C39" t="e">
        <f t="shared" si="0"/>
        <v>#N/A</v>
      </c>
    </row>
    <row r="40" spans="1:3" x14ac:dyDescent="0.15">
      <c r="A40" t="str">
        <v>GM_9_NA_B1</v>
      </c>
      <c r="B40" t="e">
        <f>SUMIF('DBH only'!$P$2:$P$316,A40,'DBH only'!$O$2:$O$316)</f>
        <v>#N/A</v>
      </c>
      <c r="C40" t="e">
        <f t="shared" si="0"/>
        <v>#N/A</v>
      </c>
    </row>
    <row r="41" spans="1:3" x14ac:dyDescent="0.15">
      <c r="A41" t="str">
        <v>GM_9_NA_B2</v>
      </c>
      <c r="B41" t="e">
        <f>SUMIF('DBH only'!$P$2:$P$316,A41,'DBH only'!$O$2:$O$316)</f>
        <v>#N/A</v>
      </c>
      <c r="C41" t="e">
        <f t="shared" si="0"/>
        <v>#N/A</v>
      </c>
    </row>
    <row r="42" spans="1:3" x14ac:dyDescent="0.15">
      <c r="A42" t="str">
        <v>GM_9_NA_B3</v>
      </c>
      <c r="B42" t="e">
        <f>SUMIF('DBH only'!$P$2:$P$316,A42,'DBH only'!$O$2:$O$316)</f>
        <v>#N/A</v>
      </c>
      <c r="C42" t="e">
        <f t="shared" si="0"/>
        <v>#N/A</v>
      </c>
    </row>
    <row r="43" spans="1:3" x14ac:dyDescent="0.15">
      <c r="A43" t="str">
        <v>GM_9_NA_B4</v>
      </c>
      <c r="B43" t="e">
        <f>SUMIF('DBH only'!$P$2:$P$316,A43,'DBH only'!$O$2:$O$316)</f>
        <v>#N/A</v>
      </c>
      <c r="C43" t="e">
        <f t="shared" si="0"/>
        <v>#N/A</v>
      </c>
    </row>
    <row r="44" spans="1:3" x14ac:dyDescent="0.15">
      <c r="A44" t="str">
        <v>GM_10_NA_B1</v>
      </c>
      <c r="B44" t="e">
        <f>SUMIF('DBH only'!$P$2:$P$316,A44,'DBH only'!$O$2:$O$316)</f>
        <v>#N/A</v>
      </c>
      <c r="C44" t="e">
        <f t="shared" si="0"/>
        <v>#N/A</v>
      </c>
    </row>
    <row r="45" spans="1:3" x14ac:dyDescent="0.15">
      <c r="A45" t="str">
        <v>GM_10_NA_B2</v>
      </c>
      <c r="B45" t="e">
        <f>SUMIF('DBH only'!$P$2:$P$316,A45,'DBH only'!$O$2:$O$316)</f>
        <v>#N/A</v>
      </c>
      <c r="C45" t="e">
        <f t="shared" si="0"/>
        <v>#N/A</v>
      </c>
    </row>
    <row r="46" spans="1:3" x14ac:dyDescent="0.15">
      <c r="A46" t="str">
        <v>GM_10_NA_B3</v>
      </c>
      <c r="B46" t="e">
        <f>SUMIF('DBH only'!$P$2:$P$316,A46,'DBH only'!$O$2:$O$316)</f>
        <v>#N/A</v>
      </c>
      <c r="C46" t="e">
        <f t="shared" si="0"/>
        <v>#N/A</v>
      </c>
    </row>
    <row r="47" spans="1:3" x14ac:dyDescent="0.15">
      <c r="A47" t="str">
        <v>GM_10_NA_B4</v>
      </c>
      <c r="B47" t="e">
        <f>SUMIF('DBH only'!$P$2:$P$316,A47,'DBH only'!$O$2:$O$316)</f>
        <v>#N/A</v>
      </c>
      <c r="C47" t="e">
        <f t="shared" si="0"/>
        <v>#N/A</v>
      </c>
    </row>
    <row r="48" spans="1:3" x14ac:dyDescent="0.15">
      <c r="A48" t="str">
        <v>GM_11_NA_B4</v>
      </c>
      <c r="B48">
        <f>SUMIF('DBH only'!$P$2:$P$316,A48,'DBH only'!$O$2:$O$316)</f>
        <v>25071.774854189476</v>
      </c>
      <c r="C48">
        <f t="shared" si="0"/>
        <v>45129.19473754106</v>
      </c>
    </row>
    <row r="49" spans="1:3" x14ac:dyDescent="0.15">
      <c r="A49" t="str">
        <v>GM_11_NA_B1</v>
      </c>
      <c r="B49" t="e">
        <f>SUMIF('DBH only'!$P$2:$P$316,A49,'DBH only'!$O$2:$O$316)</f>
        <v>#N/A</v>
      </c>
      <c r="C49" t="e">
        <f t="shared" si="0"/>
        <v>#N/A</v>
      </c>
    </row>
    <row r="50" spans="1:3" x14ac:dyDescent="0.15">
      <c r="A50" t="str">
        <v>GM_11_NA_B2</v>
      </c>
      <c r="B50" t="e">
        <f>SUMIF('DBH only'!$P$2:$P$316,A50,'DBH only'!$O$2:$O$316)</f>
        <v>#N/A</v>
      </c>
      <c r="C50" t="e">
        <f t="shared" si="0"/>
        <v>#N/A</v>
      </c>
    </row>
    <row r="51" spans="1:3" x14ac:dyDescent="0.15">
      <c r="A51" t="str">
        <v>GM_11_NA_B3</v>
      </c>
      <c r="B51" t="e">
        <f>SUMIF('DBH only'!$P$2:$P$316,A51,'DBH only'!$O$2:$O$316)</f>
        <v>#N/A</v>
      </c>
      <c r="C51" t="e">
        <f t="shared" si="0"/>
        <v>#N/A</v>
      </c>
    </row>
    <row r="52" spans="1:3" x14ac:dyDescent="0.15">
      <c r="A52" t="str">
        <v>GM_12_NA_B1</v>
      </c>
      <c r="B52" t="e">
        <f>SUMIF('DBH only'!$P$2:$P$316,A52,'DBH only'!$O$2:$O$316)</f>
        <v>#N/A</v>
      </c>
      <c r="C52" t="e">
        <f t="shared" si="0"/>
        <v>#N/A</v>
      </c>
    </row>
    <row r="53" spans="1:3" x14ac:dyDescent="0.15">
      <c r="A53" t="str">
        <v>GM_12_NA_B2</v>
      </c>
      <c r="B53" t="e">
        <f>SUMIF('DBH only'!$P$2:$P$316,A53,'DBH only'!$O$2:$O$316)</f>
        <v>#N/A</v>
      </c>
      <c r="C53" t="e">
        <f t="shared" si="0"/>
        <v>#N/A</v>
      </c>
    </row>
    <row r="54" spans="1:3" x14ac:dyDescent="0.15">
      <c r="A54" t="str">
        <v>GM_12_NA_B3</v>
      </c>
      <c r="B54" t="e">
        <f>SUMIF('DBH only'!$P$2:$P$316,A54,'DBH only'!$O$2:$O$316)</f>
        <v>#N/A</v>
      </c>
      <c r="C54" t="e">
        <f t="shared" si="0"/>
        <v>#N/A</v>
      </c>
    </row>
    <row r="55" spans="1:3" x14ac:dyDescent="0.15">
      <c r="A55" t="str">
        <v>GM_12_NA_B4</v>
      </c>
      <c r="B55" t="e">
        <f>SUMIF('DBH only'!$P$2:$P$316,A55,'DBH only'!$O$2:$O$316)</f>
        <v>#N/A</v>
      </c>
      <c r="C55" t="e">
        <f t="shared" si="0"/>
        <v>#N/A</v>
      </c>
    </row>
    <row r="56" spans="1:3" x14ac:dyDescent="0.15">
      <c r="A56" t="str">
        <v>GM_13_CTRL_B4</v>
      </c>
      <c r="B56">
        <f>SUMIF('DBH only'!$P$2:$P$316,A56,'DBH only'!$O$2:$O$316)</f>
        <v>938899.27164142742</v>
      </c>
      <c r="C56">
        <f t="shared" si="0"/>
        <v>1690018.6889545694</v>
      </c>
    </row>
    <row r="57" spans="1:3" x14ac:dyDescent="0.15">
      <c r="A57" t="str">
        <v>GM_13_CTRL_B1</v>
      </c>
      <c r="B57">
        <f>SUMIF('DBH only'!$P$2:$P$316,A57,'DBH only'!$O$2:$O$316)</f>
        <v>66145.129655790064</v>
      </c>
      <c r="C57">
        <f t="shared" si="0"/>
        <v>119061.23338042211</v>
      </c>
    </row>
    <row r="58" spans="1:3" x14ac:dyDescent="0.15">
      <c r="A58" t="str">
        <v>GM_13_CTRL_B3</v>
      </c>
      <c r="B58">
        <f>SUMIF('DBH only'!$P$2:$P$316,A58,'DBH only'!$O$2:$O$316)</f>
        <v>771606.57506582001</v>
      </c>
      <c r="C58">
        <f t="shared" si="0"/>
        <v>1388891.8351184758</v>
      </c>
    </row>
    <row r="59" spans="1:3" x14ac:dyDescent="0.15">
      <c r="A59" t="str">
        <v>GM_13_CTRL_B2</v>
      </c>
      <c r="B59">
        <f>SUMIF('DBH only'!$P$2:$P$316,A59,'DBH only'!$O$2:$O$316)</f>
        <v>748473.91531468858</v>
      </c>
      <c r="C59">
        <f t="shared" si="0"/>
        <v>1347253.0475664395</v>
      </c>
    </row>
    <row r="60" spans="1:3" x14ac:dyDescent="0.15">
      <c r="A60" t="str">
        <v>GM_13_EX_B2</v>
      </c>
      <c r="B60">
        <f>SUMIF('DBH only'!$P$2:$P$316,A60,'DBH only'!$O$2:$O$316)</f>
        <v>200291.5407323176</v>
      </c>
      <c r="C60">
        <f t="shared" si="0"/>
        <v>360524.77331817168</v>
      </c>
    </row>
    <row r="61" spans="1:3" x14ac:dyDescent="0.15">
      <c r="A61" t="str">
        <v>GM_13_EX_B1</v>
      </c>
      <c r="B61">
        <f>SUMIF('DBH only'!$P$2:$P$316,A61,'DBH only'!$O$2:$O$316)</f>
        <v>120173.89116873403</v>
      </c>
      <c r="C61">
        <f t="shared" si="0"/>
        <v>216313.00410372126</v>
      </c>
    </row>
    <row r="62" spans="1:3" x14ac:dyDescent="0.15">
      <c r="A62" t="str">
        <v>GM_13_EX_B3</v>
      </c>
      <c r="B62" t="e">
        <f>SUMIF('DBH only'!$P$2:$P$316,A62,'DBH only'!$O$2:$O$316)</f>
        <v>#N/A</v>
      </c>
      <c r="C62" t="e">
        <f t="shared" si="0"/>
        <v>#N/A</v>
      </c>
    </row>
    <row r="63" spans="1:3" x14ac:dyDescent="0.15">
      <c r="A63" t="str">
        <v>GM_14_NA_B4</v>
      </c>
      <c r="B63">
        <f>SUMIF('DBH only'!$P$2:$P$316,A63,'DBH only'!$O$2:$O$316)</f>
        <v>109762.03323556308</v>
      </c>
      <c r="C63">
        <f t="shared" si="0"/>
        <v>197571.65982401354</v>
      </c>
    </row>
    <row r="64" spans="1:3" x14ac:dyDescent="0.15">
      <c r="A64" t="str">
        <v>GM_14_NA_B2</v>
      </c>
      <c r="B64">
        <f>SUMIF('DBH only'!$P$2:$P$316,A64,'DBH only'!$O$2:$O$316)</f>
        <v>60253.11266006095</v>
      </c>
      <c r="C64">
        <f t="shared" si="0"/>
        <v>108455.60278810971</v>
      </c>
    </row>
    <row r="65" spans="1:3" x14ac:dyDescent="0.15">
      <c r="A65" t="str">
        <v>GM_14_NA_B1</v>
      </c>
      <c r="B65">
        <f>SUMIF('DBH only'!$P$2:$P$316,A65,'DBH only'!$O$2:$O$316)</f>
        <v>161178.35611259835</v>
      </c>
      <c r="C65">
        <f t="shared" si="0"/>
        <v>290121.04100267706</v>
      </c>
    </row>
    <row r="66" spans="1:3" x14ac:dyDescent="0.15">
      <c r="A66" t="str">
        <v>GM_14_NA_B3</v>
      </c>
      <c r="B66">
        <f>SUMIF('DBH only'!$P$2:$P$316,A66,'DBH only'!$O$2:$O$316)</f>
        <v>88546.222096581972</v>
      </c>
      <c r="C66">
        <f t="shared" si="0"/>
        <v>159383.19977384753</v>
      </c>
    </row>
    <row r="67" spans="1:3" x14ac:dyDescent="0.15">
      <c r="A67" t="str">
        <v>GM_15_NA_B2</v>
      </c>
      <c r="B67">
        <f>SUMIF('DBH only'!$P$2:$P$316,A67,'DBH only'!$O$2:$O$316)</f>
        <v>127166.89368061084</v>
      </c>
      <c r="C67">
        <f t="shared" ref="C67:C130" si="1">B67*9/5</f>
        <v>228900.40862509952</v>
      </c>
    </row>
    <row r="68" spans="1:3" x14ac:dyDescent="0.15">
      <c r="A68" t="str">
        <v>GM_15_NA_B3</v>
      </c>
      <c r="B68">
        <f>SUMIF('DBH only'!$P$2:$P$316,A68,'DBH only'!$O$2:$O$316)</f>
        <v>4708.7989898844462</v>
      </c>
      <c r="C68">
        <f t="shared" si="1"/>
        <v>8475.8381817920035</v>
      </c>
    </row>
    <row r="69" spans="1:3" x14ac:dyDescent="0.15">
      <c r="A69" t="str">
        <v>GM_15_NA_B1</v>
      </c>
      <c r="B69">
        <f>SUMIF('DBH only'!$P$2:$P$316,A69,'DBH only'!$O$2:$O$316)</f>
        <v>58815.523253273677</v>
      </c>
      <c r="C69">
        <f t="shared" si="1"/>
        <v>105867.94185589261</v>
      </c>
    </row>
    <row r="70" spans="1:3" x14ac:dyDescent="0.15">
      <c r="A70" t="str">
        <v>GM_15_NA_B4</v>
      </c>
      <c r="B70" t="e">
        <f>SUMIF('DBH only'!$P$2:$P$316,A70,'DBH only'!$O$2:$O$316)</f>
        <v>#N/A</v>
      </c>
      <c r="C70" t="e">
        <f t="shared" si="1"/>
        <v>#N/A</v>
      </c>
    </row>
    <row r="71" spans="1:3" x14ac:dyDescent="0.15">
      <c r="A71" t="str">
        <v>GM_16_NA_B1</v>
      </c>
      <c r="B71">
        <f>SUMIF('DBH only'!$P$2:$P$316,A71,'DBH only'!$O$2:$O$316)</f>
        <v>111580.96177581506</v>
      </c>
      <c r="C71">
        <f t="shared" si="1"/>
        <v>200845.73119646712</v>
      </c>
    </row>
    <row r="72" spans="1:3" x14ac:dyDescent="0.15">
      <c r="A72" t="str">
        <v>GM_16_NA_B3</v>
      </c>
      <c r="B72">
        <f>SUMIF('DBH only'!$P$2:$P$316,A72,'DBH only'!$O$2:$O$316)</f>
        <v>181901.52267369325</v>
      </c>
      <c r="C72">
        <f t="shared" si="1"/>
        <v>327422.74081264785</v>
      </c>
    </row>
    <row r="73" spans="1:3" x14ac:dyDescent="0.15">
      <c r="A73" t="str">
        <v>GM_16_NA_B4</v>
      </c>
      <c r="B73">
        <f>SUMIF('DBH only'!$P$2:$P$316,A73,'DBH only'!$O$2:$O$316)</f>
        <v>135411.08776818315</v>
      </c>
      <c r="C73">
        <f t="shared" si="1"/>
        <v>243739.95798272965</v>
      </c>
    </row>
    <row r="74" spans="1:3" x14ac:dyDescent="0.15">
      <c r="A74" t="str">
        <v>GM_16_NA_B2</v>
      </c>
      <c r="B74">
        <f>SUMIF('DBH only'!$P$2:$P$316,A74,'DBH only'!$O$2:$O$316)</f>
        <v>142783.66543504436</v>
      </c>
      <c r="C74">
        <f t="shared" si="1"/>
        <v>257010.59778307984</v>
      </c>
    </row>
    <row r="75" spans="1:3" x14ac:dyDescent="0.15">
      <c r="A75" t="str">
        <v>GM_17_NA_B4</v>
      </c>
      <c r="B75">
        <f>SUMIF('DBH only'!$P$2:$P$316,A75,'DBH only'!$O$2:$O$316)</f>
        <v>30545.926843450285</v>
      </c>
      <c r="C75">
        <f t="shared" si="1"/>
        <v>54982.668318210504</v>
      </c>
    </row>
    <row r="76" spans="1:3" x14ac:dyDescent="0.15">
      <c r="A76" t="str">
        <v>GM_17_NA_B3</v>
      </c>
      <c r="B76">
        <f>SUMIF('DBH only'!$P$2:$P$316,A76,'DBH only'!$O$2:$O$316)</f>
        <v>74455.355665410825</v>
      </c>
      <c r="C76">
        <f t="shared" si="1"/>
        <v>134019.6401977395</v>
      </c>
    </row>
    <row r="77" spans="1:3" x14ac:dyDescent="0.15">
      <c r="A77" t="str">
        <v>GM_17_NA_B1</v>
      </c>
      <c r="B77">
        <f>SUMIF('DBH only'!$P$2:$P$316,A77,'DBH only'!$O$2:$O$316)</f>
        <v>7333.2496753482665</v>
      </c>
      <c r="C77">
        <f t="shared" si="1"/>
        <v>13199.849415626881</v>
      </c>
    </row>
    <row r="78" spans="1:3" x14ac:dyDescent="0.15">
      <c r="A78" t="str">
        <v>GM_17_NA_B2</v>
      </c>
      <c r="B78">
        <f>SUMIF('DBH only'!$P$2:$P$316,A78,'DBH only'!$O$2:$O$316)</f>
        <v>14278.935435906886</v>
      </c>
      <c r="C78">
        <f t="shared" si="1"/>
        <v>25702.083784632392</v>
      </c>
    </row>
    <row r="79" spans="1:3" x14ac:dyDescent="0.15">
      <c r="A79" t="str">
        <v>GM_18_NA_B1</v>
      </c>
      <c r="B79">
        <f>SUMIF('DBH only'!$P$2:$P$316,A79,'DBH only'!$O$2:$O$316)</f>
        <v>83581.909158598675</v>
      </c>
      <c r="C79">
        <f t="shared" si="1"/>
        <v>150447.43648547761</v>
      </c>
    </row>
    <row r="80" spans="1:3" x14ac:dyDescent="0.15">
      <c r="A80" t="str">
        <v>GM_18_NA_B4</v>
      </c>
      <c r="B80">
        <f>SUMIF('DBH only'!$P$2:$P$316,A80,'DBH only'!$O$2:$O$316)</f>
        <v>124106.80097851653</v>
      </c>
      <c r="C80">
        <f t="shared" si="1"/>
        <v>223392.24176132976</v>
      </c>
    </row>
    <row r="81" spans="1:3" x14ac:dyDescent="0.15">
      <c r="A81" t="str">
        <v>GM_18_NA_B3</v>
      </c>
      <c r="B81">
        <f>SUMIF('DBH only'!$P$2:$P$316,A81,'DBH only'!$O$2:$O$316)</f>
        <v>605502.38708709634</v>
      </c>
      <c r="C81">
        <f t="shared" si="1"/>
        <v>1089904.2967567735</v>
      </c>
    </row>
    <row r="82" spans="1:3" x14ac:dyDescent="0.15">
      <c r="A82" t="str">
        <v>GM_18_NA_B2</v>
      </c>
      <c r="B82">
        <f>SUMIF('DBH only'!$P$2:$P$316,A82,'DBH only'!$O$2:$O$316)</f>
        <v>205266.17932106816</v>
      </c>
      <c r="C82">
        <f t="shared" si="1"/>
        <v>369479.12277792266</v>
      </c>
    </row>
    <row r="83" spans="1:3" x14ac:dyDescent="0.15">
      <c r="A83" t="str">
        <v>TN_19_CTRL_B3</v>
      </c>
      <c r="B83">
        <f>SUMIF('DBH only'!$P$2:$P$316,A83,'DBH only'!$O$2:$O$316)</f>
        <v>142989.85380333508</v>
      </c>
      <c r="C83">
        <f t="shared" si="1"/>
        <v>257381.73684600313</v>
      </c>
    </row>
    <row r="84" spans="1:3" x14ac:dyDescent="0.15">
      <c r="A84" t="str">
        <v>TN_19_CTRL_B1</v>
      </c>
      <c r="B84" t="e">
        <f>SUMIF('DBH only'!$P$2:$P$316,A84,'DBH only'!$O$2:$O$316)</f>
        <v>#N/A</v>
      </c>
      <c r="C84" t="e">
        <f t="shared" si="1"/>
        <v>#N/A</v>
      </c>
    </row>
    <row r="85" spans="1:3" x14ac:dyDescent="0.15">
      <c r="A85" t="str">
        <v>TN_19_CTRL_B2</v>
      </c>
      <c r="B85" t="e">
        <f>SUMIF('DBH only'!$P$2:$P$316,A85,'DBH only'!$O$2:$O$316)</f>
        <v>#N/A</v>
      </c>
      <c r="C85" t="e">
        <f t="shared" si="1"/>
        <v>#N/A</v>
      </c>
    </row>
    <row r="86" spans="1:3" x14ac:dyDescent="0.15">
      <c r="A86" t="str">
        <v>TN_19_CTRL_B4</v>
      </c>
      <c r="B86" t="e">
        <f>SUMIF('DBH only'!$P$2:$P$316,A86,'DBH only'!$O$2:$O$316)</f>
        <v>#N/A</v>
      </c>
      <c r="C86" t="e">
        <f t="shared" si="1"/>
        <v>#N/A</v>
      </c>
    </row>
    <row r="87" spans="1:3" x14ac:dyDescent="0.15">
      <c r="A87" t="str">
        <v>TN_19_EX_B3</v>
      </c>
      <c r="B87">
        <f>SUMIF('DBH only'!$P$2:$P$316,A87,'DBH only'!$O$2:$O$316)</f>
        <v>31847.957271597756</v>
      </c>
      <c r="C87">
        <f t="shared" si="1"/>
        <v>57326.323088875957</v>
      </c>
    </row>
    <row r="88" spans="1:3" x14ac:dyDescent="0.15">
      <c r="A88" t="str">
        <v>TN_19_EX_B4</v>
      </c>
      <c r="B88">
        <f>SUMIF('DBH only'!$P$2:$P$316,A88,'DBH only'!$O$2:$O$316)</f>
        <v>40589.798029208119</v>
      </c>
      <c r="C88">
        <f t="shared" si="1"/>
        <v>73061.636452574603</v>
      </c>
    </row>
    <row r="89" spans="1:3" x14ac:dyDescent="0.15">
      <c r="A89" t="str">
        <v>TN_19_EX_B2</v>
      </c>
      <c r="B89">
        <f>SUMIF('DBH only'!$P$2:$P$316,A89,'DBH only'!$O$2:$O$316)</f>
        <v>41179.112009998644</v>
      </c>
      <c r="C89">
        <f t="shared" si="1"/>
        <v>74122.401617997559</v>
      </c>
    </row>
    <row r="90" spans="1:3" x14ac:dyDescent="0.15">
      <c r="A90" t="str">
        <v>TN_19_EX_B1</v>
      </c>
      <c r="B90">
        <f>SUMIF('DBH only'!$P$2:$P$316,A90,'DBH only'!$O$2:$O$316)</f>
        <v>24832.762165337044</v>
      </c>
      <c r="C90">
        <f t="shared" si="1"/>
        <v>44698.97189760668</v>
      </c>
    </row>
    <row r="91" spans="1:3" x14ac:dyDescent="0.15">
      <c r="A91" t="str">
        <v>TN_20_CTRL_B1</v>
      </c>
      <c r="B91">
        <f>SUMIF('DBH only'!$P$2:$P$316,A91,'DBH only'!$O$2:$O$316)</f>
        <v>321310.77855363145</v>
      </c>
      <c r="C91">
        <f t="shared" si="1"/>
        <v>578359.40139653662</v>
      </c>
    </row>
    <row r="92" spans="1:3" x14ac:dyDescent="0.15">
      <c r="A92" t="str">
        <v>TN_20_CTRL_B2</v>
      </c>
      <c r="B92" t="e">
        <f>SUMIF('DBH only'!$P$2:$P$316,A92,'DBH only'!$O$2:$O$316)</f>
        <v>#N/A</v>
      </c>
      <c r="C92" t="e">
        <f t="shared" si="1"/>
        <v>#N/A</v>
      </c>
    </row>
    <row r="93" spans="1:3" x14ac:dyDescent="0.15">
      <c r="A93" t="str">
        <v>TN_20_CTRL_B3</v>
      </c>
      <c r="B93" t="e">
        <f>SUMIF('DBH only'!$P$2:$P$316,A93,'DBH only'!$O$2:$O$316)</f>
        <v>#N/A</v>
      </c>
      <c r="C93" t="e">
        <f t="shared" si="1"/>
        <v>#N/A</v>
      </c>
    </row>
    <row r="94" spans="1:3" x14ac:dyDescent="0.15">
      <c r="A94" t="str">
        <v>TN_20_CTRL_B4</v>
      </c>
      <c r="B94" t="e">
        <f>SUMIF('DBH only'!$P$2:$P$316,A94,'DBH only'!$O$2:$O$316)</f>
        <v>#N/A</v>
      </c>
      <c r="C94" t="e">
        <f t="shared" si="1"/>
        <v>#N/A</v>
      </c>
    </row>
    <row r="95" spans="1:3" x14ac:dyDescent="0.15">
      <c r="A95" t="str">
        <v>TN_20_EX_B4</v>
      </c>
      <c r="B95">
        <f>SUMIF('DBH only'!$P$2:$P$316,A95,'DBH only'!$O$2:$O$316)</f>
        <v>16687.036175437272</v>
      </c>
      <c r="C95">
        <f t="shared" si="1"/>
        <v>30036.665115787087</v>
      </c>
    </row>
    <row r="96" spans="1:3" x14ac:dyDescent="0.15">
      <c r="A96" t="str">
        <v>TN_20_EX_B1</v>
      </c>
      <c r="B96">
        <f>SUMIF('DBH only'!$P$2:$P$316,A96,'DBH only'!$O$2:$O$316)</f>
        <v>4841.8884623631375</v>
      </c>
      <c r="C96">
        <f t="shared" si="1"/>
        <v>8715.3992322536469</v>
      </c>
    </row>
    <row r="97" spans="1:3" x14ac:dyDescent="0.15">
      <c r="A97" t="str">
        <v>TN_20_EX_B3</v>
      </c>
      <c r="B97">
        <f>SUMIF('DBH only'!$P$2:$P$316,A97,'DBH only'!$O$2:$O$316)</f>
        <v>6190.7443771281978</v>
      </c>
      <c r="C97">
        <f t="shared" si="1"/>
        <v>11143.339878830757</v>
      </c>
    </row>
    <row r="98" spans="1:3" x14ac:dyDescent="0.15">
      <c r="A98" t="str">
        <v>TN_20_EX_B2</v>
      </c>
      <c r="B98">
        <f>SUMIF('DBH only'!$P$2:$P$316,A98,'DBH only'!$O$2:$O$316)</f>
        <v>24198.761796617218</v>
      </c>
      <c r="C98">
        <f t="shared" si="1"/>
        <v>43557.771233910993</v>
      </c>
    </row>
    <row r="99" spans="1:3" x14ac:dyDescent="0.15">
      <c r="A99" t="str">
        <v>TN_21_CTRL_B4</v>
      </c>
      <c r="B99">
        <f>SUMIF('DBH only'!$P$2:$P$316,A99,'DBH only'!$O$2:$O$316)</f>
        <v>3571.0106093778986</v>
      </c>
      <c r="C99">
        <f t="shared" si="1"/>
        <v>6427.8190968802173</v>
      </c>
    </row>
    <row r="100" spans="1:3" x14ac:dyDescent="0.15">
      <c r="A100" t="str">
        <v>TN_21_CTRL_B1</v>
      </c>
      <c r="B100" t="e">
        <f>SUMIF('DBH only'!$P$2:$P$316,A100,'DBH only'!$O$2:$O$316)</f>
        <v>#N/A</v>
      </c>
      <c r="C100" t="e">
        <f t="shared" si="1"/>
        <v>#N/A</v>
      </c>
    </row>
    <row r="101" spans="1:3" x14ac:dyDescent="0.15">
      <c r="A101" t="str">
        <v>TN_21_CTRL_B2</v>
      </c>
      <c r="B101" t="e">
        <f>SUMIF('DBH only'!$P$2:$P$316,A101,'DBH only'!$O$2:$O$316)</f>
        <v>#N/A</v>
      </c>
      <c r="C101" t="e">
        <f t="shared" si="1"/>
        <v>#N/A</v>
      </c>
    </row>
    <row r="102" spans="1:3" x14ac:dyDescent="0.15">
      <c r="A102" t="str">
        <v>TN_21_CTRL_B3</v>
      </c>
      <c r="B102" t="e">
        <f>SUMIF('DBH only'!$P$2:$P$316,A102,'DBH only'!$O$2:$O$316)</f>
        <v>#N/A</v>
      </c>
      <c r="C102" t="e">
        <f t="shared" si="1"/>
        <v>#N/A</v>
      </c>
    </row>
    <row r="103" spans="1:3" x14ac:dyDescent="0.15">
      <c r="A103" t="str">
        <v>TN_21_EX_B2</v>
      </c>
      <c r="B103">
        <f>SUMIF('DBH only'!$P$2:$P$316,A103,'DBH only'!$O$2:$O$316)</f>
        <v>45734.465230712383</v>
      </c>
      <c r="C103">
        <f t="shared" si="1"/>
        <v>82322.037415282291</v>
      </c>
    </row>
    <row r="104" spans="1:3" x14ac:dyDescent="0.15">
      <c r="A104" t="str">
        <v>TN_21_EX_B4</v>
      </c>
      <c r="B104">
        <f>SUMIF('DBH only'!$P$2:$P$316,A104,'DBH only'!$O$2:$O$316)</f>
        <v>17882.068858528728</v>
      </c>
      <c r="C104">
        <f t="shared" si="1"/>
        <v>32187.723945351714</v>
      </c>
    </row>
    <row r="105" spans="1:3" x14ac:dyDescent="0.15">
      <c r="A105" t="str">
        <v>TN_21_EX_B1</v>
      </c>
      <c r="B105">
        <f>SUMIF('DBH only'!$P$2:$P$316,A105,'DBH only'!$O$2:$O$316)</f>
        <v>35473.994555591322</v>
      </c>
      <c r="C105">
        <f t="shared" si="1"/>
        <v>63853.190200064375</v>
      </c>
    </row>
    <row r="106" spans="1:3" x14ac:dyDescent="0.15">
      <c r="A106" t="str">
        <v>TN_21_EX_B3</v>
      </c>
      <c r="B106">
        <f>SUMIF('DBH only'!$P$2:$P$316,A106,'DBH only'!$O$2:$O$316)</f>
        <v>6658.8874879669584</v>
      </c>
      <c r="C106">
        <f t="shared" si="1"/>
        <v>11985.997478340525</v>
      </c>
    </row>
    <row r="107" spans="1:3" x14ac:dyDescent="0.15">
      <c r="A107" t="str">
        <v>TN_22_CTRL_B2</v>
      </c>
      <c r="B107">
        <f>SUMIF('DBH only'!$P$2:$P$316,A107,'DBH only'!$O$2:$O$316)</f>
        <v>113666.78471185314</v>
      </c>
      <c r="C107">
        <f t="shared" si="1"/>
        <v>204600.21248133565</v>
      </c>
    </row>
    <row r="108" spans="1:3" x14ac:dyDescent="0.15">
      <c r="A108" t="str">
        <v>TN_22_CTRL_B1</v>
      </c>
      <c r="B108" t="e">
        <f>SUMIF('DBH only'!$P$2:$P$316,A108,'DBH only'!$O$2:$O$316)</f>
        <v>#N/A</v>
      </c>
      <c r="C108" t="e">
        <f t="shared" si="1"/>
        <v>#N/A</v>
      </c>
    </row>
    <row r="109" spans="1:3" x14ac:dyDescent="0.15">
      <c r="A109" t="str">
        <v>TN_22_CTRL_B3</v>
      </c>
      <c r="B109" t="e">
        <f>SUMIF('DBH only'!$P$2:$P$316,A109,'DBH only'!$O$2:$O$316)</f>
        <v>#N/A</v>
      </c>
      <c r="C109" t="e">
        <f t="shared" si="1"/>
        <v>#N/A</v>
      </c>
    </row>
    <row r="110" spans="1:3" x14ac:dyDescent="0.15">
      <c r="A110" t="str">
        <v>TN_22_CTRL_B4</v>
      </c>
      <c r="B110" t="e">
        <f>SUMIF('DBH only'!$P$2:$P$316,A110,'DBH only'!$O$2:$O$316)</f>
        <v>#N/A</v>
      </c>
      <c r="C110" t="e">
        <f t="shared" si="1"/>
        <v>#N/A</v>
      </c>
    </row>
    <row r="111" spans="1:3" x14ac:dyDescent="0.15">
      <c r="A111" t="str">
        <v>TN_22_EX_B2</v>
      </c>
      <c r="B111">
        <f>SUMIF('DBH only'!$P$2:$P$316,A111,'DBH only'!$O$2:$O$316)</f>
        <v>574750.50412043487</v>
      </c>
      <c r="C111">
        <f t="shared" si="1"/>
        <v>1034550.9074167827</v>
      </c>
    </row>
    <row r="112" spans="1:3" x14ac:dyDescent="0.15">
      <c r="A112" t="str">
        <v>TN_22_EX_B4</v>
      </c>
      <c r="B112">
        <f>SUMIF('DBH only'!$P$2:$P$316,A112,'DBH only'!$O$2:$O$316)</f>
        <v>170153.18918539115</v>
      </c>
      <c r="C112">
        <f t="shared" si="1"/>
        <v>306275.74053370405</v>
      </c>
    </row>
    <row r="113" spans="1:3" x14ac:dyDescent="0.15">
      <c r="A113" t="str">
        <v>TN_22_EX_B3</v>
      </c>
      <c r="B113">
        <f>SUMIF('DBH only'!$P$2:$P$316,A113,'DBH only'!$O$2:$O$316)</f>
        <v>219431.55034857721</v>
      </c>
      <c r="C113">
        <f t="shared" si="1"/>
        <v>394976.79062743892</v>
      </c>
    </row>
    <row r="114" spans="1:3" x14ac:dyDescent="0.15">
      <c r="A114" t="str">
        <v>TN_22_EX_B1</v>
      </c>
      <c r="B114" t="e">
        <f>SUMIF('DBH only'!$P$2:$P$316,A114,'DBH only'!$O$2:$O$316)</f>
        <v>#N/A</v>
      </c>
      <c r="C114" t="e">
        <f t="shared" si="1"/>
        <v>#N/A</v>
      </c>
    </row>
    <row r="115" spans="1:3" x14ac:dyDescent="0.15">
      <c r="A115" t="str">
        <v>TN_23_NA_B1</v>
      </c>
      <c r="B115" t="e">
        <f>SUMIF('DBH only'!$P$2:$P$316,A115,'DBH only'!$O$2:$O$316)</f>
        <v>#N/A</v>
      </c>
      <c r="C115" t="e">
        <f t="shared" si="1"/>
        <v>#N/A</v>
      </c>
    </row>
    <row r="116" spans="1:3" x14ac:dyDescent="0.15">
      <c r="A116" t="str">
        <v>TN_23_NA_B2</v>
      </c>
      <c r="B116" t="e">
        <f>SUMIF('DBH only'!$P$2:$P$316,A116,'DBH only'!$O$2:$O$316)</f>
        <v>#N/A</v>
      </c>
      <c r="C116" t="e">
        <f t="shared" si="1"/>
        <v>#N/A</v>
      </c>
    </row>
    <row r="117" spans="1:3" x14ac:dyDescent="0.15">
      <c r="A117" t="str">
        <v>TN_23_NA_B3</v>
      </c>
      <c r="B117" t="e">
        <f>SUMIF('DBH only'!$P$2:$P$316,A117,'DBH only'!$O$2:$O$316)</f>
        <v>#N/A</v>
      </c>
      <c r="C117" t="e">
        <f t="shared" si="1"/>
        <v>#N/A</v>
      </c>
    </row>
    <row r="118" spans="1:3" x14ac:dyDescent="0.15">
      <c r="A118" t="str">
        <v>TN_23_NA_B4</v>
      </c>
      <c r="B118" t="e">
        <f>SUMIF('DBH only'!$P$2:$P$316,A118,'DBH only'!$O$2:$O$316)</f>
        <v>#N/A</v>
      </c>
      <c r="C118" t="e">
        <f t="shared" si="1"/>
        <v>#N/A</v>
      </c>
    </row>
    <row r="119" spans="1:3" x14ac:dyDescent="0.15">
      <c r="A119" t="str">
        <v>TN_24_NA_B3</v>
      </c>
      <c r="B119">
        <f>SUMIF('DBH only'!$P$2:$P$316,A119,'DBH only'!$O$2:$O$316)</f>
        <v>764106.97414221941</v>
      </c>
      <c r="C119">
        <f t="shared" si="1"/>
        <v>1375392.5534559949</v>
      </c>
    </row>
    <row r="120" spans="1:3" x14ac:dyDescent="0.15">
      <c r="A120" t="str">
        <v>TN_24_NA_B1</v>
      </c>
      <c r="B120" t="e">
        <f>SUMIF('DBH only'!$P$2:$P$316,A120,'DBH only'!$O$2:$O$316)</f>
        <v>#N/A</v>
      </c>
      <c r="C120" t="e">
        <f t="shared" si="1"/>
        <v>#N/A</v>
      </c>
    </row>
    <row r="121" spans="1:3" x14ac:dyDescent="0.15">
      <c r="A121" t="str">
        <v>TN_24_NA_B2</v>
      </c>
      <c r="B121" t="e">
        <f>SUMIF('DBH only'!$P$2:$P$316,A121,'DBH only'!$O$2:$O$316)</f>
        <v>#N/A</v>
      </c>
      <c r="C121" t="e">
        <f t="shared" si="1"/>
        <v>#N/A</v>
      </c>
    </row>
    <row r="122" spans="1:3" x14ac:dyDescent="0.15">
      <c r="A122" t="str">
        <v>TN_24_NA_B4</v>
      </c>
      <c r="B122" t="e">
        <f>SUMIF('DBH only'!$P$2:$P$316,A122,'DBH only'!$O$2:$O$316)</f>
        <v>#N/A</v>
      </c>
      <c r="C122" t="e">
        <f t="shared" si="1"/>
        <v>#N/A</v>
      </c>
    </row>
    <row r="123" spans="1:3" x14ac:dyDescent="0.15">
      <c r="A123" t="str">
        <v>TN_25_CTRL_B1</v>
      </c>
      <c r="B123" t="e">
        <f>SUMIF('DBH only'!$P$2:$P$316,A123,'DBH only'!$O$2:$O$316)</f>
        <v>#N/A</v>
      </c>
      <c r="C123" t="e">
        <f t="shared" si="1"/>
        <v>#N/A</v>
      </c>
    </row>
    <row r="124" spans="1:3" x14ac:dyDescent="0.15">
      <c r="A124" t="str">
        <v>TN_25_CTRL_B2</v>
      </c>
      <c r="B124" t="e">
        <f>SUMIF('DBH only'!$P$2:$P$316,A124,'DBH only'!$O$2:$O$316)</f>
        <v>#N/A</v>
      </c>
      <c r="C124" t="e">
        <f t="shared" si="1"/>
        <v>#N/A</v>
      </c>
    </row>
    <row r="125" spans="1:3" x14ac:dyDescent="0.15">
      <c r="A125" t="str">
        <v>TN_25_CTRL_B3</v>
      </c>
      <c r="B125" t="e">
        <f>SUMIF('DBH only'!$P$2:$P$316,A125,'DBH only'!$O$2:$O$316)</f>
        <v>#N/A</v>
      </c>
      <c r="C125" t="e">
        <f t="shared" si="1"/>
        <v>#N/A</v>
      </c>
    </row>
    <row r="126" spans="1:3" x14ac:dyDescent="0.15">
      <c r="A126" t="str">
        <v>TN_25_CTRL_B4</v>
      </c>
      <c r="B126" t="e">
        <f>SUMIF('DBH only'!$P$2:$P$316,A126,'DBH only'!$O$2:$O$316)</f>
        <v>#N/A</v>
      </c>
      <c r="C126" t="e">
        <f t="shared" si="1"/>
        <v>#N/A</v>
      </c>
    </row>
    <row r="127" spans="1:3" x14ac:dyDescent="0.15">
      <c r="A127" t="str">
        <v>TN_25_EX_B1</v>
      </c>
      <c r="B127">
        <f>SUMIF('DBH only'!$P$2:$P$316,A127,'DBH only'!$O$2:$O$316)</f>
        <v>5062.6983200081304</v>
      </c>
      <c r="C127">
        <f t="shared" si="1"/>
        <v>9112.8569760146347</v>
      </c>
    </row>
    <row r="128" spans="1:3" x14ac:dyDescent="0.15">
      <c r="A128" t="str">
        <v>TN_25_EX_B4</v>
      </c>
      <c r="B128">
        <f>SUMIF('DBH only'!$P$2:$P$316,A128,'DBH only'!$O$2:$O$316)</f>
        <v>2070.8363258584486</v>
      </c>
      <c r="C128">
        <f t="shared" si="1"/>
        <v>3727.5053865452078</v>
      </c>
    </row>
    <row r="129" spans="1:3" x14ac:dyDescent="0.15">
      <c r="A129" t="str">
        <v>TN_25_EX_B2</v>
      </c>
      <c r="B129">
        <f>SUMIF('DBH only'!$P$2:$P$316,A129,'DBH only'!$O$2:$O$316)</f>
        <v>3579.0013216951497</v>
      </c>
      <c r="C129">
        <f t="shared" si="1"/>
        <v>6442.2023790512694</v>
      </c>
    </row>
    <row r="130" spans="1:3" x14ac:dyDescent="0.15">
      <c r="A130" t="str">
        <v>TN_25_EX_B3</v>
      </c>
      <c r="B130">
        <f>SUMIF('DBH only'!$P$2:$P$316,A130,'DBH only'!$O$2:$O$316)</f>
        <v>4192.5978610720231</v>
      </c>
      <c r="C130">
        <f t="shared" si="1"/>
        <v>7546.6761499296408</v>
      </c>
    </row>
    <row r="131" spans="1:3" x14ac:dyDescent="0.15">
      <c r="A131" t="str">
        <v>TN_26_NA_B1</v>
      </c>
      <c r="B131" t="e">
        <f>SUMIF('DBH only'!$P$2:$P$316,A131,'DBH only'!$O$2:$O$316)</f>
        <v>#N/A</v>
      </c>
      <c r="C131" t="e">
        <f t="shared" ref="C131:C182" si="2">B131*9/5</f>
        <v>#N/A</v>
      </c>
    </row>
    <row r="132" spans="1:3" x14ac:dyDescent="0.15">
      <c r="A132" t="str">
        <v>TN_26_NA_B2</v>
      </c>
      <c r="B132" t="e">
        <f>SUMIF('DBH only'!$P$2:$P$316,A132,'DBH only'!$O$2:$O$316)</f>
        <v>#N/A</v>
      </c>
      <c r="C132" t="e">
        <f t="shared" si="2"/>
        <v>#N/A</v>
      </c>
    </row>
    <row r="133" spans="1:3" x14ac:dyDescent="0.15">
      <c r="A133" t="str">
        <v>TN_26_NA_B3</v>
      </c>
      <c r="B133" t="e">
        <f>SUMIF('DBH only'!$P$2:$P$316,A133,'DBH only'!$O$2:$O$316)</f>
        <v>#N/A</v>
      </c>
      <c r="C133" t="e">
        <f t="shared" si="2"/>
        <v>#N/A</v>
      </c>
    </row>
    <row r="134" spans="1:3" x14ac:dyDescent="0.15">
      <c r="A134" t="str">
        <v>TN_26_NA_B4</v>
      </c>
      <c r="B134" t="e">
        <f>SUMIF('DBH only'!$P$2:$P$316,A134,'DBH only'!$O$2:$O$316)</f>
        <v>#N/A</v>
      </c>
      <c r="C134" t="e">
        <f t="shared" si="2"/>
        <v>#N/A</v>
      </c>
    </row>
    <row r="135" spans="1:3" x14ac:dyDescent="0.15">
      <c r="A135" t="str">
        <v>TN_27_NA_B2</v>
      </c>
      <c r="B135">
        <f>SUMIF('DBH only'!$P$2:$P$316,A135,'DBH only'!$O$2:$O$316)</f>
        <v>9185.3295684467903</v>
      </c>
      <c r="C135">
        <f t="shared" si="2"/>
        <v>16533.593223204221</v>
      </c>
    </row>
    <row r="136" spans="1:3" x14ac:dyDescent="0.15">
      <c r="A136" t="str">
        <v>TN_27_NA_B1</v>
      </c>
      <c r="B136" t="e">
        <f>SUMIF('DBH only'!$P$2:$P$316,A136,'DBH only'!$O$2:$O$316)</f>
        <v>#N/A</v>
      </c>
      <c r="C136" t="e">
        <f t="shared" si="2"/>
        <v>#N/A</v>
      </c>
    </row>
    <row r="137" spans="1:3" x14ac:dyDescent="0.15">
      <c r="A137" t="str">
        <v>TN_27_NA_B3</v>
      </c>
      <c r="B137" t="e">
        <f>SUMIF('DBH only'!$P$2:$P$316,A137,'DBH only'!$O$2:$O$316)</f>
        <v>#N/A</v>
      </c>
      <c r="C137" t="e">
        <f t="shared" si="2"/>
        <v>#N/A</v>
      </c>
    </row>
    <row r="138" spans="1:3" x14ac:dyDescent="0.15">
      <c r="A138" t="str">
        <v>TN_27_NA_B4</v>
      </c>
      <c r="B138" t="e">
        <f>SUMIF('DBH only'!$P$2:$P$316,A138,'DBH only'!$O$2:$O$316)</f>
        <v>#N/A</v>
      </c>
      <c r="C138" t="e">
        <f t="shared" si="2"/>
        <v>#N/A</v>
      </c>
    </row>
    <row r="139" spans="1:3" x14ac:dyDescent="0.15">
      <c r="A139" t="str">
        <v>TN_28_NA_B3</v>
      </c>
      <c r="B139">
        <f>SUMIF('DBH only'!$P$2:$P$316,A139,'DBH only'!$O$2:$O$316)</f>
        <v>5696.4311335056445</v>
      </c>
      <c r="C139">
        <f t="shared" si="2"/>
        <v>10253.576040310159</v>
      </c>
    </row>
    <row r="140" spans="1:3" x14ac:dyDescent="0.15">
      <c r="A140" t="str">
        <v>TN_28_NA_B1</v>
      </c>
      <c r="B140">
        <f>SUMIF('DBH only'!$P$2:$P$316,A140,'DBH only'!$O$2:$O$316)</f>
        <v>8410.1083756831194</v>
      </c>
      <c r="C140">
        <f t="shared" si="2"/>
        <v>15138.195076229615</v>
      </c>
    </row>
    <row r="141" spans="1:3" x14ac:dyDescent="0.15">
      <c r="A141" t="str">
        <v>TN_28_NA_B4</v>
      </c>
      <c r="B141">
        <f>SUMIF('DBH only'!$P$2:$P$316,A141,'DBH only'!$O$2:$O$316)</f>
        <v>195771.08116918363</v>
      </c>
      <c r="C141">
        <f t="shared" si="2"/>
        <v>352387.94610453054</v>
      </c>
    </row>
    <row r="142" spans="1:3" x14ac:dyDescent="0.15">
      <c r="A142" t="str">
        <v>TN_28_NA_B2</v>
      </c>
      <c r="B142" t="e">
        <f>SUMIF('DBH only'!$P$2:$P$316,A142,'DBH only'!$O$2:$O$316)</f>
        <v>#N/A</v>
      </c>
      <c r="C142" t="e">
        <f t="shared" si="2"/>
        <v>#N/A</v>
      </c>
    </row>
    <row r="143" spans="1:3" x14ac:dyDescent="0.15">
      <c r="A143" t="str">
        <v>TN_29_NA_B1</v>
      </c>
      <c r="B143" t="e">
        <f>SUMIF('DBH only'!$P$2:$P$316,A143,'DBH only'!$O$2:$O$316)</f>
        <v>#N/A</v>
      </c>
      <c r="C143" t="e">
        <f t="shared" si="2"/>
        <v>#N/A</v>
      </c>
    </row>
    <row r="144" spans="1:3" x14ac:dyDescent="0.15">
      <c r="A144" t="str">
        <v>TN_29_NA_B2</v>
      </c>
      <c r="B144" t="e">
        <f>SUMIF('DBH only'!$P$2:$P$316,A144,'DBH only'!$O$2:$O$316)</f>
        <v>#N/A</v>
      </c>
      <c r="C144" t="e">
        <f t="shared" si="2"/>
        <v>#N/A</v>
      </c>
    </row>
    <row r="145" spans="1:3" x14ac:dyDescent="0.15">
      <c r="A145" t="str">
        <v>TN_29_NA_B3</v>
      </c>
      <c r="B145" t="e">
        <f>SUMIF('DBH only'!$P$2:$P$316,A145,'DBH only'!$O$2:$O$316)</f>
        <v>#N/A</v>
      </c>
      <c r="C145" t="e">
        <f t="shared" si="2"/>
        <v>#N/A</v>
      </c>
    </row>
    <row r="146" spans="1:3" x14ac:dyDescent="0.15">
      <c r="A146" t="str">
        <v>TN_29_NA_B4</v>
      </c>
      <c r="B146" t="e">
        <f>SUMIF('DBH only'!$P$2:$P$316,A146,'DBH only'!$O$2:$O$316)</f>
        <v>#N/A</v>
      </c>
      <c r="C146" t="e">
        <f t="shared" si="2"/>
        <v>#N/A</v>
      </c>
    </row>
    <row r="147" spans="1:3" x14ac:dyDescent="0.15">
      <c r="A147" t="str">
        <v>TN_30_NA_B1</v>
      </c>
      <c r="B147" t="e">
        <f>SUMIF('DBH only'!$P$2:$P$316,A147,'DBH only'!$O$2:$O$316)</f>
        <v>#N/A</v>
      </c>
      <c r="C147" t="e">
        <f t="shared" si="2"/>
        <v>#N/A</v>
      </c>
    </row>
    <row r="148" spans="1:3" x14ac:dyDescent="0.15">
      <c r="A148" t="str">
        <v>TN_30_NA_B2</v>
      </c>
      <c r="B148" t="e">
        <f>SUMIF('DBH only'!$P$2:$P$316,A148,'DBH only'!$O$2:$O$316)</f>
        <v>#N/A</v>
      </c>
      <c r="C148" t="e">
        <f t="shared" si="2"/>
        <v>#N/A</v>
      </c>
    </row>
    <row r="149" spans="1:3" x14ac:dyDescent="0.15">
      <c r="A149" t="str">
        <v>TN_30_NA_B3</v>
      </c>
      <c r="B149" t="e">
        <f>SUMIF('DBH only'!$P$2:$P$316,A149,'DBH only'!$O$2:$O$316)</f>
        <v>#N/A</v>
      </c>
      <c r="C149" t="e">
        <f t="shared" si="2"/>
        <v>#N/A</v>
      </c>
    </row>
    <row r="150" spans="1:3" x14ac:dyDescent="0.15">
      <c r="A150" t="str">
        <v>TN_30_NA_B4</v>
      </c>
      <c r="B150" t="e">
        <f>SUMIF('DBH only'!$P$2:$P$316,A150,'DBH only'!$O$2:$O$316)</f>
        <v>#N/A</v>
      </c>
      <c r="C150" t="e">
        <f t="shared" si="2"/>
        <v>#N/A</v>
      </c>
    </row>
    <row r="151" spans="1:3" x14ac:dyDescent="0.15">
      <c r="A151" t="str">
        <v>TN_31_CTRL_B4</v>
      </c>
      <c r="B151">
        <f>SUMIF('DBH only'!$P$2:$P$316,A151,'DBH only'!$O$2:$O$316)</f>
        <v>355001.45068599924</v>
      </c>
      <c r="C151">
        <f t="shared" si="2"/>
        <v>639002.61123479868</v>
      </c>
    </row>
    <row r="152" spans="1:3" x14ac:dyDescent="0.15">
      <c r="A152" t="str">
        <v>TN_31_CTRL_B1</v>
      </c>
      <c r="B152">
        <f>SUMIF('DBH only'!$P$2:$P$316,A152,'DBH only'!$O$2:$O$316)</f>
        <v>310344.5074998223</v>
      </c>
      <c r="C152">
        <f t="shared" si="2"/>
        <v>558620.11349968018</v>
      </c>
    </row>
    <row r="153" spans="1:3" x14ac:dyDescent="0.15">
      <c r="A153" t="str">
        <v>TN_31_CTRL_B2</v>
      </c>
      <c r="B153" t="e">
        <f>SUMIF('DBH only'!$P$2:$P$316,A153,'DBH only'!$O$2:$O$316)</f>
        <v>#N/A</v>
      </c>
      <c r="C153" t="e">
        <f t="shared" si="2"/>
        <v>#N/A</v>
      </c>
    </row>
    <row r="154" spans="1:3" x14ac:dyDescent="0.15">
      <c r="A154" t="str">
        <v>TN_31_CTRL_B3</v>
      </c>
      <c r="B154" t="e">
        <f>SUMIF('DBH only'!$P$2:$P$316,A154,'DBH only'!$O$2:$O$316)</f>
        <v>#N/A</v>
      </c>
      <c r="C154" t="e">
        <f t="shared" si="2"/>
        <v>#N/A</v>
      </c>
    </row>
    <row r="155" spans="1:3" x14ac:dyDescent="0.15">
      <c r="A155" t="str">
        <v>TN_31_EX_B4</v>
      </c>
      <c r="B155">
        <f>SUMIF('DBH only'!$P$2:$P$316,A155,'DBH only'!$O$2:$O$316)</f>
        <v>291519.88806096936</v>
      </c>
      <c r="C155">
        <f t="shared" si="2"/>
        <v>524735.79850974481</v>
      </c>
    </row>
    <row r="156" spans="1:3" x14ac:dyDescent="0.15">
      <c r="A156" t="str">
        <v>TN_31_EX_B2</v>
      </c>
      <c r="B156">
        <f>SUMIF('DBH only'!$P$2:$P$316,A156,'DBH only'!$O$2:$O$316)</f>
        <v>536462.66928885807</v>
      </c>
      <c r="C156">
        <f t="shared" si="2"/>
        <v>965632.80471994448</v>
      </c>
    </row>
    <row r="157" spans="1:3" x14ac:dyDescent="0.15">
      <c r="A157" t="str">
        <v>TN_31_EX_B3</v>
      </c>
      <c r="B157">
        <f>SUMIF('DBH only'!$P$2:$P$316,A157,'DBH only'!$O$2:$O$316)</f>
        <v>439816.31111294916</v>
      </c>
      <c r="C157">
        <f t="shared" si="2"/>
        <v>791669.36000330851</v>
      </c>
    </row>
    <row r="158" spans="1:3" x14ac:dyDescent="0.15">
      <c r="A158" t="str">
        <v>TN_31_EX_B1</v>
      </c>
      <c r="B158">
        <f>SUMIF('DBH only'!$P$2:$P$316,A158,'DBH only'!$O$2:$O$316)</f>
        <v>441521.01012588822</v>
      </c>
      <c r="C158">
        <f t="shared" si="2"/>
        <v>794737.81822659879</v>
      </c>
    </row>
    <row r="159" spans="1:3" x14ac:dyDescent="0.15">
      <c r="A159" t="str">
        <v>TN_32_NA_B2</v>
      </c>
      <c r="B159">
        <f>SUMIF('DBH only'!$P$2:$P$316,A159,'DBH only'!$O$2:$O$316)</f>
        <v>1630481.9314839577</v>
      </c>
      <c r="C159">
        <f t="shared" si="2"/>
        <v>2934867.4766711239</v>
      </c>
    </row>
    <row r="160" spans="1:3" x14ac:dyDescent="0.15">
      <c r="A160" t="str">
        <v>TN_32_NA_B1</v>
      </c>
      <c r="B160">
        <f>SUMIF('DBH only'!$P$2:$P$316,A160,'DBH only'!$O$2:$O$316)</f>
        <v>812250.40743788367</v>
      </c>
      <c r="C160">
        <f t="shared" si="2"/>
        <v>1462050.7333881906</v>
      </c>
    </row>
    <row r="161" spans="1:3" x14ac:dyDescent="0.15">
      <c r="A161" t="str">
        <v>TN_32_NA_B3</v>
      </c>
      <c r="B161">
        <f>SUMIF('DBH only'!$P$2:$P$316,A161,'DBH only'!$O$2:$O$316)</f>
        <v>924389.27445366234</v>
      </c>
      <c r="C161">
        <f t="shared" si="2"/>
        <v>1663900.6940165921</v>
      </c>
    </row>
    <row r="162" spans="1:3" x14ac:dyDescent="0.15">
      <c r="A162" t="str">
        <v>TN_32_NA_B4</v>
      </c>
      <c r="B162" t="e">
        <f>SUMIF('DBH only'!$P$2:$P$316,A162,'DBH only'!$O$2:$O$316)</f>
        <v>#N/A</v>
      </c>
      <c r="C162" t="e">
        <f t="shared" si="2"/>
        <v>#N/A</v>
      </c>
    </row>
    <row r="163" spans="1:3" x14ac:dyDescent="0.15">
      <c r="A163" t="str">
        <v>TN_33_NA_B2</v>
      </c>
      <c r="B163">
        <f>SUMIF('DBH only'!$P$2:$P$316,A163,'DBH only'!$O$2:$O$316)</f>
        <v>187646.79698951202</v>
      </c>
      <c r="C163">
        <f t="shared" si="2"/>
        <v>337764.23458112159</v>
      </c>
    </row>
    <row r="164" spans="1:3" x14ac:dyDescent="0.15">
      <c r="A164" t="str">
        <v>TN_33_NA_B4</v>
      </c>
      <c r="B164">
        <f>SUMIF('DBH only'!$P$2:$P$316,A164,'DBH only'!$O$2:$O$316)</f>
        <v>254649.31291781011</v>
      </c>
      <c r="C164">
        <f t="shared" si="2"/>
        <v>458368.76325205818</v>
      </c>
    </row>
    <row r="165" spans="1:3" x14ac:dyDescent="0.15">
      <c r="A165" t="str">
        <v>TN_33_NA_B1</v>
      </c>
      <c r="B165" t="e">
        <f>SUMIF('DBH only'!$P$2:$P$316,A165,'DBH only'!$O$2:$O$316)</f>
        <v>#N/A</v>
      </c>
      <c r="C165" t="e">
        <f t="shared" si="2"/>
        <v>#N/A</v>
      </c>
    </row>
    <row r="166" spans="1:3" x14ac:dyDescent="0.15">
      <c r="A166" t="str">
        <v>TN_33_NA_B3</v>
      </c>
      <c r="B166" t="e">
        <f>SUMIF('DBH only'!$P$2:$P$316,A166,'DBH only'!$O$2:$O$316)</f>
        <v>#N/A</v>
      </c>
      <c r="C166" t="e">
        <f t="shared" si="2"/>
        <v>#N/A</v>
      </c>
    </row>
    <row r="167" spans="1:3" x14ac:dyDescent="0.15">
      <c r="A167" t="str">
        <v>TN_34_CTRL_B3</v>
      </c>
      <c r="B167">
        <f>SUMIF('DBH only'!$P$2:$P$316,A167,'DBH only'!$O$2:$O$316)</f>
        <v>491081.87974904332</v>
      </c>
      <c r="C167">
        <f t="shared" si="2"/>
        <v>883947.38354827801</v>
      </c>
    </row>
    <row r="168" spans="1:3" x14ac:dyDescent="0.15">
      <c r="A168" t="str">
        <v>TN_34_CTRL_B1</v>
      </c>
      <c r="B168" t="e">
        <f>SUMIF('DBH only'!$P$2:$P$316,A168,'DBH only'!$O$2:$O$316)</f>
        <v>#N/A</v>
      </c>
      <c r="C168" t="e">
        <f t="shared" si="2"/>
        <v>#N/A</v>
      </c>
    </row>
    <row r="169" spans="1:3" x14ac:dyDescent="0.15">
      <c r="A169" t="str">
        <v>TN_34_CTRL_B2</v>
      </c>
      <c r="B169" t="e">
        <f>SUMIF('DBH only'!$P$2:$P$316,A169,'DBH only'!$O$2:$O$316)</f>
        <v>#N/A</v>
      </c>
      <c r="C169" t="e">
        <f t="shared" si="2"/>
        <v>#N/A</v>
      </c>
    </row>
    <row r="170" spans="1:3" x14ac:dyDescent="0.15">
      <c r="A170" t="str">
        <v>TN_34_CTRL_B4</v>
      </c>
      <c r="B170" t="e">
        <f>SUMIF('DBH only'!$P$2:$P$316,A170,'DBH only'!$O$2:$O$316)</f>
        <v>#N/A</v>
      </c>
      <c r="C170" t="e">
        <f t="shared" si="2"/>
        <v>#N/A</v>
      </c>
    </row>
    <row r="171" spans="1:3" x14ac:dyDescent="0.15">
      <c r="A171" t="str">
        <v>TN_34_EX_B3</v>
      </c>
      <c r="B171">
        <f>SUMIF('DBH only'!$P$2:$P$316,A171,'DBH only'!$O$2:$O$316)</f>
        <v>501485.19231213786</v>
      </c>
      <c r="C171">
        <f t="shared" si="2"/>
        <v>902673.34616184817</v>
      </c>
    </row>
    <row r="172" spans="1:3" x14ac:dyDescent="0.15">
      <c r="A172" t="str">
        <v>TN_34_EX_B1</v>
      </c>
      <c r="B172" t="e">
        <f>SUMIF('DBH only'!$P$2:$P$316,A172,'DBH only'!$O$2:$O$316)</f>
        <v>#N/A</v>
      </c>
      <c r="C172" t="e">
        <f t="shared" si="2"/>
        <v>#N/A</v>
      </c>
    </row>
    <row r="173" spans="1:3" x14ac:dyDescent="0.15">
      <c r="A173" t="str">
        <v>TN_34_EX_B2</v>
      </c>
      <c r="B173" t="e">
        <f>SUMIF('DBH only'!$P$2:$P$316,A173,'DBH only'!$O$2:$O$316)</f>
        <v>#N/A</v>
      </c>
      <c r="C173" t="e">
        <f t="shared" si="2"/>
        <v>#N/A</v>
      </c>
    </row>
    <row r="174" spans="1:3" x14ac:dyDescent="0.15">
      <c r="A174" t="str">
        <v>TN_34_EX_B4</v>
      </c>
      <c r="B174" t="e">
        <f>SUMIF('DBH only'!$P$2:$P$316,A174,'DBH only'!$O$2:$O$316)</f>
        <v>#N/A</v>
      </c>
      <c r="C174" t="e">
        <f t="shared" si="2"/>
        <v>#N/A</v>
      </c>
    </row>
    <row r="175" spans="1:3" x14ac:dyDescent="0.15">
      <c r="A175" t="str">
        <v>GM_35_NA_B1</v>
      </c>
      <c r="B175">
        <f>SUMIF('DBH only'!$P$2:$P$316,A175,'DBH only'!$O$2:$O$316)</f>
        <v>13129.056171703793</v>
      </c>
      <c r="C175">
        <f t="shared" si="2"/>
        <v>23632.301109066826</v>
      </c>
    </row>
    <row r="176" spans="1:3" x14ac:dyDescent="0.15">
      <c r="A176" t="str">
        <v>GM_35_NA_B3</v>
      </c>
      <c r="B176">
        <f>SUMIF('DBH only'!$P$2:$P$316,A176,'DBH only'!$O$2:$O$316)</f>
        <v>5636.4812133764708</v>
      </c>
      <c r="C176">
        <f t="shared" si="2"/>
        <v>10145.666184077647</v>
      </c>
    </row>
    <row r="177" spans="1:3" x14ac:dyDescent="0.15">
      <c r="A177" t="str">
        <v>GM_35_NA_B2</v>
      </c>
      <c r="B177">
        <f>SUMIF('DBH only'!$P$2:$P$316,A177,'DBH only'!$O$2:$O$316)</f>
        <v>106885.05366649679</v>
      </c>
      <c r="C177">
        <f t="shared" si="2"/>
        <v>192393.09659969423</v>
      </c>
    </row>
    <row r="178" spans="1:3" x14ac:dyDescent="0.15">
      <c r="A178" t="str">
        <v>GM_35_NA_B4</v>
      </c>
      <c r="B178" t="e">
        <f>SUMIF('DBH only'!$P$2:$P$316,A178,'DBH only'!$O$2:$O$316)</f>
        <v>#N/A</v>
      </c>
      <c r="C178" t="e">
        <f t="shared" si="2"/>
        <v>#N/A</v>
      </c>
    </row>
    <row r="179" spans="1:3" x14ac:dyDescent="0.15">
      <c r="A179" t="str">
        <v>GM_36_NA_B1</v>
      </c>
      <c r="B179">
        <f>SUMIF('DBH only'!$P$2:$P$316,A179,'DBH only'!$O$2:$O$316)</f>
        <v>79181.648219178343</v>
      </c>
      <c r="C179">
        <f t="shared" si="2"/>
        <v>142526.96679452102</v>
      </c>
    </row>
    <row r="180" spans="1:3" x14ac:dyDescent="0.15">
      <c r="A180" t="str">
        <v>GM_36_NA_B3</v>
      </c>
      <c r="B180">
        <f>SUMIF('DBH only'!$P$2:$P$316,A180,'DBH only'!$O$2:$O$316)</f>
        <v>75854.868550937084</v>
      </c>
      <c r="C180">
        <f t="shared" si="2"/>
        <v>136538.76339168675</v>
      </c>
    </row>
    <row r="181" spans="1:3" x14ac:dyDescent="0.15">
      <c r="A181" t="str">
        <v>GM_36_NA_B2</v>
      </c>
      <c r="B181" t="e">
        <f>SUMIF('DBH only'!$P$2:$P$316,A181,'DBH only'!$O$2:$O$316)</f>
        <v>#N/A</v>
      </c>
      <c r="C181" t="e">
        <f t="shared" si="2"/>
        <v>#N/A</v>
      </c>
    </row>
    <row r="182" spans="1:3" x14ac:dyDescent="0.15">
      <c r="A182" t="str">
        <v>GM_36_NA_B4</v>
      </c>
      <c r="B182" t="e">
        <f>SUMIF('DBH only'!$P$2:$P$316,A182,'DBH only'!$O$2:$O$316)</f>
        <v>#N/A</v>
      </c>
      <c r="C182" t="e">
        <f t="shared" si="2"/>
        <v>#N/A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34794-4BE6-E34B-BB54-3A3A0E183614}">
  <dimension ref="A1:C182"/>
  <sheetViews>
    <sheetView workbookViewId="0">
      <selection activeCell="G30" sqref="G30"/>
    </sheetView>
  </sheetViews>
  <sheetFormatPr baseColWidth="10" defaultRowHeight="13" x14ac:dyDescent="0.15"/>
  <cols>
    <col min="1" max="1" width="15.33203125" bestFit="1" customWidth="1"/>
  </cols>
  <sheetData>
    <row r="1" spans="1:3" ht="15" x14ac:dyDescent="0.2">
      <c r="A1" s="43" t="s">
        <v>289</v>
      </c>
      <c r="B1" s="43" t="s">
        <v>290</v>
      </c>
      <c r="C1" s="43" t="s">
        <v>293</v>
      </c>
    </row>
    <row r="2" spans="1:3" x14ac:dyDescent="0.15">
      <c r="A2" t="str" cm="1">
        <f t="array" ref="A2:A182">_xlfn.UNIQUE('DBH only'!P2:P316)</f>
        <v>GM_1_CTRL_B1</v>
      </c>
      <c r="B2" t="e">
        <f>SUMIF('DBH only root'!$Q$2:$Q$316,A2,'DBH only root'!$P$2:$P$316)</f>
        <v>#N/A</v>
      </c>
      <c r="C2" t="e">
        <f>B2*9/5</f>
        <v>#N/A</v>
      </c>
    </row>
    <row r="3" spans="1:3" x14ac:dyDescent="0.15">
      <c r="A3" t="str">
        <v>GM_1_CTRL_B2</v>
      </c>
      <c r="B3" t="e">
        <f>SUMIF('DBH only root'!$Q$2:$Q$316,A3,'DBH only root'!$P$2:$P$316)</f>
        <v>#N/A</v>
      </c>
      <c r="C3" t="e">
        <f t="shared" ref="C3:C66" si="0">B3*9/5</f>
        <v>#N/A</v>
      </c>
    </row>
    <row r="4" spans="1:3" x14ac:dyDescent="0.15">
      <c r="A4" t="str">
        <v>GM_1_CTRL_B3</v>
      </c>
      <c r="B4" t="e">
        <f>SUMIF('DBH only root'!$Q$2:$Q$316,A4,'DBH only root'!$P$2:$P$316)</f>
        <v>#N/A</v>
      </c>
      <c r="C4" t="e">
        <f t="shared" si="0"/>
        <v>#N/A</v>
      </c>
    </row>
    <row r="5" spans="1:3" x14ac:dyDescent="0.15">
      <c r="A5" t="str">
        <v>GM_1_CTRL_B4</v>
      </c>
      <c r="B5" t="e">
        <f>SUMIF('DBH only root'!$Q$2:$Q$316,A5,'DBH only root'!$P$2:$P$316)</f>
        <v>#N/A</v>
      </c>
      <c r="C5" t="e">
        <f t="shared" si="0"/>
        <v>#N/A</v>
      </c>
    </row>
    <row r="6" spans="1:3" x14ac:dyDescent="0.15">
      <c r="A6" t="str">
        <v>GM_1_EX_B3</v>
      </c>
      <c r="B6">
        <f>SUMIF('DBH only root'!$Q$2:$Q$316,A6,'DBH only root'!$P$2:$P$316)</f>
        <v>12829.54602771391</v>
      </c>
      <c r="C6">
        <f t="shared" si="0"/>
        <v>23093.182849885037</v>
      </c>
    </row>
    <row r="7" spans="1:3" x14ac:dyDescent="0.15">
      <c r="A7" t="str">
        <v>GM_1_EX_B1</v>
      </c>
      <c r="B7">
        <f>SUMIF('DBH only root'!$Q$2:$Q$316,A7,'DBH only root'!$P$2:$P$316)</f>
        <v>10626.589816991156</v>
      </c>
      <c r="C7">
        <f t="shared" si="0"/>
        <v>19127.86167058408</v>
      </c>
    </row>
    <row r="8" spans="1:3" x14ac:dyDescent="0.15">
      <c r="A8" t="str">
        <v>GM_1_EX_B2</v>
      </c>
      <c r="B8">
        <f>SUMIF('DBH only root'!$Q$2:$Q$316,A8,'DBH only root'!$P$2:$P$316)</f>
        <v>38197.969327824874</v>
      </c>
      <c r="C8">
        <f t="shared" si="0"/>
        <v>68756.344790084782</v>
      </c>
    </row>
    <row r="9" spans="1:3" x14ac:dyDescent="0.15">
      <c r="A9" t="str">
        <v>GM_2_NA_B1</v>
      </c>
      <c r="B9" t="e">
        <f>SUMIF('DBH only root'!$Q$2:$Q$316,A9,'DBH only root'!$P$2:$P$316)</f>
        <v>#N/A</v>
      </c>
      <c r="C9" t="e">
        <f t="shared" si="0"/>
        <v>#N/A</v>
      </c>
    </row>
    <row r="10" spans="1:3" x14ac:dyDescent="0.15">
      <c r="A10" t="str">
        <v>GM_2_NA_B2</v>
      </c>
      <c r="B10" t="e">
        <f>SUMIF('DBH only root'!$Q$2:$Q$316,A10,'DBH only root'!$P$2:$P$316)</f>
        <v>#N/A</v>
      </c>
      <c r="C10" t="e">
        <f t="shared" si="0"/>
        <v>#N/A</v>
      </c>
    </row>
    <row r="11" spans="1:3" x14ac:dyDescent="0.15">
      <c r="A11" t="str">
        <v>GM_2_NA_B3</v>
      </c>
      <c r="B11" t="e">
        <f>SUMIF('DBH only root'!$Q$2:$Q$316,A11,'DBH only root'!$P$2:$P$316)</f>
        <v>#N/A</v>
      </c>
      <c r="C11" t="e">
        <f t="shared" si="0"/>
        <v>#N/A</v>
      </c>
    </row>
    <row r="12" spans="1:3" x14ac:dyDescent="0.15">
      <c r="A12" t="str">
        <v>GM_2_NA_B4</v>
      </c>
      <c r="B12" t="e">
        <f>SUMIF('DBH only root'!$Q$2:$Q$316,A12,'DBH only root'!$P$2:$P$316)</f>
        <v>#N/A</v>
      </c>
      <c r="C12" t="e">
        <f t="shared" si="0"/>
        <v>#N/A</v>
      </c>
    </row>
    <row r="13" spans="1:3" x14ac:dyDescent="0.15">
      <c r="A13" t="str">
        <v>GM_3_NA_B1</v>
      </c>
      <c r="B13" t="e">
        <f>SUMIF('DBH only root'!$Q$2:$Q$316,A13,'DBH only root'!$P$2:$P$316)</f>
        <v>#N/A</v>
      </c>
      <c r="C13" t="e">
        <f t="shared" si="0"/>
        <v>#N/A</v>
      </c>
    </row>
    <row r="14" spans="1:3" x14ac:dyDescent="0.15">
      <c r="A14" t="str">
        <v>GM_3_NA_B2</v>
      </c>
      <c r="B14" t="e">
        <f>SUMIF('DBH only root'!$Q$2:$Q$316,A14,'DBH only root'!$P$2:$P$316)</f>
        <v>#N/A</v>
      </c>
      <c r="C14" t="e">
        <f t="shared" si="0"/>
        <v>#N/A</v>
      </c>
    </row>
    <row r="15" spans="1:3" x14ac:dyDescent="0.15">
      <c r="A15" t="str">
        <v>GM_3_NA_B3</v>
      </c>
      <c r="B15" t="e">
        <f>SUMIF('DBH only root'!$Q$2:$Q$316,A15,'DBH only root'!$P$2:$P$316)</f>
        <v>#N/A</v>
      </c>
      <c r="C15" t="e">
        <f t="shared" si="0"/>
        <v>#N/A</v>
      </c>
    </row>
    <row r="16" spans="1:3" x14ac:dyDescent="0.15">
      <c r="A16" t="str">
        <v>GM_3_NA_B4</v>
      </c>
      <c r="B16" t="e">
        <f>SUMIF('DBH only root'!$Q$2:$Q$316,A16,'DBH only root'!$P$2:$P$316)</f>
        <v>#N/A</v>
      </c>
      <c r="C16" t="e">
        <f t="shared" si="0"/>
        <v>#N/A</v>
      </c>
    </row>
    <row r="17" spans="1:3" x14ac:dyDescent="0.15">
      <c r="A17" t="str">
        <v>GM_4_NA_B1</v>
      </c>
      <c r="B17" t="e">
        <f>SUMIF('DBH only root'!$Q$2:$Q$316,A17,'DBH only root'!$P$2:$P$316)</f>
        <v>#N/A</v>
      </c>
      <c r="C17" t="e">
        <f t="shared" si="0"/>
        <v>#N/A</v>
      </c>
    </row>
    <row r="18" spans="1:3" x14ac:dyDescent="0.15">
      <c r="A18" t="str">
        <v>GM_4_NA_B2</v>
      </c>
      <c r="B18" t="e">
        <f>SUMIF('DBH only root'!$Q$2:$Q$316,A18,'DBH only root'!$P$2:$P$316)</f>
        <v>#N/A</v>
      </c>
      <c r="C18" t="e">
        <f t="shared" si="0"/>
        <v>#N/A</v>
      </c>
    </row>
    <row r="19" spans="1:3" x14ac:dyDescent="0.15">
      <c r="A19" t="str">
        <v>GM_4_NA_B3</v>
      </c>
      <c r="B19" t="e">
        <f>SUMIF('DBH only root'!$Q$2:$Q$316,A19,'DBH only root'!$P$2:$P$316)</f>
        <v>#N/A</v>
      </c>
      <c r="C19" t="e">
        <f t="shared" si="0"/>
        <v>#N/A</v>
      </c>
    </row>
    <row r="20" spans="1:3" x14ac:dyDescent="0.15">
      <c r="A20" t="str">
        <v>GM_4_NA_B4</v>
      </c>
      <c r="B20" t="e">
        <f>SUMIF('DBH only root'!$Q$2:$Q$316,A20,'DBH only root'!$P$2:$P$316)</f>
        <v>#N/A</v>
      </c>
      <c r="C20" t="e">
        <f t="shared" si="0"/>
        <v>#N/A</v>
      </c>
    </row>
    <row r="21" spans="1:3" x14ac:dyDescent="0.15">
      <c r="A21" t="str">
        <v>GM_5_CTRL_B1</v>
      </c>
      <c r="B21" t="e">
        <f>SUMIF('DBH only root'!$Q$2:$Q$316,A21,'DBH only root'!$P$2:$P$316)</f>
        <v>#N/A</v>
      </c>
      <c r="C21" t="e">
        <f t="shared" si="0"/>
        <v>#N/A</v>
      </c>
    </row>
    <row r="22" spans="1:3" x14ac:dyDescent="0.15">
      <c r="A22" t="str">
        <v>GM_5_CTRL_B2</v>
      </c>
      <c r="B22" t="e">
        <f>SUMIF('DBH only root'!$Q$2:$Q$316,A22,'DBH only root'!$P$2:$P$316)</f>
        <v>#N/A</v>
      </c>
      <c r="C22" t="e">
        <f t="shared" si="0"/>
        <v>#N/A</v>
      </c>
    </row>
    <row r="23" spans="1:3" x14ac:dyDescent="0.15">
      <c r="A23" t="str">
        <v>GM_5_CTRL_B3</v>
      </c>
      <c r="B23" t="e">
        <f>SUMIF('DBH only root'!$Q$2:$Q$316,A23,'DBH only root'!$P$2:$P$316)</f>
        <v>#N/A</v>
      </c>
      <c r="C23" t="e">
        <f t="shared" si="0"/>
        <v>#N/A</v>
      </c>
    </row>
    <row r="24" spans="1:3" x14ac:dyDescent="0.15">
      <c r="A24" t="str">
        <v>GM_5_CTRL_B4</v>
      </c>
      <c r="B24" t="e">
        <f>SUMIF('DBH only root'!$Q$2:$Q$316,A24,'DBH only root'!$P$2:$P$316)</f>
        <v>#N/A</v>
      </c>
      <c r="C24" t="e">
        <f t="shared" si="0"/>
        <v>#N/A</v>
      </c>
    </row>
    <row r="25" spans="1:3" x14ac:dyDescent="0.15">
      <c r="A25" t="str">
        <v>GM_5_EX_B1</v>
      </c>
      <c r="B25">
        <f>SUMIF('DBH only root'!$Q$2:$Q$316,A25,'DBH only root'!$P$2:$P$316)</f>
        <v>886.60033884206371</v>
      </c>
      <c r="C25">
        <f t="shared" si="0"/>
        <v>1595.8806099157148</v>
      </c>
    </row>
    <row r="26" spans="1:3" x14ac:dyDescent="0.15">
      <c r="A26" t="str">
        <v>GM_5_EX_B3</v>
      </c>
      <c r="B26">
        <f>SUMIF('DBH only root'!$Q$2:$Q$316,A26,'DBH only root'!$P$2:$P$316)</f>
        <v>12739.815747009143</v>
      </c>
      <c r="C26">
        <f t="shared" si="0"/>
        <v>22931.668344616457</v>
      </c>
    </row>
    <row r="27" spans="1:3" x14ac:dyDescent="0.15">
      <c r="A27" t="str">
        <v>GM_5_EX_B2</v>
      </c>
      <c r="B27">
        <f>SUMIF('DBH only root'!$Q$2:$Q$316,A27,'DBH only root'!$P$2:$P$316)</f>
        <v>7863.6079911397519</v>
      </c>
      <c r="C27">
        <f t="shared" si="0"/>
        <v>14154.494384051553</v>
      </c>
    </row>
    <row r="28" spans="1:3" x14ac:dyDescent="0.15">
      <c r="A28" t="str">
        <v>GM_6_NA_B4</v>
      </c>
      <c r="B28">
        <f>SUMIF('DBH only root'!$Q$2:$Q$316,A28,'DBH only root'!$P$2:$P$316)</f>
        <v>2845.3603838666986</v>
      </c>
      <c r="C28">
        <f t="shared" si="0"/>
        <v>5121.6486909600571</v>
      </c>
    </row>
    <row r="29" spans="1:3" x14ac:dyDescent="0.15">
      <c r="A29" t="str">
        <v>GM_6_NA_B1</v>
      </c>
      <c r="B29" t="e">
        <f>SUMIF('DBH only root'!$Q$2:$Q$316,A29,'DBH only root'!$P$2:$P$316)</f>
        <v>#N/A</v>
      </c>
      <c r="C29" t="e">
        <f t="shared" si="0"/>
        <v>#N/A</v>
      </c>
    </row>
    <row r="30" spans="1:3" x14ac:dyDescent="0.15">
      <c r="A30" t="str">
        <v>GM_6_NA_B2</v>
      </c>
      <c r="B30" t="e">
        <f>SUMIF('DBH only root'!$Q$2:$Q$316,A30,'DBH only root'!$P$2:$P$316)</f>
        <v>#N/A</v>
      </c>
      <c r="C30" t="e">
        <f t="shared" si="0"/>
        <v>#N/A</v>
      </c>
    </row>
    <row r="31" spans="1:3" x14ac:dyDescent="0.15">
      <c r="A31" t="str">
        <v>GM_6_NA_B3</v>
      </c>
      <c r="B31" t="e">
        <f>SUMIF('DBH only root'!$Q$2:$Q$316,A31,'DBH only root'!$P$2:$P$316)</f>
        <v>#N/A</v>
      </c>
      <c r="C31" t="e">
        <f t="shared" si="0"/>
        <v>#N/A</v>
      </c>
    </row>
    <row r="32" spans="1:3" x14ac:dyDescent="0.15">
      <c r="A32" t="str">
        <v>GM_7_NA_B1</v>
      </c>
      <c r="B32" t="e">
        <f>SUMIF('DBH only root'!$Q$2:$Q$316,A32,'DBH only root'!$P$2:$P$316)</f>
        <v>#N/A</v>
      </c>
      <c r="C32" t="e">
        <f t="shared" si="0"/>
        <v>#N/A</v>
      </c>
    </row>
    <row r="33" spans="1:3" x14ac:dyDescent="0.15">
      <c r="A33" t="str">
        <v>GM_7_NA_B2</v>
      </c>
      <c r="B33" t="e">
        <f>SUMIF('DBH only root'!$Q$2:$Q$316,A33,'DBH only root'!$P$2:$P$316)</f>
        <v>#N/A</v>
      </c>
      <c r="C33" t="e">
        <f t="shared" si="0"/>
        <v>#N/A</v>
      </c>
    </row>
    <row r="34" spans="1:3" x14ac:dyDescent="0.15">
      <c r="A34" t="str">
        <v>GM_7_NA_B3</v>
      </c>
      <c r="B34" t="e">
        <f>SUMIF('DBH only root'!$Q$2:$Q$316,A34,'DBH only root'!$P$2:$P$316)</f>
        <v>#N/A</v>
      </c>
      <c r="C34" t="e">
        <f t="shared" si="0"/>
        <v>#N/A</v>
      </c>
    </row>
    <row r="35" spans="1:3" x14ac:dyDescent="0.15">
      <c r="A35" t="str">
        <v>GM_7_NA_B4</v>
      </c>
      <c r="B35" t="e">
        <f>SUMIF('DBH only root'!$Q$2:$Q$316,A35,'DBH only root'!$P$2:$P$316)</f>
        <v>#N/A</v>
      </c>
      <c r="C35" t="e">
        <f t="shared" si="0"/>
        <v>#N/A</v>
      </c>
    </row>
    <row r="36" spans="1:3" x14ac:dyDescent="0.15">
      <c r="A36" t="str">
        <v>GM_8_NA_B2</v>
      </c>
      <c r="B36">
        <f>SUMIF('DBH only root'!$Q$2:$Q$316,A36,'DBH only root'!$P$2:$P$316)</f>
        <v>16839.780818308038</v>
      </c>
      <c r="C36">
        <f t="shared" si="0"/>
        <v>30311.605472954467</v>
      </c>
    </row>
    <row r="37" spans="1:3" x14ac:dyDescent="0.15">
      <c r="A37" t="str">
        <v>GM_8_NA_B1</v>
      </c>
      <c r="B37" t="e">
        <f>SUMIF('DBH only root'!$Q$2:$Q$316,A37,'DBH only root'!$P$2:$P$316)</f>
        <v>#N/A</v>
      </c>
      <c r="C37" t="e">
        <f t="shared" si="0"/>
        <v>#N/A</v>
      </c>
    </row>
    <row r="38" spans="1:3" x14ac:dyDescent="0.15">
      <c r="A38" t="str">
        <v>GM_8_NA_B3</v>
      </c>
      <c r="B38" t="e">
        <f>SUMIF('DBH only root'!$Q$2:$Q$316,A38,'DBH only root'!$P$2:$P$316)</f>
        <v>#N/A</v>
      </c>
      <c r="C38" t="e">
        <f t="shared" si="0"/>
        <v>#N/A</v>
      </c>
    </row>
    <row r="39" spans="1:3" x14ac:dyDescent="0.15">
      <c r="A39" t="str">
        <v>GM_8_NA_B4</v>
      </c>
      <c r="B39" t="e">
        <f>SUMIF('DBH only root'!$Q$2:$Q$316,A39,'DBH only root'!$P$2:$P$316)</f>
        <v>#N/A</v>
      </c>
      <c r="C39" t="e">
        <f t="shared" si="0"/>
        <v>#N/A</v>
      </c>
    </row>
    <row r="40" spans="1:3" x14ac:dyDescent="0.15">
      <c r="A40" t="str">
        <v>GM_9_NA_B1</v>
      </c>
      <c r="B40" t="e">
        <f>SUMIF('DBH only root'!$Q$2:$Q$316,A40,'DBH only root'!$P$2:$P$316)</f>
        <v>#N/A</v>
      </c>
      <c r="C40" t="e">
        <f t="shared" si="0"/>
        <v>#N/A</v>
      </c>
    </row>
    <row r="41" spans="1:3" x14ac:dyDescent="0.15">
      <c r="A41" t="str">
        <v>GM_9_NA_B2</v>
      </c>
      <c r="B41" t="e">
        <f>SUMIF('DBH only root'!$Q$2:$Q$316,A41,'DBH only root'!$P$2:$P$316)</f>
        <v>#N/A</v>
      </c>
      <c r="C41" t="e">
        <f t="shared" si="0"/>
        <v>#N/A</v>
      </c>
    </row>
    <row r="42" spans="1:3" x14ac:dyDescent="0.15">
      <c r="A42" t="str">
        <v>GM_9_NA_B3</v>
      </c>
      <c r="B42" t="e">
        <f>SUMIF('DBH only root'!$Q$2:$Q$316,A42,'DBH only root'!$P$2:$P$316)</f>
        <v>#N/A</v>
      </c>
      <c r="C42" t="e">
        <f t="shared" si="0"/>
        <v>#N/A</v>
      </c>
    </row>
    <row r="43" spans="1:3" x14ac:dyDescent="0.15">
      <c r="A43" t="str">
        <v>GM_9_NA_B4</v>
      </c>
      <c r="B43" t="e">
        <f>SUMIF('DBH only root'!$Q$2:$Q$316,A43,'DBH only root'!$P$2:$P$316)</f>
        <v>#N/A</v>
      </c>
      <c r="C43" t="e">
        <f t="shared" si="0"/>
        <v>#N/A</v>
      </c>
    </row>
    <row r="44" spans="1:3" x14ac:dyDescent="0.15">
      <c r="A44" t="str">
        <v>GM_10_NA_B1</v>
      </c>
      <c r="B44" t="e">
        <f>SUMIF('DBH only root'!$Q$2:$Q$316,A44,'DBH only root'!$P$2:$P$316)</f>
        <v>#N/A</v>
      </c>
      <c r="C44" t="e">
        <f t="shared" si="0"/>
        <v>#N/A</v>
      </c>
    </row>
    <row r="45" spans="1:3" x14ac:dyDescent="0.15">
      <c r="A45" t="str">
        <v>GM_10_NA_B2</v>
      </c>
      <c r="B45" t="e">
        <f>SUMIF('DBH only root'!$Q$2:$Q$316,A45,'DBH only root'!$P$2:$P$316)</f>
        <v>#N/A</v>
      </c>
      <c r="C45" t="e">
        <f t="shared" si="0"/>
        <v>#N/A</v>
      </c>
    </row>
    <row r="46" spans="1:3" x14ac:dyDescent="0.15">
      <c r="A46" t="str">
        <v>GM_10_NA_B3</v>
      </c>
      <c r="B46" t="e">
        <f>SUMIF('DBH only root'!$Q$2:$Q$316,A46,'DBH only root'!$P$2:$P$316)</f>
        <v>#N/A</v>
      </c>
      <c r="C46" t="e">
        <f t="shared" si="0"/>
        <v>#N/A</v>
      </c>
    </row>
    <row r="47" spans="1:3" x14ac:dyDescent="0.15">
      <c r="A47" t="str">
        <v>GM_10_NA_B4</v>
      </c>
      <c r="B47" t="e">
        <f>SUMIF('DBH only root'!$Q$2:$Q$316,A47,'DBH only root'!$P$2:$P$316)</f>
        <v>#N/A</v>
      </c>
      <c r="C47" t="e">
        <f t="shared" si="0"/>
        <v>#N/A</v>
      </c>
    </row>
    <row r="48" spans="1:3" x14ac:dyDescent="0.15">
      <c r="A48" t="str">
        <v>GM_11_NA_B4</v>
      </c>
      <c r="B48">
        <f>SUMIF('DBH only root'!$Q$2:$Q$316,A48,'DBH only root'!$P$2:$P$316)</f>
        <v>6267.9437135473754</v>
      </c>
      <c r="C48">
        <f t="shared" si="0"/>
        <v>11282.298684385276</v>
      </c>
    </row>
    <row r="49" spans="1:3" x14ac:dyDescent="0.15">
      <c r="A49" t="str">
        <v>GM_11_NA_B1</v>
      </c>
      <c r="B49" t="e">
        <f>SUMIF('DBH only root'!$Q$2:$Q$316,A49,'DBH only root'!$P$2:$P$316)</f>
        <v>#N/A</v>
      </c>
      <c r="C49" t="e">
        <f t="shared" si="0"/>
        <v>#N/A</v>
      </c>
    </row>
    <row r="50" spans="1:3" x14ac:dyDescent="0.15">
      <c r="A50" t="str">
        <v>GM_11_NA_B2</v>
      </c>
      <c r="B50" t="e">
        <f>SUMIF('DBH only root'!$Q$2:$Q$316,A50,'DBH only root'!$P$2:$P$316)</f>
        <v>#N/A</v>
      </c>
      <c r="C50" t="e">
        <f t="shared" si="0"/>
        <v>#N/A</v>
      </c>
    </row>
    <row r="51" spans="1:3" x14ac:dyDescent="0.15">
      <c r="A51" t="str">
        <v>GM_11_NA_B3</v>
      </c>
      <c r="B51" t="e">
        <f>SUMIF('DBH only root'!$Q$2:$Q$316,A51,'DBH only root'!$P$2:$P$316)</f>
        <v>#N/A</v>
      </c>
      <c r="C51" t="e">
        <f t="shared" si="0"/>
        <v>#N/A</v>
      </c>
    </row>
    <row r="52" spans="1:3" x14ac:dyDescent="0.15">
      <c r="A52" t="str">
        <v>GM_12_NA_B1</v>
      </c>
      <c r="B52" t="e">
        <f>SUMIF('DBH only root'!$Q$2:$Q$316,A52,'DBH only root'!$P$2:$P$316)</f>
        <v>#N/A</v>
      </c>
      <c r="C52" t="e">
        <f t="shared" si="0"/>
        <v>#N/A</v>
      </c>
    </row>
    <row r="53" spans="1:3" x14ac:dyDescent="0.15">
      <c r="A53" t="str">
        <v>GM_12_NA_B2</v>
      </c>
      <c r="B53" t="e">
        <f>SUMIF('DBH only root'!$Q$2:$Q$316,A53,'DBH only root'!$P$2:$P$316)</f>
        <v>#N/A</v>
      </c>
      <c r="C53" t="e">
        <f t="shared" si="0"/>
        <v>#N/A</v>
      </c>
    </row>
    <row r="54" spans="1:3" x14ac:dyDescent="0.15">
      <c r="A54" t="str">
        <v>GM_12_NA_B3</v>
      </c>
      <c r="B54" t="e">
        <f>SUMIF('DBH only root'!$Q$2:$Q$316,A54,'DBH only root'!$P$2:$P$316)</f>
        <v>#N/A</v>
      </c>
      <c r="C54" t="e">
        <f t="shared" si="0"/>
        <v>#N/A</v>
      </c>
    </row>
    <row r="55" spans="1:3" x14ac:dyDescent="0.15">
      <c r="A55" t="str">
        <v>GM_12_NA_B4</v>
      </c>
      <c r="B55" t="e">
        <f>SUMIF('DBH only root'!$Q$2:$Q$316,A55,'DBH only root'!$P$2:$P$316)</f>
        <v>#N/A</v>
      </c>
      <c r="C55" t="e">
        <f t="shared" si="0"/>
        <v>#N/A</v>
      </c>
    </row>
    <row r="56" spans="1:3" x14ac:dyDescent="0.15">
      <c r="A56" t="str">
        <v>GM_13_CTRL_B4</v>
      </c>
      <c r="B56">
        <f>SUMIF('DBH only root'!$Q$2:$Q$316,A56,'DBH only root'!$P$2:$P$316)</f>
        <v>19328.325772742475</v>
      </c>
      <c r="C56">
        <f t="shared" si="0"/>
        <v>34790.986390936458</v>
      </c>
    </row>
    <row r="57" spans="1:3" x14ac:dyDescent="0.15">
      <c r="A57" t="str">
        <v>GM_13_CTRL_B1</v>
      </c>
      <c r="B57">
        <f>SUMIF('DBH only root'!$Q$2:$Q$316,A57,'DBH only root'!$P$2:$P$316)</f>
        <v>16536.282413947523</v>
      </c>
      <c r="C57">
        <f t="shared" si="0"/>
        <v>29765.308345105539</v>
      </c>
    </row>
    <row r="58" spans="1:3" x14ac:dyDescent="0.15">
      <c r="A58" t="str">
        <v>GM_13_CTRL_B3</v>
      </c>
      <c r="B58">
        <f>SUMIF('DBH only root'!$Q$2:$Q$316,A58,'DBH only root'!$P$2:$P$316)</f>
        <v>192901.643766455</v>
      </c>
      <c r="C58">
        <f t="shared" si="0"/>
        <v>347222.95877961896</v>
      </c>
    </row>
    <row r="59" spans="1:3" x14ac:dyDescent="0.15">
      <c r="A59" t="str">
        <v>GM_13_CTRL_B2</v>
      </c>
      <c r="B59">
        <f>SUMIF('DBH only root'!$Q$2:$Q$316,A59,'DBH only root'!$P$2:$P$316)</f>
        <v>187118.47882867226</v>
      </c>
      <c r="C59">
        <f t="shared" si="0"/>
        <v>336813.26189161011</v>
      </c>
    </row>
    <row r="60" spans="1:3" x14ac:dyDescent="0.15">
      <c r="A60" t="str">
        <v>GM_13_EX_B2</v>
      </c>
      <c r="B60">
        <f>SUMIF('DBH only root'!$Q$2:$Q$316,A60,'DBH only root'!$P$2:$P$316)</f>
        <v>50072.88518307935</v>
      </c>
      <c r="C60">
        <f t="shared" si="0"/>
        <v>90131.193329542832</v>
      </c>
    </row>
    <row r="61" spans="1:3" x14ac:dyDescent="0.15">
      <c r="A61" t="str">
        <v>GM_13_EX_B1</v>
      </c>
      <c r="B61">
        <f>SUMIF('DBH only root'!$Q$2:$Q$316,A61,'DBH only root'!$P$2:$P$316)</f>
        <v>30043.4727921835</v>
      </c>
      <c r="C61">
        <f t="shared" si="0"/>
        <v>54078.251025930302</v>
      </c>
    </row>
    <row r="62" spans="1:3" x14ac:dyDescent="0.15">
      <c r="A62" t="str">
        <v>GM_13_EX_B3</v>
      </c>
      <c r="B62" t="e">
        <f>SUMIF('DBH only root'!$Q$2:$Q$316,A62,'DBH only root'!$P$2:$P$316)</f>
        <v>#N/A</v>
      </c>
      <c r="C62" t="e">
        <f t="shared" si="0"/>
        <v>#N/A</v>
      </c>
    </row>
    <row r="63" spans="1:3" x14ac:dyDescent="0.15">
      <c r="A63" t="str">
        <v>GM_14_NA_B4</v>
      </c>
      <c r="B63">
        <f>SUMIF('DBH only root'!$Q$2:$Q$316,A63,'DBH only root'!$P$2:$P$316)</f>
        <v>27440.508308890752</v>
      </c>
      <c r="C63">
        <f t="shared" si="0"/>
        <v>49392.914956003355</v>
      </c>
    </row>
    <row r="64" spans="1:3" x14ac:dyDescent="0.15">
      <c r="A64" t="str">
        <v>GM_14_NA_B2</v>
      </c>
      <c r="B64">
        <f>SUMIF('DBH only root'!$Q$2:$Q$316,A64,'DBH only root'!$P$2:$P$316)</f>
        <v>15063.278165015237</v>
      </c>
      <c r="C64">
        <f t="shared" si="0"/>
        <v>27113.900697027428</v>
      </c>
    </row>
    <row r="65" spans="1:3" x14ac:dyDescent="0.15">
      <c r="A65" t="str">
        <v>GM_14_NA_B1</v>
      </c>
      <c r="B65">
        <f>SUMIF('DBH only root'!$Q$2:$Q$316,A65,'DBH only root'!$P$2:$P$316)</f>
        <v>30776.947891565454</v>
      </c>
      <c r="C65">
        <f t="shared" si="0"/>
        <v>55398.506204817815</v>
      </c>
    </row>
    <row r="66" spans="1:3" x14ac:dyDescent="0.15">
      <c r="A66" t="str">
        <v>GM_14_NA_B3</v>
      </c>
      <c r="B66">
        <f>SUMIF('DBH only root'!$Q$2:$Q$316,A66,'DBH only root'!$P$2:$P$316)</f>
        <v>19552.375058038851</v>
      </c>
      <c r="C66">
        <f t="shared" si="0"/>
        <v>35194.275104469933</v>
      </c>
    </row>
    <row r="67" spans="1:3" x14ac:dyDescent="0.15">
      <c r="A67" t="str">
        <v>GM_15_NA_B2</v>
      </c>
      <c r="B67">
        <f>SUMIF('DBH only root'!$Q$2:$Q$316,A67,'DBH only root'!$P$2:$P$316)</f>
        <v>31791.723420152721</v>
      </c>
      <c r="C67">
        <f t="shared" ref="C67:C130" si="1">B67*9/5</f>
        <v>57225.102156274894</v>
      </c>
    </row>
    <row r="68" spans="1:3" x14ac:dyDescent="0.15">
      <c r="A68" t="str">
        <v>GM_15_NA_B3</v>
      </c>
      <c r="B68">
        <f>SUMIF('DBH only root'!$Q$2:$Q$316,A68,'DBH only root'!$P$2:$P$316)</f>
        <v>1177.1997474711125</v>
      </c>
      <c r="C68">
        <f t="shared" si="1"/>
        <v>2118.9595454480027</v>
      </c>
    </row>
    <row r="69" spans="1:3" x14ac:dyDescent="0.15">
      <c r="A69" t="str">
        <v>GM_15_NA_B1</v>
      </c>
      <c r="B69">
        <f>SUMIF('DBH only root'!$Q$2:$Q$316,A69,'DBH only root'!$P$2:$P$316)</f>
        <v>14703.880813318423</v>
      </c>
      <c r="C69">
        <f t="shared" si="1"/>
        <v>26466.985463973164</v>
      </c>
    </row>
    <row r="70" spans="1:3" x14ac:dyDescent="0.15">
      <c r="A70" t="str">
        <v>GM_15_NA_B4</v>
      </c>
      <c r="B70" t="e">
        <f>SUMIF('DBH only root'!$Q$2:$Q$316,A70,'DBH only root'!$P$2:$P$316)</f>
        <v>#N/A</v>
      </c>
      <c r="C70" t="e">
        <f t="shared" si="1"/>
        <v>#N/A</v>
      </c>
    </row>
    <row r="71" spans="1:3" x14ac:dyDescent="0.15">
      <c r="A71" t="str">
        <v>GM_16_NA_B1</v>
      </c>
      <c r="B71">
        <f>SUMIF('DBH only root'!$Q$2:$Q$316,A71,'DBH only root'!$P$2:$P$316)</f>
        <v>25467.953064067551</v>
      </c>
      <c r="C71">
        <f t="shared" si="1"/>
        <v>45842.315515321592</v>
      </c>
    </row>
    <row r="72" spans="1:3" x14ac:dyDescent="0.15">
      <c r="A72" t="str">
        <v>GM_16_NA_B3</v>
      </c>
      <c r="B72">
        <f>SUMIF('DBH only root'!$Q$2:$Q$316,A72,'DBH only root'!$P$2:$P$316)</f>
        <v>45475.380668423328</v>
      </c>
      <c r="C72">
        <f t="shared" si="1"/>
        <v>81855.685203161993</v>
      </c>
    </row>
    <row r="73" spans="1:3" x14ac:dyDescent="0.15">
      <c r="A73" t="str">
        <v>GM_16_NA_B4</v>
      </c>
      <c r="B73">
        <f>SUMIF('DBH only root'!$Q$2:$Q$316,A73,'DBH only root'!$P$2:$P$316)</f>
        <v>33852.771942045772</v>
      </c>
      <c r="C73">
        <f t="shared" si="1"/>
        <v>60934.989495682392</v>
      </c>
    </row>
    <row r="74" spans="1:3" x14ac:dyDescent="0.15">
      <c r="A74" t="str">
        <v>GM_16_NA_B2</v>
      </c>
      <c r="B74">
        <f>SUMIF('DBH only root'!$Q$2:$Q$316,A74,'DBH only root'!$P$2:$P$316)</f>
        <v>35695.916358761126</v>
      </c>
      <c r="C74">
        <f t="shared" si="1"/>
        <v>64252.649445770032</v>
      </c>
    </row>
    <row r="75" spans="1:3" x14ac:dyDescent="0.15">
      <c r="A75" t="str">
        <v>GM_17_NA_B4</v>
      </c>
      <c r="B75">
        <f>SUMIF('DBH only root'!$Q$2:$Q$316,A75,'DBH only root'!$P$2:$P$316)</f>
        <v>7636.4817108625684</v>
      </c>
      <c r="C75">
        <f t="shared" si="1"/>
        <v>13745.667079552624</v>
      </c>
    </row>
    <row r="76" spans="1:3" x14ac:dyDescent="0.15">
      <c r="A76" t="str">
        <v>GM_17_NA_B3</v>
      </c>
      <c r="B76">
        <f>SUMIF('DBH only root'!$Q$2:$Q$316,A76,'DBH only root'!$P$2:$P$316)</f>
        <v>18613.838916352703</v>
      </c>
      <c r="C76">
        <f t="shared" si="1"/>
        <v>33504.910049434868</v>
      </c>
    </row>
    <row r="77" spans="1:3" x14ac:dyDescent="0.15">
      <c r="A77" t="str">
        <v>GM_17_NA_B1</v>
      </c>
      <c r="B77">
        <f>SUMIF('DBH only root'!$Q$2:$Q$316,A77,'DBH only root'!$P$2:$P$316)</f>
        <v>1833.3124188370675</v>
      </c>
      <c r="C77">
        <f t="shared" si="1"/>
        <v>3299.9623539067215</v>
      </c>
    </row>
    <row r="78" spans="1:3" x14ac:dyDescent="0.15">
      <c r="A78" t="str">
        <v>GM_17_NA_B2</v>
      </c>
      <c r="B78">
        <f>SUMIF('DBH only root'!$Q$2:$Q$316,A78,'DBH only root'!$P$2:$P$316)</f>
        <v>3569.7338589767251</v>
      </c>
      <c r="C78">
        <f t="shared" si="1"/>
        <v>6425.5209461581053</v>
      </c>
    </row>
    <row r="79" spans="1:3" x14ac:dyDescent="0.15">
      <c r="A79" t="str">
        <v>GM_18_NA_B1</v>
      </c>
      <c r="B79">
        <f>SUMIF('DBH only root'!$Q$2:$Q$316,A79,'DBH only root'!$P$2:$P$316)</f>
        <v>20895.477289649662</v>
      </c>
      <c r="C79">
        <f t="shared" si="1"/>
        <v>37611.859121369387</v>
      </c>
    </row>
    <row r="80" spans="1:3" x14ac:dyDescent="0.15">
      <c r="A80" t="str">
        <v>GM_18_NA_B4</v>
      </c>
      <c r="B80">
        <f>SUMIF('DBH only root'!$Q$2:$Q$316,A80,'DBH only root'!$P$2:$P$316)</f>
        <v>10842.411167268541</v>
      </c>
      <c r="C80">
        <f t="shared" si="1"/>
        <v>19516.340101083373</v>
      </c>
    </row>
    <row r="81" spans="1:3" x14ac:dyDescent="0.15">
      <c r="A81" t="str">
        <v>GM_18_NA_B3</v>
      </c>
      <c r="B81">
        <f>SUMIF('DBH only root'!$Q$2:$Q$316,A81,'DBH only root'!$P$2:$P$316)</f>
        <v>16523.482241238282</v>
      </c>
      <c r="C81">
        <f t="shared" si="1"/>
        <v>29742.26803422891</v>
      </c>
    </row>
    <row r="82" spans="1:3" x14ac:dyDescent="0.15">
      <c r="A82" t="str">
        <v>GM_18_NA_B2</v>
      </c>
      <c r="B82">
        <f>SUMIF('DBH only root'!$Q$2:$Q$316,A82,'DBH only root'!$P$2:$P$316)</f>
        <v>51316.544830266997</v>
      </c>
      <c r="C82">
        <f t="shared" si="1"/>
        <v>92369.780694480593</v>
      </c>
    </row>
    <row r="83" spans="1:3" x14ac:dyDescent="0.15">
      <c r="A83" t="str">
        <v>TN_19_CTRL_B3</v>
      </c>
      <c r="B83">
        <f>SUMIF('DBH only root'!$Q$2:$Q$316,A83,'DBH only root'!$P$2:$P$316)</f>
        <v>31743.747544340367</v>
      </c>
      <c r="C83">
        <f t="shared" si="1"/>
        <v>57138.745579812661</v>
      </c>
    </row>
    <row r="84" spans="1:3" x14ac:dyDescent="0.15">
      <c r="A84" t="str">
        <v>TN_19_CTRL_B1</v>
      </c>
      <c r="B84" t="e">
        <f>SUMIF('DBH only root'!$Q$2:$Q$316,A84,'DBH only root'!$P$2:$P$316)</f>
        <v>#N/A</v>
      </c>
      <c r="C84" t="e">
        <f t="shared" si="1"/>
        <v>#N/A</v>
      </c>
    </row>
    <row r="85" spans="1:3" x14ac:dyDescent="0.15">
      <c r="A85" t="str">
        <v>TN_19_CTRL_B2</v>
      </c>
      <c r="B85" t="e">
        <f>SUMIF('DBH only root'!$Q$2:$Q$316,A85,'DBH only root'!$P$2:$P$316)</f>
        <v>#N/A</v>
      </c>
      <c r="C85" t="e">
        <f t="shared" si="1"/>
        <v>#N/A</v>
      </c>
    </row>
    <row r="86" spans="1:3" x14ac:dyDescent="0.15">
      <c r="A86" t="str">
        <v>TN_19_CTRL_B4</v>
      </c>
      <c r="B86" t="e">
        <f>SUMIF('DBH only root'!$Q$2:$Q$316,A86,'DBH only root'!$P$2:$P$316)</f>
        <v>#N/A</v>
      </c>
      <c r="C86" t="e">
        <f t="shared" si="1"/>
        <v>#N/A</v>
      </c>
    </row>
    <row r="87" spans="1:3" x14ac:dyDescent="0.15">
      <c r="A87" t="str">
        <v>TN_19_EX_B3</v>
      </c>
      <c r="B87">
        <f>SUMIF('DBH only root'!$Q$2:$Q$316,A87,'DBH only root'!$P$2:$P$316)</f>
        <v>7696.5920667412047</v>
      </c>
      <c r="C87">
        <f t="shared" si="1"/>
        <v>13853.865720134167</v>
      </c>
    </row>
    <row r="88" spans="1:3" x14ac:dyDescent="0.15">
      <c r="A88" t="str">
        <v>TN_19_EX_B4</v>
      </c>
      <c r="B88">
        <f>SUMIF('DBH only root'!$Q$2:$Q$316,A88,'DBH only root'!$P$2:$P$316)</f>
        <v>2147.2446707975901</v>
      </c>
      <c r="C88">
        <f t="shared" si="1"/>
        <v>3865.040407435662</v>
      </c>
    </row>
    <row r="89" spans="1:3" x14ac:dyDescent="0.15">
      <c r="A89" t="str">
        <v>TN_19_EX_B2</v>
      </c>
      <c r="B89">
        <f>SUMIF('DBH only root'!$Q$2:$Q$316,A89,'DBH only root'!$P$2:$P$316)</f>
        <v>6277.5452499111598</v>
      </c>
      <c r="C89">
        <f t="shared" si="1"/>
        <v>11299.581449840087</v>
      </c>
    </row>
    <row r="90" spans="1:3" x14ac:dyDescent="0.15">
      <c r="A90" t="str">
        <v>TN_19_EX_B1</v>
      </c>
      <c r="B90">
        <f>SUMIF('DBH only root'!$Q$2:$Q$316,A90,'DBH only root'!$P$2:$P$316)</f>
        <v>6208.1905413342674</v>
      </c>
      <c r="C90">
        <f t="shared" si="1"/>
        <v>11174.742974401681</v>
      </c>
    </row>
    <row r="91" spans="1:3" x14ac:dyDescent="0.15">
      <c r="A91" t="str">
        <v>TN_20_CTRL_B1</v>
      </c>
      <c r="B91">
        <f>SUMIF('DBH only root'!$Q$2:$Q$316,A91,'DBH only root'!$P$2:$P$316)</f>
        <v>3839.858928537853</v>
      </c>
      <c r="C91">
        <f t="shared" si="1"/>
        <v>6911.7460713681357</v>
      </c>
    </row>
    <row r="92" spans="1:3" x14ac:dyDescent="0.15">
      <c r="A92" t="str">
        <v>TN_20_CTRL_B2</v>
      </c>
      <c r="B92" t="e">
        <f>SUMIF('DBH only root'!$Q$2:$Q$316,A92,'DBH only root'!$P$2:$P$316)</f>
        <v>#N/A</v>
      </c>
      <c r="C92" t="e">
        <f t="shared" si="1"/>
        <v>#N/A</v>
      </c>
    </row>
    <row r="93" spans="1:3" x14ac:dyDescent="0.15">
      <c r="A93" t="str">
        <v>TN_20_CTRL_B3</v>
      </c>
      <c r="B93" t="e">
        <f>SUMIF('DBH only root'!$Q$2:$Q$316,A93,'DBH only root'!$P$2:$P$316)</f>
        <v>#N/A</v>
      </c>
      <c r="C93" t="e">
        <f t="shared" si="1"/>
        <v>#N/A</v>
      </c>
    </row>
    <row r="94" spans="1:3" x14ac:dyDescent="0.15">
      <c r="A94" t="str">
        <v>TN_20_CTRL_B4</v>
      </c>
      <c r="B94" t="e">
        <f>SUMIF('DBH only root'!$Q$2:$Q$316,A94,'DBH only root'!$P$2:$P$316)</f>
        <v>#N/A</v>
      </c>
      <c r="C94" t="e">
        <f t="shared" si="1"/>
        <v>#N/A</v>
      </c>
    </row>
    <row r="95" spans="1:3" x14ac:dyDescent="0.15">
      <c r="A95" t="str">
        <v>TN_20_EX_B4</v>
      </c>
      <c r="B95">
        <f>SUMIF('DBH only root'!$Q$2:$Q$316,A95,'DBH only root'!$P$2:$P$316)</f>
        <v>4171.7590438593197</v>
      </c>
      <c r="C95">
        <f t="shared" si="1"/>
        <v>7509.1662789467755</v>
      </c>
    </row>
    <row r="96" spans="1:3" x14ac:dyDescent="0.15">
      <c r="A96" t="str">
        <v>TN_20_EX_B1</v>
      </c>
      <c r="B96">
        <f>SUMIF('DBH only root'!$Q$2:$Q$316,A96,'DBH only root'!$P$2:$P$316)</f>
        <v>290.96470001808302</v>
      </c>
      <c r="C96">
        <f t="shared" si="1"/>
        <v>523.73646003254942</v>
      </c>
    </row>
    <row r="97" spans="1:3" x14ac:dyDescent="0.15">
      <c r="A97" t="str">
        <v>TN_20_EX_B3</v>
      </c>
      <c r="B97">
        <f>SUMIF('DBH only root'!$Q$2:$Q$316,A97,'DBH only root'!$P$2:$P$316)</f>
        <v>1374.3452517224603</v>
      </c>
      <c r="C97">
        <f t="shared" si="1"/>
        <v>2473.8214531004282</v>
      </c>
    </row>
    <row r="98" spans="1:3" x14ac:dyDescent="0.15">
      <c r="A98" t="str">
        <v>TN_20_EX_B2</v>
      </c>
      <c r="B98">
        <f>SUMIF('DBH only root'!$Q$2:$Q$316,A98,'DBH only root'!$P$2:$P$316)</f>
        <v>2399.6693757329922</v>
      </c>
      <c r="C98">
        <f t="shared" si="1"/>
        <v>4319.4048763193859</v>
      </c>
    </row>
    <row r="99" spans="1:3" x14ac:dyDescent="0.15">
      <c r="A99" t="str">
        <v>TN_21_CTRL_B4</v>
      </c>
      <c r="B99">
        <f>SUMIF('DBH only root'!$Q$2:$Q$316,A99,'DBH only root'!$P$2:$P$316)</f>
        <v>792.76435528189381</v>
      </c>
      <c r="C99">
        <f t="shared" si="1"/>
        <v>1426.9758395074089</v>
      </c>
    </row>
    <row r="100" spans="1:3" x14ac:dyDescent="0.15">
      <c r="A100" t="str">
        <v>TN_21_CTRL_B1</v>
      </c>
      <c r="B100" t="e">
        <f>SUMIF('DBH only root'!$Q$2:$Q$316,A100,'DBH only root'!$P$2:$P$316)</f>
        <v>#N/A</v>
      </c>
      <c r="C100" t="e">
        <f t="shared" si="1"/>
        <v>#N/A</v>
      </c>
    </row>
    <row r="101" spans="1:3" x14ac:dyDescent="0.15">
      <c r="A101" t="str">
        <v>TN_21_CTRL_B2</v>
      </c>
      <c r="B101" t="e">
        <f>SUMIF('DBH only root'!$Q$2:$Q$316,A101,'DBH only root'!$P$2:$P$316)</f>
        <v>#N/A</v>
      </c>
      <c r="C101" t="e">
        <f t="shared" si="1"/>
        <v>#N/A</v>
      </c>
    </row>
    <row r="102" spans="1:3" x14ac:dyDescent="0.15">
      <c r="A102" t="str">
        <v>TN_21_CTRL_B3</v>
      </c>
      <c r="B102" t="e">
        <f>SUMIF('DBH only root'!$Q$2:$Q$316,A102,'DBH only root'!$P$2:$P$316)</f>
        <v>#N/A</v>
      </c>
      <c r="C102" t="e">
        <f t="shared" si="1"/>
        <v>#N/A</v>
      </c>
    </row>
    <row r="103" spans="1:3" x14ac:dyDescent="0.15">
      <c r="A103" t="str">
        <v>TN_21_EX_B2</v>
      </c>
      <c r="B103">
        <f>SUMIF('DBH only root'!$Q$2:$Q$316,A103,'DBH only root'!$P$2:$P$316)</f>
        <v>2158.4575522356918</v>
      </c>
      <c r="C103">
        <f t="shared" si="1"/>
        <v>3885.2235940242449</v>
      </c>
    </row>
    <row r="104" spans="1:3" x14ac:dyDescent="0.15">
      <c r="A104" t="str">
        <v>TN_21_EX_B4</v>
      </c>
      <c r="B104">
        <f>SUMIF('DBH only root'!$Q$2:$Q$316,A104,'DBH only root'!$P$2:$P$316)</f>
        <v>1029.346332414282</v>
      </c>
      <c r="C104">
        <f t="shared" si="1"/>
        <v>1852.8233983457073</v>
      </c>
    </row>
    <row r="105" spans="1:3" x14ac:dyDescent="0.15">
      <c r="A105" t="str">
        <v>TN_21_EX_B1</v>
      </c>
      <c r="B105">
        <f>SUMIF('DBH only root'!$Q$2:$Q$316,A105,'DBH only root'!$P$2:$P$316)</f>
        <v>2149.577546231681</v>
      </c>
      <c r="C105">
        <f t="shared" si="1"/>
        <v>3869.2395832170259</v>
      </c>
    </row>
    <row r="106" spans="1:3" x14ac:dyDescent="0.15">
      <c r="A106" t="str">
        <v>TN_21_EX_B3</v>
      </c>
      <c r="B106">
        <f>SUMIF('DBH only root'!$Q$2:$Q$316,A106,'DBH only root'!$P$2:$P$316)</f>
        <v>534.5905603972061</v>
      </c>
      <c r="C106">
        <f t="shared" si="1"/>
        <v>962.26300871497097</v>
      </c>
    </row>
    <row r="107" spans="1:3" x14ac:dyDescent="0.15">
      <c r="A107" t="str">
        <v>TN_22_CTRL_B2</v>
      </c>
      <c r="B107">
        <f>SUMIF('DBH only root'!$Q$2:$Q$316,A107,'DBH only root'!$P$2:$P$316)</f>
        <v>27223.077134065996</v>
      </c>
      <c r="C107">
        <f t="shared" si="1"/>
        <v>49001.53884131879</v>
      </c>
    </row>
    <row r="108" spans="1:3" x14ac:dyDescent="0.15">
      <c r="A108" t="str">
        <v>TN_22_CTRL_B1</v>
      </c>
      <c r="B108" t="e">
        <f>SUMIF('DBH only root'!$Q$2:$Q$316,A108,'DBH only root'!$P$2:$P$316)</f>
        <v>#N/A</v>
      </c>
      <c r="C108" t="e">
        <f t="shared" si="1"/>
        <v>#N/A</v>
      </c>
    </row>
    <row r="109" spans="1:3" x14ac:dyDescent="0.15">
      <c r="A109" t="str">
        <v>TN_22_CTRL_B3</v>
      </c>
      <c r="B109" t="e">
        <f>SUMIF('DBH only root'!$Q$2:$Q$316,A109,'DBH only root'!$P$2:$P$316)</f>
        <v>#N/A</v>
      </c>
      <c r="C109" t="e">
        <f t="shared" si="1"/>
        <v>#N/A</v>
      </c>
    </row>
    <row r="110" spans="1:3" x14ac:dyDescent="0.15">
      <c r="A110" t="str">
        <v>TN_22_CTRL_B4</v>
      </c>
      <c r="B110" t="e">
        <f>SUMIF('DBH only root'!$Q$2:$Q$316,A110,'DBH only root'!$P$2:$P$316)</f>
        <v>#N/A</v>
      </c>
      <c r="C110" t="e">
        <f t="shared" si="1"/>
        <v>#N/A</v>
      </c>
    </row>
    <row r="111" spans="1:3" x14ac:dyDescent="0.15">
      <c r="A111" t="str">
        <v>TN_22_EX_B2</v>
      </c>
      <c r="B111">
        <f>SUMIF('DBH only root'!$Q$2:$Q$316,A111,'DBH only root'!$P$2:$P$316)</f>
        <v>143452.14299558965</v>
      </c>
      <c r="C111">
        <f t="shared" si="1"/>
        <v>258213.85739206136</v>
      </c>
    </row>
    <row r="112" spans="1:3" x14ac:dyDescent="0.15">
      <c r="A112" t="str">
        <v>TN_22_EX_B4</v>
      </c>
      <c r="B112">
        <f>SUMIF('DBH only root'!$Q$2:$Q$316,A112,'DBH only root'!$P$2:$P$316)</f>
        <v>42538.297296347751</v>
      </c>
      <c r="C112">
        <f t="shared" si="1"/>
        <v>76568.935133425955</v>
      </c>
    </row>
    <row r="113" spans="1:3" x14ac:dyDescent="0.15">
      <c r="A113" t="str">
        <v>TN_22_EX_B3</v>
      </c>
      <c r="B113">
        <f>SUMIF('DBH only root'!$Q$2:$Q$316,A113,'DBH only root'!$P$2:$P$316)</f>
        <v>54857.887587144251</v>
      </c>
      <c r="C113">
        <f t="shared" si="1"/>
        <v>98744.197656859658</v>
      </c>
    </row>
    <row r="114" spans="1:3" x14ac:dyDescent="0.15">
      <c r="A114" t="str">
        <v>TN_22_EX_B1</v>
      </c>
      <c r="B114" t="e">
        <f>SUMIF('DBH only root'!$Q$2:$Q$316,A114,'DBH only root'!$P$2:$P$316)</f>
        <v>#N/A</v>
      </c>
      <c r="C114" t="e">
        <f t="shared" si="1"/>
        <v>#N/A</v>
      </c>
    </row>
    <row r="115" spans="1:3" x14ac:dyDescent="0.15">
      <c r="A115" t="str">
        <v>TN_23_NA_B1</v>
      </c>
      <c r="B115" t="e">
        <f>SUMIF('DBH only root'!$Q$2:$Q$316,A115,'DBH only root'!$P$2:$P$316)</f>
        <v>#N/A</v>
      </c>
      <c r="C115" t="e">
        <f t="shared" si="1"/>
        <v>#N/A</v>
      </c>
    </row>
    <row r="116" spans="1:3" x14ac:dyDescent="0.15">
      <c r="A116" t="str">
        <v>TN_23_NA_B2</v>
      </c>
      <c r="B116" t="e">
        <f>SUMIF('DBH only root'!$Q$2:$Q$316,A116,'DBH only root'!$P$2:$P$316)</f>
        <v>#N/A</v>
      </c>
      <c r="C116" t="e">
        <f t="shared" si="1"/>
        <v>#N/A</v>
      </c>
    </row>
    <row r="117" spans="1:3" x14ac:dyDescent="0.15">
      <c r="A117" t="str">
        <v>TN_23_NA_B3</v>
      </c>
      <c r="B117" t="e">
        <f>SUMIF('DBH only root'!$Q$2:$Q$316,A117,'DBH only root'!$P$2:$P$316)</f>
        <v>#N/A</v>
      </c>
      <c r="C117" t="e">
        <f t="shared" si="1"/>
        <v>#N/A</v>
      </c>
    </row>
    <row r="118" spans="1:3" x14ac:dyDescent="0.15">
      <c r="A118" t="str">
        <v>TN_23_NA_B4</v>
      </c>
      <c r="B118" t="e">
        <f>SUMIF('DBH only root'!$Q$2:$Q$316,A118,'DBH only root'!$P$2:$P$316)</f>
        <v>#N/A</v>
      </c>
      <c r="C118" t="e">
        <f t="shared" si="1"/>
        <v>#N/A</v>
      </c>
    </row>
    <row r="119" spans="1:3" x14ac:dyDescent="0.15">
      <c r="A119" t="str">
        <v>TN_24_NA_B3</v>
      </c>
      <c r="B119">
        <f>SUMIF('DBH only root'!$Q$2:$Q$316,A119,'DBH only root'!$P$2:$P$316)</f>
        <v>169631.74825957263</v>
      </c>
      <c r="C119">
        <f t="shared" si="1"/>
        <v>305337.14686723071</v>
      </c>
    </row>
    <row r="120" spans="1:3" x14ac:dyDescent="0.15">
      <c r="A120" t="str">
        <v>TN_24_NA_B1</v>
      </c>
      <c r="B120" t="e">
        <f>SUMIF('DBH only root'!$Q$2:$Q$316,A120,'DBH only root'!$P$2:$P$316)</f>
        <v>#N/A</v>
      </c>
      <c r="C120" t="e">
        <f t="shared" si="1"/>
        <v>#N/A</v>
      </c>
    </row>
    <row r="121" spans="1:3" x14ac:dyDescent="0.15">
      <c r="A121" t="str">
        <v>TN_24_NA_B2</v>
      </c>
      <c r="B121" t="e">
        <f>SUMIF('DBH only root'!$Q$2:$Q$316,A121,'DBH only root'!$P$2:$P$316)</f>
        <v>#N/A</v>
      </c>
      <c r="C121" t="e">
        <f t="shared" si="1"/>
        <v>#N/A</v>
      </c>
    </row>
    <row r="122" spans="1:3" x14ac:dyDescent="0.15">
      <c r="A122" t="str">
        <v>TN_24_NA_B4</v>
      </c>
      <c r="B122" t="e">
        <f>SUMIF('DBH only root'!$Q$2:$Q$316,A122,'DBH only root'!$P$2:$P$316)</f>
        <v>#N/A</v>
      </c>
      <c r="C122" t="e">
        <f t="shared" si="1"/>
        <v>#N/A</v>
      </c>
    </row>
    <row r="123" spans="1:3" x14ac:dyDescent="0.15">
      <c r="A123" t="str">
        <v>TN_25_CTRL_B1</v>
      </c>
      <c r="B123" t="e">
        <f>SUMIF('DBH only root'!$Q$2:$Q$316,A123,'DBH only root'!$P$2:$P$316)</f>
        <v>#N/A</v>
      </c>
      <c r="C123" t="e">
        <f t="shared" si="1"/>
        <v>#N/A</v>
      </c>
    </row>
    <row r="124" spans="1:3" x14ac:dyDescent="0.15">
      <c r="A124" t="str">
        <v>TN_25_CTRL_B2</v>
      </c>
      <c r="B124" t="e">
        <f>SUMIF('DBH only root'!$Q$2:$Q$316,A124,'DBH only root'!$P$2:$P$316)</f>
        <v>#N/A</v>
      </c>
      <c r="C124" t="e">
        <f t="shared" si="1"/>
        <v>#N/A</v>
      </c>
    </row>
    <row r="125" spans="1:3" x14ac:dyDescent="0.15">
      <c r="A125" t="str">
        <v>TN_25_CTRL_B3</v>
      </c>
      <c r="B125" t="e">
        <f>SUMIF('DBH only root'!$Q$2:$Q$316,A125,'DBH only root'!$P$2:$P$316)</f>
        <v>#N/A</v>
      </c>
      <c r="C125" t="e">
        <f t="shared" si="1"/>
        <v>#N/A</v>
      </c>
    </row>
    <row r="126" spans="1:3" x14ac:dyDescent="0.15">
      <c r="A126" t="str">
        <v>TN_25_CTRL_B4</v>
      </c>
      <c r="B126" t="e">
        <f>SUMIF('DBH only root'!$Q$2:$Q$316,A126,'DBH only root'!$P$2:$P$316)</f>
        <v>#N/A</v>
      </c>
      <c r="C126" t="e">
        <f t="shared" si="1"/>
        <v>#N/A</v>
      </c>
    </row>
    <row r="127" spans="1:3" x14ac:dyDescent="0.15">
      <c r="A127" t="str">
        <v>TN_25_EX_B1</v>
      </c>
      <c r="B127">
        <f>SUMIF('DBH only root'!$Q$2:$Q$316,A127,'DBH only root'!$P$2:$P$316)</f>
        <v>446.23170721605504</v>
      </c>
      <c r="C127">
        <f t="shared" si="1"/>
        <v>803.21707298889908</v>
      </c>
    </row>
    <row r="128" spans="1:3" x14ac:dyDescent="0.15">
      <c r="A128" t="str">
        <v>TN_25_EX_B4</v>
      </c>
      <c r="B128">
        <f>SUMIF('DBH only root'!$Q$2:$Q$316,A128,'DBH only root'!$P$2:$P$316)</f>
        <v>172.57817201622174</v>
      </c>
      <c r="C128">
        <f t="shared" si="1"/>
        <v>310.64070962919914</v>
      </c>
    </row>
    <row r="129" spans="1:3" x14ac:dyDescent="0.15">
      <c r="A129" t="str">
        <v>TN_25_EX_B2</v>
      </c>
      <c r="B129">
        <f>SUMIF('DBH only root'!$Q$2:$Q$316,A129,'DBH only root'!$P$2:$P$316)</f>
        <v>241.61269873561739</v>
      </c>
      <c r="C129">
        <f t="shared" si="1"/>
        <v>434.90285772411124</v>
      </c>
    </row>
    <row r="130" spans="1:3" x14ac:dyDescent="0.15">
      <c r="A130" t="str">
        <v>TN_25_EX_B3</v>
      </c>
      <c r="B130">
        <f>SUMIF('DBH only root'!$Q$2:$Q$316,A130,'DBH only root'!$P$2:$P$316)</f>
        <v>266.30749308533473</v>
      </c>
      <c r="C130">
        <f t="shared" si="1"/>
        <v>479.35348755360246</v>
      </c>
    </row>
    <row r="131" spans="1:3" x14ac:dyDescent="0.15">
      <c r="A131" t="str">
        <v>TN_26_NA_B1</v>
      </c>
      <c r="B131" t="e">
        <f>SUMIF('DBH only root'!$Q$2:$Q$316,A131,'DBH only root'!$P$2:$P$316)</f>
        <v>#N/A</v>
      </c>
      <c r="C131" t="e">
        <f t="shared" ref="C131:C182" si="2">B131*9/5</f>
        <v>#N/A</v>
      </c>
    </row>
    <row r="132" spans="1:3" x14ac:dyDescent="0.15">
      <c r="A132" t="str">
        <v>TN_26_NA_B2</v>
      </c>
      <c r="B132" t="e">
        <f>SUMIF('DBH only root'!$Q$2:$Q$316,A132,'DBH only root'!$P$2:$P$316)</f>
        <v>#N/A</v>
      </c>
      <c r="C132" t="e">
        <f t="shared" si="2"/>
        <v>#N/A</v>
      </c>
    </row>
    <row r="133" spans="1:3" x14ac:dyDescent="0.15">
      <c r="A133" t="str">
        <v>TN_26_NA_B3</v>
      </c>
      <c r="B133" t="e">
        <f>SUMIF('DBH only root'!$Q$2:$Q$316,A133,'DBH only root'!$P$2:$P$316)</f>
        <v>#N/A</v>
      </c>
      <c r="C133" t="e">
        <f t="shared" si="2"/>
        <v>#N/A</v>
      </c>
    </row>
    <row r="134" spans="1:3" x14ac:dyDescent="0.15">
      <c r="A134" t="str">
        <v>TN_26_NA_B4</v>
      </c>
      <c r="B134" t="e">
        <f>SUMIF('DBH only root'!$Q$2:$Q$316,A134,'DBH only root'!$P$2:$P$316)</f>
        <v>#N/A</v>
      </c>
      <c r="C134" t="e">
        <f t="shared" si="2"/>
        <v>#N/A</v>
      </c>
    </row>
    <row r="135" spans="1:3" x14ac:dyDescent="0.15">
      <c r="A135" t="str">
        <v>TN_27_NA_B2</v>
      </c>
      <c r="B135">
        <f>SUMIF('DBH only root'!$Q$2:$Q$316,A135,'DBH only root'!$P$2:$P$316)</f>
        <v>2039.1431641951874</v>
      </c>
      <c r="C135">
        <f t="shared" si="2"/>
        <v>3670.4576955513376</v>
      </c>
    </row>
    <row r="136" spans="1:3" x14ac:dyDescent="0.15">
      <c r="A136" t="str">
        <v>TN_27_NA_B1</v>
      </c>
      <c r="B136" t="e">
        <f>SUMIF('DBH only root'!$Q$2:$Q$316,A136,'DBH only root'!$P$2:$P$316)</f>
        <v>#N/A</v>
      </c>
      <c r="C136" t="e">
        <f t="shared" si="2"/>
        <v>#N/A</v>
      </c>
    </row>
    <row r="137" spans="1:3" x14ac:dyDescent="0.15">
      <c r="A137" t="str">
        <v>TN_27_NA_B3</v>
      </c>
      <c r="B137" t="e">
        <f>SUMIF('DBH only root'!$Q$2:$Q$316,A137,'DBH only root'!$P$2:$P$316)</f>
        <v>#N/A</v>
      </c>
      <c r="C137" t="e">
        <f t="shared" si="2"/>
        <v>#N/A</v>
      </c>
    </row>
    <row r="138" spans="1:3" x14ac:dyDescent="0.15">
      <c r="A138" t="str">
        <v>TN_27_NA_B4</v>
      </c>
      <c r="B138" t="e">
        <f>SUMIF('DBH only root'!$Q$2:$Q$316,A138,'DBH only root'!$P$2:$P$316)</f>
        <v>#N/A</v>
      </c>
      <c r="C138" t="e">
        <f t="shared" si="2"/>
        <v>#N/A</v>
      </c>
    </row>
    <row r="139" spans="1:3" x14ac:dyDescent="0.15">
      <c r="A139" t="str">
        <v>TN_28_NA_B3</v>
      </c>
      <c r="B139">
        <f>SUMIF('DBH only root'!$Q$2:$Q$316,A139,'DBH only root'!$P$2:$P$316)</f>
        <v>1264.6077116382521</v>
      </c>
      <c r="C139">
        <f t="shared" si="2"/>
        <v>2276.2938809488537</v>
      </c>
    </row>
    <row r="140" spans="1:3" x14ac:dyDescent="0.15">
      <c r="A140" t="str">
        <v>TN_28_NA_B1</v>
      </c>
      <c r="B140">
        <f>SUMIF('DBH only root'!$Q$2:$Q$316,A140,'DBH only root'!$P$2:$P$316)</f>
        <v>1867.0440594016525</v>
      </c>
      <c r="C140">
        <f t="shared" si="2"/>
        <v>3360.6793069229743</v>
      </c>
    </row>
    <row r="141" spans="1:3" x14ac:dyDescent="0.15">
      <c r="A141" t="str">
        <v>TN_28_NA_B4</v>
      </c>
      <c r="B141">
        <f>SUMIF('DBH only root'!$Q$2:$Q$316,A141,'DBH only root'!$P$2:$P$316)</f>
        <v>43461.180019558851</v>
      </c>
      <c r="C141">
        <f t="shared" si="2"/>
        <v>78230.124035205939</v>
      </c>
    </row>
    <row r="142" spans="1:3" x14ac:dyDescent="0.15">
      <c r="A142" t="str">
        <v>TN_28_NA_B2</v>
      </c>
      <c r="B142" t="e">
        <f>SUMIF('DBH only root'!$Q$2:$Q$316,A142,'DBH only root'!$P$2:$P$316)</f>
        <v>#N/A</v>
      </c>
      <c r="C142" t="e">
        <f t="shared" si="2"/>
        <v>#N/A</v>
      </c>
    </row>
    <row r="143" spans="1:3" x14ac:dyDescent="0.15">
      <c r="A143" t="str">
        <v>TN_29_NA_B1</v>
      </c>
      <c r="B143" t="e">
        <f>SUMIF('DBH only root'!$Q$2:$Q$316,A143,'DBH only root'!$P$2:$P$316)</f>
        <v>#N/A</v>
      </c>
      <c r="C143" t="e">
        <f t="shared" si="2"/>
        <v>#N/A</v>
      </c>
    </row>
    <row r="144" spans="1:3" x14ac:dyDescent="0.15">
      <c r="A144" t="str">
        <v>TN_29_NA_B2</v>
      </c>
      <c r="B144" t="e">
        <f>SUMIF('DBH only root'!$Q$2:$Q$316,A144,'DBH only root'!$P$2:$P$316)</f>
        <v>#N/A</v>
      </c>
      <c r="C144" t="e">
        <f t="shared" si="2"/>
        <v>#N/A</v>
      </c>
    </row>
    <row r="145" spans="1:3" x14ac:dyDescent="0.15">
      <c r="A145" t="str">
        <v>TN_29_NA_B3</v>
      </c>
      <c r="B145" t="e">
        <f>SUMIF('DBH only root'!$Q$2:$Q$316,A145,'DBH only root'!$P$2:$P$316)</f>
        <v>#N/A</v>
      </c>
      <c r="C145" t="e">
        <f t="shared" si="2"/>
        <v>#N/A</v>
      </c>
    </row>
    <row r="146" spans="1:3" x14ac:dyDescent="0.15">
      <c r="A146" t="str">
        <v>TN_29_NA_B4</v>
      </c>
      <c r="B146" t="e">
        <f>SUMIF('DBH only root'!$Q$2:$Q$316,A146,'DBH only root'!$P$2:$P$316)</f>
        <v>#N/A</v>
      </c>
      <c r="C146" t="e">
        <f t="shared" si="2"/>
        <v>#N/A</v>
      </c>
    </row>
    <row r="147" spans="1:3" x14ac:dyDescent="0.15">
      <c r="A147" t="str">
        <v>TN_30_NA_B1</v>
      </c>
      <c r="B147" t="e">
        <f>SUMIF('DBH only root'!$Q$2:$Q$316,A147,'DBH only root'!$P$2:$P$316)</f>
        <v>#N/A</v>
      </c>
      <c r="C147" t="e">
        <f t="shared" si="2"/>
        <v>#N/A</v>
      </c>
    </row>
    <row r="148" spans="1:3" x14ac:dyDescent="0.15">
      <c r="A148" t="str">
        <v>TN_30_NA_B2</v>
      </c>
      <c r="B148" t="e">
        <f>SUMIF('DBH only root'!$Q$2:$Q$316,A148,'DBH only root'!$P$2:$P$316)</f>
        <v>#N/A</v>
      </c>
      <c r="C148" t="e">
        <f t="shared" si="2"/>
        <v>#N/A</v>
      </c>
    </row>
    <row r="149" spans="1:3" x14ac:dyDescent="0.15">
      <c r="A149" t="str">
        <v>TN_30_NA_B3</v>
      </c>
      <c r="B149" t="e">
        <f>SUMIF('DBH only root'!$Q$2:$Q$316,A149,'DBH only root'!$P$2:$P$316)</f>
        <v>#N/A</v>
      </c>
      <c r="C149" t="e">
        <f t="shared" si="2"/>
        <v>#N/A</v>
      </c>
    </row>
    <row r="150" spans="1:3" x14ac:dyDescent="0.15">
      <c r="A150" t="str">
        <v>TN_30_NA_B4</v>
      </c>
      <c r="B150" t="e">
        <f>SUMIF('DBH only root'!$Q$2:$Q$316,A150,'DBH only root'!$P$2:$P$316)</f>
        <v>#N/A</v>
      </c>
      <c r="C150" t="e">
        <f t="shared" si="2"/>
        <v>#N/A</v>
      </c>
    </row>
    <row r="151" spans="1:3" x14ac:dyDescent="0.15">
      <c r="A151" t="str">
        <v>TN_31_CTRL_B4</v>
      </c>
      <c r="B151">
        <f>SUMIF('DBH only root'!$Q$2:$Q$316,A151,'DBH only root'!$P$2:$P$316)</f>
        <v>88750.362671499723</v>
      </c>
      <c r="C151">
        <f t="shared" si="2"/>
        <v>159750.65280869949</v>
      </c>
    </row>
    <row r="152" spans="1:3" x14ac:dyDescent="0.15">
      <c r="A152" t="str">
        <v>TN_31_CTRL_B1</v>
      </c>
      <c r="B152">
        <f>SUMIF('DBH only root'!$Q$2:$Q$316,A152,'DBH only root'!$P$2:$P$316)</f>
        <v>77586.126874955502</v>
      </c>
      <c r="C152">
        <f t="shared" si="2"/>
        <v>139655.0283749199</v>
      </c>
    </row>
    <row r="153" spans="1:3" x14ac:dyDescent="0.15">
      <c r="A153" t="str">
        <v>TN_31_CTRL_B2</v>
      </c>
      <c r="B153" t="e">
        <f>SUMIF('DBH only root'!$Q$2:$Q$316,A153,'DBH only root'!$P$2:$P$316)</f>
        <v>#N/A</v>
      </c>
      <c r="C153" t="e">
        <f t="shared" si="2"/>
        <v>#N/A</v>
      </c>
    </row>
    <row r="154" spans="1:3" x14ac:dyDescent="0.15">
      <c r="A154" t="str">
        <v>TN_31_CTRL_B3</v>
      </c>
      <c r="B154" t="e">
        <f>SUMIF('DBH only root'!$Q$2:$Q$316,A154,'DBH only root'!$P$2:$P$316)</f>
        <v>#N/A</v>
      </c>
      <c r="C154" t="e">
        <f t="shared" si="2"/>
        <v>#N/A</v>
      </c>
    </row>
    <row r="155" spans="1:3" x14ac:dyDescent="0.15">
      <c r="A155" t="str">
        <v>TN_31_EX_B4</v>
      </c>
      <c r="B155">
        <f>SUMIF('DBH only root'!$Q$2:$Q$316,A155,'DBH only root'!$P$2:$P$316)</f>
        <v>72172.146798629634</v>
      </c>
      <c r="C155">
        <f t="shared" si="2"/>
        <v>129909.86423753334</v>
      </c>
    </row>
    <row r="156" spans="1:3" x14ac:dyDescent="0.15">
      <c r="A156" t="str">
        <v>TN_31_EX_B2</v>
      </c>
      <c r="B156">
        <f>SUMIF('DBH only root'!$Q$2:$Q$316,A156,'DBH only root'!$P$2:$P$316)</f>
        <v>132940.16245273949</v>
      </c>
      <c r="C156">
        <f t="shared" si="2"/>
        <v>239292.29241493106</v>
      </c>
    </row>
    <row r="157" spans="1:3" x14ac:dyDescent="0.15">
      <c r="A157" t="str">
        <v>TN_31_EX_B3</v>
      </c>
      <c r="B157">
        <f>SUMIF('DBH only root'!$Q$2:$Q$316,A157,'DBH only root'!$P$2:$P$316)</f>
        <v>97639.221067074672</v>
      </c>
      <c r="C157">
        <f t="shared" si="2"/>
        <v>175750.59792073441</v>
      </c>
    </row>
    <row r="158" spans="1:3" x14ac:dyDescent="0.15">
      <c r="A158" t="str">
        <v>TN_31_EX_B1</v>
      </c>
      <c r="B158">
        <f>SUMIF('DBH only root'!$Q$2:$Q$316,A158,'DBH only root'!$P$2:$P$316)</f>
        <v>110380.252531472</v>
      </c>
      <c r="C158">
        <f t="shared" si="2"/>
        <v>198684.45455664961</v>
      </c>
    </row>
    <row r="159" spans="1:3" x14ac:dyDescent="0.15">
      <c r="A159" t="str">
        <v>TN_32_NA_B2</v>
      </c>
      <c r="B159">
        <f>SUMIF('DBH only root'!$Q$2:$Q$316,A159,'DBH only root'!$P$2:$P$316)</f>
        <v>361966.98878943908</v>
      </c>
      <c r="C159">
        <f t="shared" si="2"/>
        <v>651540.57982099033</v>
      </c>
    </row>
    <row r="160" spans="1:3" x14ac:dyDescent="0.15">
      <c r="A160" t="str">
        <v>TN_32_NA_B1</v>
      </c>
      <c r="B160">
        <f>SUMIF('DBH only root'!$Q$2:$Q$316,A160,'DBH only root'!$P$2:$P$316)</f>
        <v>180319.59045121004</v>
      </c>
      <c r="C160">
        <f t="shared" si="2"/>
        <v>324575.26281217806</v>
      </c>
    </row>
    <row r="161" spans="1:3" x14ac:dyDescent="0.15">
      <c r="A161" t="str">
        <v>TN_32_NA_B3</v>
      </c>
      <c r="B161">
        <f>SUMIF('DBH only root'!$Q$2:$Q$316,A161,'DBH only root'!$P$2:$P$316)</f>
        <v>205214.41892871296</v>
      </c>
      <c r="C161">
        <f t="shared" si="2"/>
        <v>369385.95407168334</v>
      </c>
    </row>
    <row r="162" spans="1:3" x14ac:dyDescent="0.15">
      <c r="A162" t="str">
        <v>TN_32_NA_B4</v>
      </c>
      <c r="B162" t="e">
        <f>SUMIF('DBH only root'!$Q$2:$Q$316,A162,'DBH only root'!$P$2:$P$316)</f>
        <v>#N/A</v>
      </c>
      <c r="C162" t="e">
        <f t="shared" si="2"/>
        <v>#N/A</v>
      </c>
    </row>
    <row r="163" spans="1:3" x14ac:dyDescent="0.15">
      <c r="A163" t="str">
        <v>TN_33_NA_B2</v>
      </c>
      <c r="B163">
        <f>SUMIF('DBH only root'!$Q$2:$Q$316,A163,'DBH only root'!$P$2:$P$316)</f>
        <v>42907.983340884588</v>
      </c>
      <c r="C163">
        <f t="shared" si="2"/>
        <v>77234.370013592255</v>
      </c>
    </row>
    <row r="164" spans="1:3" x14ac:dyDescent="0.15">
      <c r="A164" t="str">
        <v>TN_33_NA_B4</v>
      </c>
      <c r="B164">
        <f>SUMIF('DBH only root'!$Q$2:$Q$316,A164,'DBH only root'!$P$2:$P$316)</f>
        <v>63662.328229452498</v>
      </c>
      <c r="C164">
        <f t="shared" si="2"/>
        <v>114592.19081301449</v>
      </c>
    </row>
    <row r="165" spans="1:3" x14ac:dyDescent="0.15">
      <c r="A165" t="str">
        <v>TN_33_NA_B1</v>
      </c>
      <c r="B165" t="e">
        <f>SUMIF('DBH only root'!$Q$2:$Q$316,A165,'DBH only root'!$P$2:$P$316)</f>
        <v>#N/A</v>
      </c>
      <c r="C165" t="e">
        <f t="shared" si="2"/>
        <v>#N/A</v>
      </c>
    </row>
    <row r="166" spans="1:3" x14ac:dyDescent="0.15">
      <c r="A166" t="str">
        <v>TN_33_NA_B3</v>
      </c>
      <c r="B166" t="e">
        <f>SUMIF('DBH only root'!$Q$2:$Q$316,A166,'DBH only root'!$P$2:$P$316)</f>
        <v>#N/A</v>
      </c>
      <c r="C166" t="e">
        <f t="shared" si="2"/>
        <v>#N/A</v>
      </c>
    </row>
    <row r="167" spans="1:3" x14ac:dyDescent="0.15">
      <c r="A167" t="str">
        <v>TN_34_CTRL_B3</v>
      </c>
      <c r="B167">
        <f>SUMIF('DBH only root'!$Q$2:$Q$316,A167,'DBH only root'!$P$2:$P$316)</f>
        <v>5611.6616323941626</v>
      </c>
      <c r="C167">
        <f t="shared" si="2"/>
        <v>10100.990938309493</v>
      </c>
    </row>
    <row r="168" spans="1:3" x14ac:dyDescent="0.15">
      <c r="A168" t="str">
        <v>TN_34_CTRL_B1</v>
      </c>
      <c r="B168" t="e">
        <f>SUMIF('DBH only root'!$Q$2:$Q$316,A168,'DBH only root'!$P$2:$P$316)</f>
        <v>#N/A</v>
      </c>
      <c r="C168" t="e">
        <f t="shared" si="2"/>
        <v>#N/A</v>
      </c>
    </row>
    <row r="169" spans="1:3" x14ac:dyDescent="0.15">
      <c r="A169" t="str">
        <v>TN_34_CTRL_B2</v>
      </c>
      <c r="B169" t="e">
        <f>SUMIF('DBH only root'!$Q$2:$Q$316,A169,'DBH only root'!$P$2:$P$316)</f>
        <v>#N/A</v>
      </c>
      <c r="C169" t="e">
        <f t="shared" si="2"/>
        <v>#N/A</v>
      </c>
    </row>
    <row r="170" spans="1:3" x14ac:dyDescent="0.15">
      <c r="A170" t="str">
        <v>TN_34_CTRL_B4</v>
      </c>
      <c r="B170" t="e">
        <f>SUMIF('DBH only root'!$Q$2:$Q$316,A170,'DBH only root'!$P$2:$P$316)</f>
        <v>#N/A</v>
      </c>
      <c r="C170" t="e">
        <f t="shared" si="2"/>
        <v>#N/A</v>
      </c>
    </row>
    <row r="171" spans="1:3" x14ac:dyDescent="0.15">
      <c r="A171" t="str">
        <v>TN_34_EX_B3</v>
      </c>
      <c r="B171">
        <f>SUMIF('DBH only root'!$Q$2:$Q$316,A171,'DBH only root'!$P$2:$P$316)</f>
        <v>7330.2293002566903</v>
      </c>
      <c r="C171">
        <f t="shared" si="2"/>
        <v>13194.412740462043</v>
      </c>
    </row>
    <row r="172" spans="1:3" x14ac:dyDescent="0.15">
      <c r="A172" t="str">
        <v>TN_34_EX_B1</v>
      </c>
      <c r="B172" t="e">
        <f>SUMIF('DBH only root'!$Q$2:$Q$316,A172,'DBH only root'!$P$2:$P$316)</f>
        <v>#N/A</v>
      </c>
      <c r="C172" t="e">
        <f t="shared" si="2"/>
        <v>#N/A</v>
      </c>
    </row>
    <row r="173" spans="1:3" x14ac:dyDescent="0.15">
      <c r="A173" t="str">
        <v>TN_34_EX_B2</v>
      </c>
      <c r="B173" t="e">
        <f>SUMIF('DBH only root'!$Q$2:$Q$316,A173,'DBH only root'!$P$2:$P$316)</f>
        <v>#N/A</v>
      </c>
      <c r="C173" t="e">
        <f t="shared" si="2"/>
        <v>#N/A</v>
      </c>
    </row>
    <row r="174" spans="1:3" x14ac:dyDescent="0.15">
      <c r="A174" t="str">
        <v>TN_34_EX_B4</v>
      </c>
      <c r="B174" t="e">
        <f>SUMIF('DBH only root'!$Q$2:$Q$316,A174,'DBH only root'!$P$2:$P$316)</f>
        <v>#N/A</v>
      </c>
      <c r="C174" t="e">
        <f t="shared" si="2"/>
        <v>#N/A</v>
      </c>
    </row>
    <row r="175" spans="1:3" x14ac:dyDescent="0.15">
      <c r="A175" t="str">
        <v>GM_35_NA_B1</v>
      </c>
      <c r="B175">
        <f>SUMIF('DBH only root'!$Q$2:$Q$316,A175,'DBH only root'!$P$2:$P$316)</f>
        <v>3282.2640429259527</v>
      </c>
      <c r="C175">
        <f t="shared" si="2"/>
        <v>5908.0752772667147</v>
      </c>
    </row>
    <row r="176" spans="1:3" x14ac:dyDescent="0.15">
      <c r="A176" t="str">
        <v>GM_35_NA_B3</v>
      </c>
      <c r="B176">
        <f>SUMIF('DBH only root'!$Q$2:$Q$316,A176,'DBH only root'!$P$2:$P$316)</f>
        <v>319.4671242658639</v>
      </c>
      <c r="C176">
        <f t="shared" si="2"/>
        <v>575.04082367855494</v>
      </c>
    </row>
    <row r="177" spans="1:3" x14ac:dyDescent="0.15">
      <c r="A177" t="str">
        <v>GM_35_NA_B2</v>
      </c>
      <c r="B177">
        <f>SUMIF('DBH only root'!$Q$2:$Q$316,A177,'DBH only root'!$P$2:$P$316)</f>
        <v>26721.263416624188</v>
      </c>
      <c r="C177">
        <f t="shared" si="2"/>
        <v>48098.274149923542</v>
      </c>
    </row>
    <row r="178" spans="1:3" x14ac:dyDescent="0.15">
      <c r="A178" t="str">
        <v>GM_35_NA_B4</v>
      </c>
      <c r="B178" t="e">
        <f>SUMIF('DBH only root'!$Q$2:$Q$316,A178,'DBH only root'!$P$2:$P$316)</f>
        <v>#N/A</v>
      </c>
      <c r="C178" t="e">
        <f t="shared" si="2"/>
        <v>#N/A</v>
      </c>
    </row>
    <row r="179" spans="1:3" x14ac:dyDescent="0.15">
      <c r="A179" t="str">
        <v>GM_36_NA_B1</v>
      </c>
      <c r="B179">
        <f>SUMIF('DBH only root'!$Q$2:$Q$316,A179,'DBH only root'!$P$2:$P$316)</f>
        <v>1622.5956367564347</v>
      </c>
      <c r="C179">
        <f t="shared" si="2"/>
        <v>2920.6721461615825</v>
      </c>
    </row>
    <row r="180" spans="1:3" x14ac:dyDescent="0.15">
      <c r="A180" t="str">
        <v>GM_36_NA_B3</v>
      </c>
      <c r="B180">
        <f>SUMIF('DBH only root'!$Q$2:$Q$316,A180,'DBH only root'!$P$2:$P$316)</f>
        <v>16839.780818308038</v>
      </c>
      <c r="C180">
        <f t="shared" si="2"/>
        <v>30311.605472954467</v>
      </c>
    </row>
    <row r="181" spans="1:3" x14ac:dyDescent="0.15">
      <c r="A181" t="str">
        <v>GM_36_NA_B2</v>
      </c>
      <c r="B181" t="e">
        <f>SUMIF('DBH only root'!$Q$2:$Q$316,A181,'DBH only root'!$P$2:$P$316)</f>
        <v>#N/A</v>
      </c>
      <c r="C181" t="e">
        <f t="shared" si="2"/>
        <v>#N/A</v>
      </c>
    </row>
    <row r="182" spans="1:3" x14ac:dyDescent="0.15">
      <c r="A182" t="str">
        <v>GM_36_NA_B4</v>
      </c>
      <c r="B182" t="e">
        <f>SUMIF('DBH only root'!$Q$2:$Q$316,A182,'DBH only root'!$P$2:$P$316)</f>
        <v>#N/A</v>
      </c>
      <c r="C182" t="e">
        <f t="shared" si="2"/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D0CFB-0DC9-DE47-9801-AAD3890FC2FE}">
  <dimension ref="A1:Q316"/>
  <sheetViews>
    <sheetView tabSelected="1" topLeftCell="A281" zoomScaleNormal="100" workbookViewId="0">
      <selection activeCell="L319" sqref="L319:L322"/>
    </sheetView>
  </sheetViews>
  <sheetFormatPr baseColWidth="10" defaultRowHeight="13" x14ac:dyDescent="0.15"/>
  <cols>
    <col min="1" max="1" width="9.6640625" customWidth="1"/>
    <col min="2" max="2" width="9.5" customWidth="1"/>
    <col min="3" max="3" width="11.5" customWidth="1"/>
    <col min="4" max="4" width="12.5" customWidth="1"/>
    <col min="5" max="5" width="16.1640625" customWidth="1"/>
    <col min="6" max="6" width="13.33203125" customWidth="1"/>
    <col min="7" max="7" width="11.83203125" customWidth="1"/>
    <col min="8" max="8" width="12.6640625" customWidth="1"/>
    <col min="9" max="9" width="8.1640625" customWidth="1"/>
    <col min="10" max="10" width="12.5" customWidth="1"/>
    <col min="11" max="12" width="10.83203125" customWidth="1"/>
    <col min="13" max="13" width="68.6640625" customWidth="1"/>
    <col min="14" max="14" width="78.33203125" customWidth="1"/>
    <col min="16" max="16" width="15.33203125" bestFit="1" customWidth="1"/>
  </cols>
  <sheetData>
    <row r="1" spans="1:17" x14ac:dyDescent="0.15">
      <c r="A1" s="1" t="s">
        <v>24</v>
      </c>
      <c r="B1" s="1" t="s">
        <v>25</v>
      </c>
      <c r="C1" s="1" t="s">
        <v>27</v>
      </c>
      <c r="D1" s="1" t="s">
        <v>29</v>
      </c>
      <c r="E1" s="1" t="s">
        <v>28</v>
      </c>
      <c r="F1" s="1" t="s">
        <v>26</v>
      </c>
      <c r="G1" s="1" t="s">
        <v>33</v>
      </c>
      <c r="H1" s="1" t="s">
        <v>0</v>
      </c>
      <c r="I1" s="1" t="s">
        <v>1</v>
      </c>
      <c r="J1" s="1" t="s">
        <v>2</v>
      </c>
      <c r="K1" t="s">
        <v>132</v>
      </c>
      <c r="L1" t="s">
        <v>133</v>
      </c>
      <c r="M1" s="1" t="s">
        <v>178</v>
      </c>
      <c r="N1" s="1" t="s">
        <v>63</v>
      </c>
      <c r="O1" s="1" t="s">
        <v>67</v>
      </c>
      <c r="P1" s="1" t="s">
        <v>292</v>
      </c>
      <c r="Q1" s="1"/>
    </row>
    <row r="2" spans="1:17" x14ac:dyDescent="0.15">
      <c r="A2" s="5" t="s">
        <v>18</v>
      </c>
      <c r="B2" s="5">
        <v>1</v>
      </c>
      <c r="C2" s="5" t="s">
        <v>22</v>
      </c>
      <c r="D2" s="5" t="s">
        <v>30</v>
      </c>
      <c r="E2" s="7">
        <v>44748</v>
      </c>
      <c r="F2" s="5" t="s">
        <v>5</v>
      </c>
      <c r="G2" s="5" t="s">
        <v>35</v>
      </c>
      <c r="H2" s="5" t="s">
        <v>21</v>
      </c>
      <c r="I2" s="4" t="s">
        <v>21</v>
      </c>
      <c r="J2" s="4" t="s">
        <v>21</v>
      </c>
      <c r="K2" t="s">
        <v>249</v>
      </c>
      <c r="L2">
        <v>1</v>
      </c>
      <c r="M2" t="e">
        <f>VLOOKUP(H2,eq!$A$3:$T$13,20,)</f>
        <v>#N/A</v>
      </c>
      <c r="N2" t="e">
        <f t="shared" ref="N2:N65" si="0">SUBSTITUTE(M2, "X4", J2)</f>
        <v>#N/A</v>
      </c>
      <c r="O2" t="e" cm="1">
        <f t="array" ref="O2">eval_tr_dbh*1000</f>
        <v>#N/A</v>
      </c>
      <c r="P2" t="str">
        <f>A2&amp;"_"&amp;B2&amp;"_"&amp;C2&amp;"_"&amp;G2</f>
        <v>GM_1_CTRL_B1</v>
      </c>
    </row>
    <row r="3" spans="1:17" x14ac:dyDescent="0.15">
      <c r="A3" s="5" t="s">
        <v>18</v>
      </c>
      <c r="B3" s="5">
        <v>1</v>
      </c>
      <c r="C3" s="5" t="s">
        <v>22</v>
      </c>
      <c r="D3" s="5" t="s">
        <v>30</v>
      </c>
      <c r="E3" s="7">
        <v>44748</v>
      </c>
      <c r="F3" s="5" t="s">
        <v>6</v>
      </c>
      <c r="G3" s="5" t="s">
        <v>36</v>
      </c>
      <c r="H3" s="5" t="s">
        <v>21</v>
      </c>
      <c r="I3" s="4" t="s">
        <v>21</v>
      </c>
      <c r="J3" s="4" t="s">
        <v>21</v>
      </c>
      <c r="K3" t="s">
        <v>249</v>
      </c>
      <c r="L3">
        <v>1</v>
      </c>
      <c r="M3" t="e">
        <f>VLOOKUP(H3,eq!$A$3:$T$13,20,)</f>
        <v>#N/A</v>
      </c>
      <c r="N3" t="e">
        <f t="shared" si="0"/>
        <v>#N/A</v>
      </c>
      <c r="O3" t="e" cm="1">
        <f t="array" ref="O3">eval_tr_dbh*1000</f>
        <v>#N/A</v>
      </c>
      <c r="P3" t="str">
        <f t="shared" ref="P3:P66" si="1">A3&amp;"_"&amp;B3&amp;"_"&amp;C3&amp;"_"&amp;G3</f>
        <v>GM_1_CTRL_B2</v>
      </c>
    </row>
    <row r="4" spans="1:17" x14ac:dyDescent="0.15">
      <c r="A4" s="5" t="s">
        <v>18</v>
      </c>
      <c r="B4" s="5">
        <v>1</v>
      </c>
      <c r="C4" s="5" t="s">
        <v>22</v>
      </c>
      <c r="D4" s="5" t="s">
        <v>30</v>
      </c>
      <c r="E4" s="7">
        <v>44748</v>
      </c>
      <c r="F4" s="5" t="s">
        <v>7</v>
      </c>
      <c r="G4" s="5" t="s">
        <v>34</v>
      </c>
      <c r="H4" s="5" t="s">
        <v>21</v>
      </c>
      <c r="I4" s="4" t="s">
        <v>21</v>
      </c>
      <c r="J4" s="4" t="s">
        <v>21</v>
      </c>
      <c r="K4" t="s">
        <v>249</v>
      </c>
      <c r="L4">
        <v>1</v>
      </c>
      <c r="M4" t="e">
        <f>VLOOKUP(H4,eq!$A$3:$T$13,20,)</f>
        <v>#N/A</v>
      </c>
      <c r="N4" t="e">
        <f t="shared" si="0"/>
        <v>#N/A</v>
      </c>
      <c r="O4" t="e" cm="1">
        <f t="array" ref="O4">eval_tr_dbh*1000</f>
        <v>#N/A</v>
      </c>
      <c r="P4" t="str">
        <f t="shared" si="1"/>
        <v>GM_1_CTRL_B3</v>
      </c>
    </row>
    <row r="5" spans="1:17" x14ac:dyDescent="0.15">
      <c r="A5" s="5" t="s">
        <v>18</v>
      </c>
      <c r="B5" s="5">
        <v>1</v>
      </c>
      <c r="C5" s="5" t="s">
        <v>22</v>
      </c>
      <c r="D5" s="5" t="s">
        <v>30</v>
      </c>
      <c r="E5" s="7">
        <v>44748</v>
      </c>
      <c r="F5" s="5" t="s">
        <v>9</v>
      </c>
      <c r="G5" s="5" t="s">
        <v>37</v>
      </c>
      <c r="H5" s="5" t="s">
        <v>21</v>
      </c>
      <c r="I5" s="4" t="s">
        <v>21</v>
      </c>
      <c r="J5" s="4" t="s">
        <v>21</v>
      </c>
      <c r="K5" t="s">
        <v>249</v>
      </c>
      <c r="L5">
        <v>1</v>
      </c>
      <c r="M5" t="e">
        <f>VLOOKUP(H5,eq!$A$3:$T$13,20,)</f>
        <v>#N/A</v>
      </c>
      <c r="N5" t="e">
        <f t="shared" si="0"/>
        <v>#N/A</v>
      </c>
      <c r="O5" t="e" cm="1">
        <f t="array" ref="O5">eval_tr_dbh*1000</f>
        <v>#N/A</v>
      </c>
      <c r="P5" t="str">
        <f t="shared" si="1"/>
        <v>GM_1_CTRL_B4</v>
      </c>
    </row>
    <row r="6" spans="1:17" x14ac:dyDescent="0.15">
      <c r="A6" s="5" t="s">
        <v>18</v>
      </c>
      <c r="B6" s="5">
        <v>1</v>
      </c>
      <c r="C6" s="5" t="s">
        <v>23</v>
      </c>
      <c r="D6" s="5" t="s">
        <v>30</v>
      </c>
      <c r="E6" s="7">
        <v>44748</v>
      </c>
      <c r="F6" s="5" t="s">
        <v>7</v>
      </c>
      <c r="G6" s="5" t="s">
        <v>34</v>
      </c>
      <c r="H6" s="3" t="s">
        <v>10</v>
      </c>
      <c r="I6" s="4">
        <v>3.25</v>
      </c>
      <c r="J6" s="4">
        <v>5</v>
      </c>
      <c r="K6" t="s">
        <v>250</v>
      </c>
      <c r="L6">
        <v>1</v>
      </c>
      <c r="M6" t="str">
        <f>VLOOKUP(H6,eq!$A$3:$T$13,20,)</f>
        <v>0.0534*(X4^2.403)+0.0115*(X4^2.3484)+0.007*(X4^2.5406)+0.084*(X4^1.6695)</v>
      </c>
      <c r="N6" t="str">
        <f t="shared" si="0"/>
        <v>0.0534*(5^2.403)+0.0115*(5^2.3484)+0.007*(5^2.5406)+0.084*(5^1.6695)</v>
      </c>
      <c r="O6" cm="1">
        <f t="array" ref="O6">eval_tr_dbh*1000</f>
        <v>4708.7989898844462</v>
      </c>
      <c r="P6" t="str">
        <f t="shared" si="1"/>
        <v>GM_1_EX_B3</v>
      </c>
    </row>
    <row r="7" spans="1:17" x14ac:dyDescent="0.15">
      <c r="A7" s="5" t="s">
        <v>18</v>
      </c>
      <c r="B7" s="5">
        <v>1</v>
      </c>
      <c r="C7" s="5" t="s">
        <v>23</v>
      </c>
      <c r="D7" s="5" t="s">
        <v>30</v>
      </c>
      <c r="E7" s="7">
        <v>44748</v>
      </c>
      <c r="F7" s="5" t="s">
        <v>7</v>
      </c>
      <c r="G7" s="5" t="s">
        <v>34</v>
      </c>
      <c r="H7" s="3" t="s">
        <v>10</v>
      </c>
      <c r="I7" s="4">
        <v>3.15</v>
      </c>
      <c r="J7" s="4">
        <v>5</v>
      </c>
      <c r="K7" t="s">
        <v>250</v>
      </c>
      <c r="L7">
        <v>1</v>
      </c>
      <c r="M7" t="str">
        <f>VLOOKUP(H7,eq!$A$3:$T$13,20,)</f>
        <v>0.0534*(X4^2.403)+0.0115*(X4^2.3484)+0.007*(X4^2.5406)+0.084*(X4^1.6695)</v>
      </c>
      <c r="N7" t="str">
        <f t="shared" si="0"/>
        <v>0.0534*(5^2.403)+0.0115*(5^2.3484)+0.007*(5^2.5406)+0.084*(5^1.6695)</v>
      </c>
      <c r="O7" cm="1">
        <f t="array" ref="O7">eval_tr_dbh*1000</f>
        <v>4708.7989898844462</v>
      </c>
      <c r="P7" t="str">
        <f t="shared" si="1"/>
        <v>GM_1_EX_B3</v>
      </c>
    </row>
    <row r="8" spans="1:17" x14ac:dyDescent="0.15">
      <c r="A8" s="5" t="s">
        <v>18</v>
      </c>
      <c r="B8" s="5">
        <v>1</v>
      </c>
      <c r="C8" s="5" t="s">
        <v>23</v>
      </c>
      <c r="D8" s="5" t="s">
        <v>30</v>
      </c>
      <c r="E8" s="7">
        <v>44748</v>
      </c>
      <c r="F8" s="5" t="s">
        <v>7</v>
      </c>
      <c r="G8" s="5" t="s">
        <v>34</v>
      </c>
      <c r="H8" s="5" t="s">
        <v>14</v>
      </c>
      <c r="I8" s="4">
        <v>4</v>
      </c>
      <c r="J8" s="4">
        <v>4.5</v>
      </c>
      <c r="K8" t="s">
        <v>250</v>
      </c>
      <c r="L8">
        <v>1</v>
      </c>
      <c r="M8" t="str">
        <f>VLOOKUP(H8,eq!$A$3:$T$13,20,)</f>
        <v>0.0941*(X4^2.3491)+0.0323*(X4^2.0761)+0.0448*(X4^1.9771)+0.0538*(X4^1.3584)</v>
      </c>
      <c r="N8" t="str">
        <f t="shared" si="0"/>
        <v>0.0941*(4.5^2.3491)+0.0323*(4.5^2.0761)+0.0448*(4.5^1.9771)+0.0538*(4.5^1.3584)</v>
      </c>
      <c r="O8" cm="1">
        <f t="array" ref="O8">eval_tr_dbh*1000</f>
        <v>5246.3820022071704</v>
      </c>
      <c r="P8" t="str">
        <f t="shared" si="1"/>
        <v>GM_1_EX_B3</v>
      </c>
    </row>
    <row r="9" spans="1:17" x14ac:dyDescent="0.15">
      <c r="A9" s="5" t="s">
        <v>18</v>
      </c>
      <c r="B9" s="5">
        <v>1</v>
      </c>
      <c r="C9" s="5" t="s">
        <v>23</v>
      </c>
      <c r="D9" s="5" t="s">
        <v>30</v>
      </c>
      <c r="E9" s="7">
        <v>44748</v>
      </c>
      <c r="F9" s="5" t="s">
        <v>7</v>
      </c>
      <c r="G9" s="5" t="s">
        <v>34</v>
      </c>
      <c r="H9" s="5" t="s">
        <v>11</v>
      </c>
      <c r="I9" s="4">
        <v>5</v>
      </c>
      <c r="J9" s="4">
        <v>4.5</v>
      </c>
      <c r="K9" t="s">
        <v>250</v>
      </c>
      <c r="L9">
        <v>1</v>
      </c>
      <c r="M9" t="str">
        <f>VLOOKUP(H9,eq!$A$3:$T$13,20,)</f>
        <v>0.1932*(X4^2.1569)+0.0192*(X4^2.2475)+0.0305*(X4^2.4044)+0.1119*(X4^1.3973)</v>
      </c>
      <c r="N9" t="str">
        <f t="shared" si="0"/>
        <v>0.1932*(4.5^2.1569)+0.0192*(4.5^2.2475)+0.0305*(4.5^2.4044)+0.1119*(4.5^1.3973)</v>
      </c>
      <c r="O9" cm="1">
        <f t="array" ref="O9">eval_tr_dbh*1000</f>
        <v>7567.7639387823829</v>
      </c>
      <c r="P9" t="str">
        <f t="shared" si="1"/>
        <v>GM_1_EX_B3</v>
      </c>
    </row>
    <row r="10" spans="1:17" x14ac:dyDescent="0.15">
      <c r="A10" s="5" t="s">
        <v>18</v>
      </c>
      <c r="B10" s="5">
        <v>1</v>
      </c>
      <c r="C10" s="5" t="s">
        <v>23</v>
      </c>
      <c r="D10" s="5" t="s">
        <v>30</v>
      </c>
      <c r="E10" s="7">
        <v>44748</v>
      </c>
      <c r="F10" s="5" t="s">
        <v>5</v>
      </c>
      <c r="G10" s="5" t="s">
        <v>35</v>
      </c>
      <c r="H10" s="3" t="s">
        <v>10</v>
      </c>
      <c r="I10" s="4">
        <v>4.5</v>
      </c>
      <c r="J10" s="4">
        <v>6.5</v>
      </c>
      <c r="K10" t="s">
        <v>250</v>
      </c>
      <c r="L10">
        <v>1</v>
      </c>
      <c r="M10" t="str">
        <f>VLOOKUP(H10,eq!$A$3:$T$13,20,)</f>
        <v>0.0534*(X4^2.403)+0.0115*(X4^2.3484)+0.007*(X4^2.5406)+0.084*(X4^1.6695)</v>
      </c>
      <c r="N10" t="str">
        <f t="shared" si="0"/>
        <v>0.0534*(6.5^2.403)+0.0115*(6.5^2.3484)+0.007*(6.5^2.5406)+0.084*(6.5^1.6695)</v>
      </c>
      <c r="O10" cm="1">
        <f t="array" ref="O10">eval_tr_dbh*1000</f>
        <v>8455.062918442316</v>
      </c>
      <c r="P10" t="str">
        <f t="shared" si="1"/>
        <v>GM_1_EX_B1</v>
      </c>
    </row>
    <row r="11" spans="1:17" x14ac:dyDescent="0.15">
      <c r="A11" s="5" t="s">
        <v>18</v>
      </c>
      <c r="B11" s="5">
        <v>1</v>
      </c>
      <c r="C11" s="5" t="s">
        <v>23</v>
      </c>
      <c r="D11" s="5" t="s">
        <v>30</v>
      </c>
      <c r="E11" s="7">
        <v>44748</v>
      </c>
      <c r="F11" s="5" t="s">
        <v>6</v>
      </c>
      <c r="G11" s="5" t="s">
        <v>36</v>
      </c>
      <c r="H11" s="3" t="s">
        <v>10</v>
      </c>
      <c r="I11" s="4">
        <v>6</v>
      </c>
      <c r="J11" s="4">
        <v>11.75</v>
      </c>
      <c r="K11" t="s">
        <v>250</v>
      </c>
      <c r="L11">
        <v>1</v>
      </c>
      <c r="M11" t="str">
        <f>VLOOKUP(H11,eq!$A$3:$T$13,20,)</f>
        <v>0.0534*(X4^2.403)+0.0115*(X4^2.3484)+0.007*(X4^2.5406)+0.084*(X4^1.6695)</v>
      </c>
      <c r="N11" t="str">
        <f t="shared" si="0"/>
        <v>0.0534*(11.75^2.403)+0.0115*(11.75^2.3484)+0.007*(11.75^2.5406)+0.084*(11.75^1.6695)</v>
      </c>
      <c r="O11" cm="1">
        <f t="array" ref="O11">eval_tr_dbh*1000</f>
        <v>32443.847711060924</v>
      </c>
      <c r="P11" t="str">
        <f t="shared" si="1"/>
        <v>GM_1_EX_B2</v>
      </c>
    </row>
    <row r="12" spans="1:17" x14ac:dyDescent="0.15">
      <c r="A12" s="5" t="s">
        <v>18</v>
      </c>
      <c r="B12" s="5">
        <v>1</v>
      </c>
      <c r="C12" s="5" t="s">
        <v>23</v>
      </c>
      <c r="D12" s="5" t="s">
        <v>30</v>
      </c>
      <c r="E12" s="7">
        <v>44748</v>
      </c>
      <c r="F12" s="5" t="s">
        <v>6</v>
      </c>
      <c r="G12" s="5" t="s">
        <v>36</v>
      </c>
      <c r="H12" s="3" t="s">
        <v>10</v>
      </c>
      <c r="I12" s="4">
        <v>8</v>
      </c>
      <c r="J12" s="4">
        <v>12</v>
      </c>
      <c r="K12" t="s">
        <v>250</v>
      </c>
      <c r="L12">
        <v>1</v>
      </c>
      <c r="M12" t="str">
        <f>VLOOKUP(H12,eq!$A$3:$T$13,20,)</f>
        <v>0.0534*(X4^2.403)+0.0115*(X4^2.3484)+0.007*(X4^2.5406)+0.084*(X4^1.6695)</v>
      </c>
      <c r="N12" t="str">
        <f t="shared" si="0"/>
        <v>0.0534*(12^2.403)+0.0115*(12^2.3484)+0.007*(12^2.5406)+0.084*(12^1.6695)</v>
      </c>
      <c r="O12" cm="1">
        <f t="array" ref="O12">eval_tr_dbh*1000</f>
        <v>34051.296349522345</v>
      </c>
      <c r="P12" t="str">
        <f t="shared" si="1"/>
        <v>GM_1_EX_B2</v>
      </c>
    </row>
    <row r="13" spans="1:17" x14ac:dyDescent="0.15">
      <c r="A13" s="5" t="s">
        <v>18</v>
      </c>
      <c r="B13" s="5">
        <v>1</v>
      </c>
      <c r="C13" s="5" t="s">
        <v>23</v>
      </c>
      <c r="D13" s="5" t="s">
        <v>30</v>
      </c>
      <c r="E13" s="7">
        <v>44748</v>
      </c>
      <c r="F13" s="5" t="s">
        <v>5</v>
      </c>
      <c r="G13" s="5" t="s">
        <v>35</v>
      </c>
      <c r="H13" s="3" t="s">
        <v>10</v>
      </c>
      <c r="I13" s="4">
        <v>6</v>
      </c>
      <c r="J13" s="4">
        <v>12</v>
      </c>
      <c r="K13" t="s">
        <v>250</v>
      </c>
      <c r="L13">
        <v>1</v>
      </c>
      <c r="M13" t="str">
        <f>VLOOKUP(H13,eq!$A$3:$T$13,20,)</f>
        <v>0.0534*(X4^2.403)+0.0115*(X4^2.3484)+0.007*(X4^2.5406)+0.084*(X4^1.6695)</v>
      </c>
      <c r="N13" t="str">
        <f t="shared" si="0"/>
        <v>0.0534*(12^2.403)+0.0115*(12^2.3484)+0.007*(12^2.5406)+0.084*(12^1.6695)</v>
      </c>
      <c r="O13" cm="1">
        <f t="array" ref="O13">eval_tr_dbh*1000</f>
        <v>34051.296349522345</v>
      </c>
      <c r="P13" t="str">
        <f t="shared" si="1"/>
        <v>GM_1_EX_B1</v>
      </c>
    </row>
    <row r="14" spans="1:17" x14ac:dyDescent="0.15">
      <c r="A14" s="5" t="s">
        <v>18</v>
      </c>
      <c r="B14" s="5">
        <v>1</v>
      </c>
      <c r="C14" s="5" t="s">
        <v>23</v>
      </c>
      <c r="D14" s="5" t="s">
        <v>30</v>
      </c>
      <c r="E14" s="7">
        <v>44748</v>
      </c>
      <c r="F14" s="5" t="s">
        <v>6</v>
      </c>
      <c r="G14" s="5" t="s">
        <v>36</v>
      </c>
      <c r="H14" s="3" t="s">
        <v>10</v>
      </c>
      <c r="I14" s="4">
        <v>6.5</v>
      </c>
      <c r="J14" s="4">
        <v>12.25</v>
      </c>
      <c r="K14" t="s">
        <v>250</v>
      </c>
      <c r="L14">
        <v>1</v>
      </c>
      <c r="M14" t="str">
        <f>VLOOKUP(H14,eq!$A$3:$T$13,20,)</f>
        <v>0.0534*(X4^2.403)+0.0115*(X4^2.3484)+0.007*(X4^2.5406)+0.084*(X4^1.6695)</v>
      </c>
      <c r="N14" t="str">
        <f t="shared" si="0"/>
        <v>0.0534*(12.25^2.403)+0.0115*(12.25^2.3484)+0.007*(12.25^2.5406)+0.084*(12.25^1.6695)</v>
      </c>
      <c r="O14" cm="1">
        <f t="array" ref="O14">eval_tr_dbh*1000</f>
        <v>35703.926668253473</v>
      </c>
      <c r="P14" t="str">
        <f t="shared" si="1"/>
        <v>GM_1_EX_B2</v>
      </c>
    </row>
    <row r="15" spans="1:17" x14ac:dyDescent="0.15">
      <c r="A15" s="5" t="s">
        <v>18</v>
      </c>
      <c r="B15" s="5">
        <v>1</v>
      </c>
      <c r="C15" s="5" t="s">
        <v>23</v>
      </c>
      <c r="D15" s="5" t="s">
        <v>30</v>
      </c>
      <c r="E15" s="7">
        <v>44748</v>
      </c>
      <c r="F15" s="5" t="s">
        <v>7</v>
      </c>
      <c r="G15" s="5" t="s">
        <v>34</v>
      </c>
      <c r="H15" s="3" t="s">
        <v>10</v>
      </c>
      <c r="I15" s="4">
        <v>7.5</v>
      </c>
      <c r="J15" s="4">
        <v>12.75</v>
      </c>
      <c r="K15" t="s">
        <v>250</v>
      </c>
      <c r="L15">
        <v>1</v>
      </c>
      <c r="M15" t="str">
        <f>VLOOKUP(H15,eq!$A$3:$T$13,20,)</f>
        <v>0.0534*(X4^2.403)+0.0115*(X4^2.3484)+0.007*(X4^2.5406)+0.084*(X4^1.6695)</v>
      </c>
      <c r="N15" t="str">
        <f t="shared" si="0"/>
        <v>0.0534*(12.75^2.403)+0.0115*(12.75^2.3484)+0.007*(12.75^2.5406)+0.084*(12.75^1.6695)</v>
      </c>
      <c r="O15" cm="1">
        <f t="array" ref="O15">eval_tr_dbh*1000</f>
        <v>39146.130958122405</v>
      </c>
      <c r="P15" t="str">
        <f t="shared" si="1"/>
        <v>GM_1_EX_B3</v>
      </c>
    </row>
    <row r="16" spans="1:17" x14ac:dyDescent="0.15">
      <c r="A16" s="5" t="s">
        <v>18</v>
      </c>
      <c r="B16" s="5">
        <v>1</v>
      </c>
      <c r="C16" s="5" t="s">
        <v>23</v>
      </c>
      <c r="D16" s="5" t="s">
        <v>30</v>
      </c>
      <c r="E16" s="7">
        <v>44748</v>
      </c>
      <c r="F16" s="5" t="s">
        <v>6</v>
      </c>
      <c r="G16" s="5" t="s">
        <v>36</v>
      </c>
      <c r="H16" s="3" t="s">
        <v>10</v>
      </c>
      <c r="I16" s="4">
        <v>7.5</v>
      </c>
      <c r="J16" s="4">
        <v>14.25</v>
      </c>
      <c r="K16" t="s">
        <v>250</v>
      </c>
      <c r="L16">
        <v>1</v>
      </c>
      <c r="M16" t="str">
        <f>VLOOKUP(H16,eq!$A$3:$T$13,20,)</f>
        <v>0.0534*(X4^2.403)+0.0115*(X4^2.3484)+0.007*(X4^2.5406)+0.084*(X4^1.6695)</v>
      </c>
      <c r="N16" t="str">
        <f t="shared" si="0"/>
        <v>0.0534*(14.25^2.403)+0.0115*(14.25^2.3484)+0.007*(14.25^2.5406)+0.084*(14.25^1.6695)</v>
      </c>
      <c r="O16" cm="1">
        <f t="array" ref="O16">eval_tr_dbh*1000</f>
        <v>50592.806582462814</v>
      </c>
      <c r="P16" t="str">
        <f t="shared" si="1"/>
        <v>GM_1_EX_B2</v>
      </c>
    </row>
    <row r="17" spans="1:16" x14ac:dyDescent="0.15">
      <c r="A17" s="5" t="s">
        <v>18</v>
      </c>
      <c r="B17" s="5">
        <v>2</v>
      </c>
      <c r="C17" s="5" t="s">
        <v>21</v>
      </c>
      <c r="D17" s="5" t="s">
        <v>30</v>
      </c>
      <c r="E17" s="7">
        <v>44741</v>
      </c>
      <c r="F17" s="5" t="s">
        <v>5</v>
      </c>
      <c r="G17" s="5" t="s">
        <v>35</v>
      </c>
      <c r="H17" s="5" t="s">
        <v>21</v>
      </c>
      <c r="I17" s="4" t="s">
        <v>21</v>
      </c>
      <c r="J17" s="4" t="s">
        <v>21</v>
      </c>
      <c r="K17" t="s">
        <v>158</v>
      </c>
      <c r="L17">
        <v>2</v>
      </c>
      <c r="M17" t="e">
        <f>VLOOKUP(H17,eq!$A$3:$T$13,20,)</f>
        <v>#N/A</v>
      </c>
      <c r="N17" t="e">
        <f t="shared" si="0"/>
        <v>#N/A</v>
      </c>
      <c r="O17" t="e" cm="1">
        <f t="array" ref="O17">eval_tr_dbh*1000</f>
        <v>#N/A</v>
      </c>
      <c r="P17" t="str">
        <f t="shared" si="1"/>
        <v>GM_2_NA_B1</v>
      </c>
    </row>
    <row r="18" spans="1:16" x14ac:dyDescent="0.15">
      <c r="A18" s="5" t="s">
        <v>18</v>
      </c>
      <c r="B18" s="5">
        <v>2</v>
      </c>
      <c r="C18" s="5" t="s">
        <v>21</v>
      </c>
      <c r="D18" s="5" t="s">
        <v>30</v>
      </c>
      <c r="E18" s="7">
        <v>44741</v>
      </c>
      <c r="F18" s="5" t="s">
        <v>6</v>
      </c>
      <c r="G18" s="5" t="s">
        <v>36</v>
      </c>
      <c r="H18" s="5" t="s">
        <v>21</v>
      </c>
      <c r="I18" s="4" t="s">
        <v>21</v>
      </c>
      <c r="J18" s="4" t="s">
        <v>21</v>
      </c>
      <c r="K18" t="s">
        <v>158</v>
      </c>
      <c r="L18">
        <v>2</v>
      </c>
      <c r="M18" t="e">
        <f>VLOOKUP(H18,eq!$A$3:$T$13,20,)</f>
        <v>#N/A</v>
      </c>
      <c r="N18" t="e">
        <f t="shared" si="0"/>
        <v>#N/A</v>
      </c>
      <c r="O18" t="e" cm="1">
        <f t="array" ref="O18">eval_tr_dbh*1000</f>
        <v>#N/A</v>
      </c>
      <c r="P18" t="str">
        <f t="shared" si="1"/>
        <v>GM_2_NA_B2</v>
      </c>
    </row>
    <row r="19" spans="1:16" x14ac:dyDescent="0.15">
      <c r="A19" s="5" t="s">
        <v>18</v>
      </c>
      <c r="B19" s="5">
        <v>2</v>
      </c>
      <c r="C19" s="5" t="s">
        <v>21</v>
      </c>
      <c r="D19" s="5" t="s">
        <v>30</v>
      </c>
      <c r="E19" s="7">
        <v>44741</v>
      </c>
      <c r="F19" s="5" t="s">
        <v>7</v>
      </c>
      <c r="G19" s="5" t="s">
        <v>34</v>
      </c>
      <c r="H19" s="5" t="s">
        <v>21</v>
      </c>
      <c r="I19" s="4" t="s">
        <v>21</v>
      </c>
      <c r="J19" s="4" t="s">
        <v>21</v>
      </c>
      <c r="K19" t="s">
        <v>158</v>
      </c>
      <c r="L19">
        <v>2</v>
      </c>
      <c r="M19" t="e">
        <f>VLOOKUP(H19,eq!$A$3:$T$13,20,)</f>
        <v>#N/A</v>
      </c>
      <c r="N19" t="e">
        <f t="shared" si="0"/>
        <v>#N/A</v>
      </c>
      <c r="O19" t="e" cm="1">
        <f t="array" ref="O19">eval_tr_dbh*1000</f>
        <v>#N/A</v>
      </c>
      <c r="P19" t="str">
        <f t="shared" si="1"/>
        <v>GM_2_NA_B3</v>
      </c>
    </row>
    <row r="20" spans="1:16" x14ac:dyDescent="0.15">
      <c r="A20" s="5" t="s">
        <v>18</v>
      </c>
      <c r="B20" s="5">
        <v>2</v>
      </c>
      <c r="C20" s="5" t="s">
        <v>21</v>
      </c>
      <c r="D20" s="5" t="s">
        <v>30</v>
      </c>
      <c r="E20" s="7">
        <v>44741</v>
      </c>
      <c r="F20" s="5" t="s">
        <v>9</v>
      </c>
      <c r="G20" s="5" t="s">
        <v>37</v>
      </c>
      <c r="H20" s="5" t="s">
        <v>21</v>
      </c>
      <c r="I20" s="4" t="s">
        <v>21</v>
      </c>
      <c r="J20" s="4" t="s">
        <v>21</v>
      </c>
      <c r="K20" t="s">
        <v>158</v>
      </c>
      <c r="L20">
        <v>2</v>
      </c>
      <c r="M20" t="e">
        <f>VLOOKUP(H20,eq!$A$3:$T$13,20,)</f>
        <v>#N/A</v>
      </c>
      <c r="N20" t="e">
        <f t="shared" si="0"/>
        <v>#N/A</v>
      </c>
      <c r="O20" t="e" cm="1">
        <f t="array" ref="O20">eval_tr_dbh*1000</f>
        <v>#N/A</v>
      </c>
      <c r="P20" t="str">
        <f t="shared" si="1"/>
        <v>GM_2_NA_B4</v>
      </c>
    </row>
    <row r="21" spans="1:16" x14ac:dyDescent="0.15">
      <c r="A21" s="5" t="s">
        <v>18</v>
      </c>
      <c r="B21" s="5">
        <v>3</v>
      </c>
      <c r="C21" s="5" t="s">
        <v>21</v>
      </c>
      <c r="D21" s="5" t="s">
        <v>30</v>
      </c>
      <c r="E21" s="7">
        <v>44742</v>
      </c>
      <c r="F21" s="5" t="s">
        <v>5</v>
      </c>
      <c r="G21" s="5" t="s">
        <v>35</v>
      </c>
      <c r="H21" s="5" t="s">
        <v>21</v>
      </c>
      <c r="I21" s="4" t="s">
        <v>21</v>
      </c>
      <c r="J21" s="4" t="s">
        <v>21</v>
      </c>
      <c r="K21" t="s">
        <v>159</v>
      </c>
      <c r="L21">
        <v>2</v>
      </c>
      <c r="M21" t="e">
        <f>VLOOKUP(H21,eq!$A$3:$T$13,20,)</f>
        <v>#N/A</v>
      </c>
      <c r="N21" t="e">
        <f t="shared" si="0"/>
        <v>#N/A</v>
      </c>
      <c r="O21" t="e" cm="1">
        <f t="array" ref="O21">eval_tr_dbh*1000</f>
        <v>#N/A</v>
      </c>
      <c r="P21" t="str">
        <f t="shared" si="1"/>
        <v>GM_3_NA_B1</v>
      </c>
    </row>
    <row r="22" spans="1:16" x14ac:dyDescent="0.15">
      <c r="A22" s="5" t="s">
        <v>18</v>
      </c>
      <c r="B22" s="5">
        <v>3</v>
      </c>
      <c r="C22" s="5" t="s">
        <v>21</v>
      </c>
      <c r="D22" s="5" t="s">
        <v>30</v>
      </c>
      <c r="E22" s="7">
        <v>44742</v>
      </c>
      <c r="F22" s="5" t="s">
        <v>6</v>
      </c>
      <c r="G22" s="5" t="s">
        <v>36</v>
      </c>
      <c r="H22" s="5" t="s">
        <v>21</v>
      </c>
      <c r="I22" s="4" t="s">
        <v>21</v>
      </c>
      <c r="J22" s="4" t="s">
        <v>21</v>
      </c>
      <c r="K22" t="s">
        <v>159</v>
      </c>
      <c r="L22">
        <v>2</v>
      </c>
      <c r="M22" t="e">
        <f>VLOOKUP(H22,eq!$A$3:$T$13,20,)</f>
        <v>#N/A</v>
      </c>
      <c r="N22" t="e">
        <f t="shared" si="0"/>
        <v>#N/A</v>
      </c>
      <c r="O22" t="e" cm="1">
        <f t="array" ref="O22">eval_tr_dbh*1000</f>
        <v>#N/A</v>
      </c>
      <c r="P22" t="str">
        <f t="shared" si="1"/>
        <v>GM_3_NA_B2</v>
      </c>
    </row>
    <row r="23" spans="1:16" x14ac:dyDescent="0.15">
      <c r="A23" s="5" t="s">
        <v>18</v>
      </c>
      <c r="B23" s="5">
        <v>3</v>
      </c>
      <c r="C23" s="5" t="s">
        <v>21</v>
      </c>
      <c r="D23" s="5" t="s">
        <v>30</v>
      </c>
      <c r="E23" s="7">
        <v>44742</v>
      </c>
      <c r="F23" s="5" t="s">
        <v>7</v>
      </c>
      <c r="G23" s="5" t="s">
        <v>34</v>
      </c>
      <c r="H23" s="5" t="s">
        <v>21</v>
      </c>
      <c r="I23" s="4" t="s">
        <v>21</v>
      </c>
      <c r="J23" s="4" t="s">
        <v>21</v>
      </c>
      <c r="K23" t="s">
        <v>159</v>
      </c>
      <c r="L23">
        <v>2</v>
      </c>
      <c r="M23" t="e">
        <f>VLOOKUP(H23,eq!$A$3:$T$13,20,)</f>
        <v>#N/A</v>
      </c>
      <c r="N23" t="e">
        <f t="shared" si="0"/>
        <v>#N/A</v>
      </c>
      <c r="O23" t="e" cm="1">
        <f t="array" ref="O23">eval_tr_dbh*1000</f>
        <v>#N/A</v>
      </c>
      <c r="P23" t="str">
        <f t="shared" si="1"/>
        <v>GM_3_NA_B3</v>
      </c>
    </row>
    <row r="24" spans="1:16" x14ac:dyDescent="0.15">
      <c r="A24" s="5" t="s">
        <v>18</v>
      </c>
      <c r="B24" s="5">
        <v>3</v>
      </c>
      <c r="C24" s="5" t="s">
        <v>21</v>
      </c>
      <c r="D24" s="5" t="s">
        <v>30</v>
      </c>
      <c r="E24" s="7">
        <v>44742</v>
      </c>
      <c r="F24" s="5" t="s">
        <v>9</v>
      </c>
      <c r="G24" s="5" t="s">
        <v>37</v>
      </c>
      <c r="H24" s="5" t="s">
        <v>21</v>
      </c>
      <c r="I24" s="4" t="s">
        <v>21</v>
      </c>
      <c r="J24" s="4" t="s">
        <v>21</v>
      </c>
      <c r="K24" t="s">
        <v>159</v>
      </c>
      <c r="L24">
        <v>2</v>
      </c>
      <c r="M24" t="e">
        <f>VLOOKUP(H24,eq!$A$3:$T$13,20,)</f>
        <v>#N/A</v>
      </c>
      <c r="N24" t="e">
        <f t="shared" si="0"/>
        <v>#N/A</v>
      </c>
      <c r="O24" t="e" cm="1">
        <f t="array" ref="O24">eval_tr_dbh*1000</f>
        <v>#N/A</v>
      </c>
      <c r="P24" t="str">
        <f t="shared" si="1"/>
        <v>GM_3_NA_B4</v>
      </c>
    </row>
    <row r="25" spans="1:16" x14ac:dyDescent="0.15">
      <c r="A25" s="5" t="s">
        <v>18</v>
      </c>
      <c r="B25" s="5">
        <v>4</v>
      </c>
      <c r="C25" s="5" t="s">
        <v>21</v>
      </c>
      <c r="D25" s="5" t="s">
        <v>30</v>
      </c>
      <c r="E25" s="7">
        <v>44741</v>
      </c>
      <c r="F25" s="5" t="s">
        <v>5</v>
      </c>
      <c r="G25" s="5" t="s">
        <v>35</v>
      </c>
      <c r="H25" s="5" t="s">
        <v>21</v>
      </c>
      <c r="I25" s="4" t="s">
        <v>21</v>
      </c>
      <c r="J25" s="4" t="s">
        <v>21</v>
      </c>
      <c r="K25" t="s">
        <v>160</v>
      </c>
      <c r="L25">
        <v>2</v>
      </c>
      <c r="M25" t="e">
        <f>VLOOKUP(H25,eq!$A$3:$T$13,20,)</f>
        <v>#N/A</v>
      </c>
      <c r="N25" t="e">
        <f t="shared" si="0"/>
        <v>#N/A</v>
      </c>
      <c r="O25" t="e" cm="1">
        <f t="array" ref="O25">eval_tr_dbh*1000</f>
        <v>#N/A</v>
      </c>
      <c r="P25" t="str">
        <f t="shared" si="1"/>
        <v>GM_4_NA_B1</v>
      </c>
    </row>
    <row r="26" spans="1:16" x14ac:dyDescent="0.15">
      <c r="A26" s="5" t="s">
        <v>18</v>
      </c>
      <c r="B26" s="5">
        <v>4</v>
      </c>
      <c r="C26" s="5" t="s">
        <v>21</v>
      </c>
      <c r="D26" s="5" t="s">
        <v>30</v>
      </c>
      <c r="E26" s="7">
        <v>44741</v>
      </c>
      <c r="F26" s="5" t="s">
        <v>6</v>
      </c>
      <c r="G26" s="5" t="s">
        <v>36</v>
      </c>
      <c r="H26" s="5" t="s">
        <v>21</v>
      </c>
      <c r="I26" s="4" t="s">
        <v>21</v>
      </c>
      <c r="J26" s="4" t="s">
        <v>21</v>
      </c>
      <c r="K26" t="s">
        <v>160</v>
      </c>
      <c r="L26">
        <v>2</v>
      </c>
      <c r="M26" t="e">
        <f>VLOOKUP(H26,eq!$A$3:$T$13,20,)</f>
        <v>#N/A</v>
      </c>
      <c r="N26" t="e">
        <f t="shared" si="0"/>
        <v>#N/A</v>
      </c>
      <c r="O26" t="e" cm="1">
        <f t="array" ref="O26">eval_tr_dbh*1000</f>
        <v>#N/A</v>
      </c>
      <c r="P26" t="str">
        <f t="shared" si="1"/>
        <v>GM_4_NA_B2</v>
      </c>
    </row>
    <row r="27" spans="1:16" x14ac:dyDescent="0.15">
      <c r="A27" s="5" t="s">
        <v>18</v>
      </c>
      <c r="B27" s="5">
        <v>4</v>
      </c>
      <c r="C27" s="5" t="s">
        <v>21</v>
      </c>
      <c r="D27" s="5" t="s">
        <v>30</v>
      </c>
      <c r="E27" s="7">
        <v>44741</v>
      </c>
      <c r="F27" s="5" t="s">
        <v>7</v>
      </c>
      <c r="G27" s="5" t="s">
        <v>34</v>
      </c>
      <c r="H27" s="5" t="s">
        <v>21</v>
      </c>
      <c r="I27" s="4" t="s">
        <v>21</v>
      </c>
      <c r="J27" s="4" t="s">
        <v>21</v>
      </c>
      <c r="K27" t="s">
        <v>160</v>
      </c>
      <c r="L27">
        <v>2</v>
      </c>
      <c r="M27" t="e">
        <f>VLOOKUP(H27,eq!$A$3:$T$13,20,)</f>
        <v>#N/A</v>
      </c>
      <c r="N27" t="e">
        <f t="shared" si="0"/>
        <v>#N/A</v>
      </c>
      <c r="O27" t="e" cm="1">
        <f t="array" ref="O27">eval_tr_dbh*1000</f>
        <v>#N/A</v>
      </c>
      <c r="P27" t="str">
        <f t="shared" si="1"/>
        <v>GM_4_NA_B3</v>
      </c>
    </row>
    <row r="28" spans="1:16" x14ac:dyDescent="0.15">
      <c r="A28" s="5" t="s">
        <v>18</v>
      </c>
      <c r="B28" s="5">
        <v>4</v>
      </c>
      <c r="C28" s="5" t="s">
        <v>21</v>
      </c>
      <c r="D28" s="5" t="s">
        <v>30</v>
      </c>
      <c r="E28" s="7">
        <v>44741</v>
      </c>
      <c r="F28" s="5" t="s">
        <v>9</v>
      </c>
      <c r="G28" s="5" t="s">
        <v>37</v>
      </c>
      <c r="H28" s="5" t="s">
        <v>21</v>
      </c>
      <c r="I28" s="4" t="s">
        <v>21</v>
      </c>
      <c r="J28" s="4" t="s">
        <v>21</v>
      </c>
      <c r="K28" t="s">
        <v>160</v>
      </c>
      <c r="L28">
        <v>2</v>
      </c>
      <c r="M28" t="e">
        <f>VLOOKUP(H28,eq!$A$3:$T$13,20,)</f>
        <v>#N/A</v>
      </c>
      <c r="N28" t="e">
        <f t="shared" si="0"/>
        <v>#N/A</v>
      </c>
      <c r="O28" t="e" cm="1">
        <f t="array" ref="O28">eval_tr_dbh*1000</f>
        <v>#N/A</v>
      </c>
      <c r="P28" t="str">
        <f t="shared" si="1"/>
        <v>GM_4_NA_B4</v>
      </c>
    </row>
    <row r="29" spans="1:16" x14ac:dyDescent="0.15">
      <c r="A29" s="5" t="s">
        <v>18</v>
      </c>
      <c r="B29" s="5">
        <v>5</v>
      </c>
      <c r="C29" s="6" t="s">
        <v>22</v>
      </c>
      <c r="D29" s="5" t="s">
        <v>30</v>
      </c>
      <c r="E29" s="8">
        <v>44741</v>
      </c>
      <c r="F29" s="5" t="s">
        <v>5</v>
      </c>
      <c r="G29" s="5" t="s">
        <v>35</v>
      </c>
      <c r="H29" s="5" t="s">
        <v>21</v>
      </c>
      <c r="I29" s="4" t="s">
        <v>21</v>
      </c>
      <c r="J29" s="4" t="s">
        <v>21</v>
      </c>
      <c r="K29" t="s">
        <v>251</v>
      </c>
      <c r="L29">
        <v>1</v>
      </c>
      <c r="M29" t="e">
        <f>VLOOKUP(H29,eq!$A$3:$T$13,20,)</f>
        <v>#N/A</v>
      </c>
      <c r="N29" t="e">
        <f t="shared" si="0"/>
        <v>#N/A</v>
      </c>
      <c r="O29" t="e" cm="1">
        <f t="array" ref="O29">eval_tr_dbh*1000</f>
        <v>#N/A</v>
      </c>
      <c r="P29" t="str">
        <f t="shared" si="1"/>
        <v>GM_5_CTRL_B1</v>
      </c>
    </row>
    <row r="30" spans="1:16" x14ac:dyDescent="0.15">
      <c r="A30" s="5" t="s">
        <v>18</v>
      </c>
      <c r="B30" s="5">
        <v>5</v>
      </c>
      <c r="C30" s="6" t="s">
        <v>22</v>
      </c>
      <c r="D30" s="5" t="s">
        <v>30</v>
      </c>
      <c r="E30" s="8">
        <v>44741</v>
      </c>
      <c r="F30" s="5" t="s">
        <v>6</v>
      </c>
      <c r="G30" s="5" t="s">
        <v>36</v>
      </c>
      <c r="H30" s="5" t="s">
        <v>21</v>
      </c>
      <c r="I30" s="4" t="s">
        <v>21</v>
      </c>
      <c r="J30" s="4" t="s">
        <v>21</v>
      </c>
      <c r="K30" t="s">
        <v>251</v>
      </c>
      <c r="L30">
        <v>1</v>
      </c>
      <c r="M30" t="e">
        <f>VLOOKUP(H30,eq!$A$3:$T$13,20,)</f>
        <v>#N/A</v>
      </c>
      <c r="N30" t="e">
        <f t="shared" si="0"/>
        <v>#N/A</v>
      </c>
      <c r="O30" t="e" cm="1">
        <f t="array" ref="O30">eval_tr_dbh*1000</f>
        <v>#N/A</v>
      </c>
      <c r="P30" t="str">
        <f t="shared" si="1"/>
        <v>GM_5_CTRL_B2</v>
      </c>
    </row>
    <row r="31" spans="1:16" x14ac:dyDescent="0.15">
      <c r="A31" s="5" t="s">
        <v>18</v>
      </c>
      <c r="B31" s="5">
        <v>5</v>
      </c>
      <c r="C31" s="6" t="s">
        <v>22</v>
      </c>
      <c r="D31" s="5" t="s">
        <v>30</v>
      </c>
      <c r="E31" s="8">
        <v>44741</v>
      </c>
      <c r="F31" s="5" t="s">
        <v>7</v>
      </c>
      <c r="G31" s="5" t="s">
        <v>34</v>
      </c>
      <c r="H31" s="5" t="s">
        <v>21</v>
      </c>
      <c r="I31" s="4" t="s">
        <v>21</v>
      </c>
      <c r="J31" s="4" t="s">
        <v>21</v>
      </c>
      <c r="K31" t="s">
        <v>251</v>
      </c>
      <c r="L31">
        <v>1</v>
      </c>
      <c r="M31" t="e">
        <f>VLOOKUP(H31,eq!$A$3:$T$13,20,)</f>
        <v>#N/A</v>
      </c>
      <c r="N31" t="e">
        <f t="shared" si="0"/>
        <v>#N/A</v>
      </c>
      <c r="O31" t="e" cm="1">
        <f t="array" ref="O31">eval_tr_dbh*1000</f>
        <v>#N/A</v>
      </c>
      <c r="P31" t="str">
        <f t="shared" si="1"/>
        <v>GM_5_CTRL_B3</v>
      </c>
    </row>
    <row r="32" spans="1:16" x14ac:dyDescent="0.15">
      <c r="A32" s="5" t="s">
        <v>18</v>
      </c>
      <c r="B32" s="5">
        <v>5</v>
      </c>
      <c r="C32" s="6" t="s">
        <v>22</v>
      </c>
      <c r="D32" s="5" t="s">
        <v>30</v>
      </c>
      <c r="E32" s="8">
        <v>44741</v>
      </c>
      <c r="F32" s="5" t="s">
        <v>9</v>
      </c>
      <c r="G32" s="5" t="s">
        <v>37</v>
      </c>
      <c r="H32" s="5" t="s">
        <v>21</v>
      </c>
      <c r="I32" s="4" t="s">
        <v>21</v>
      </c>
      <c r="J32" s="4" t="s">
        <v>21</v>
      </c>
      <c r="K32" t="s">
        <v>251</v>
      </c>
      <c r="L32">
        <v>1</v>
      </c>
      <c r="M32" t="e">
        <f>VLOOKUP(H32,eq!$A$3:$T$13,20,)</f>
        <v>#N/A</v>
      </c>
      <c r="N32" t="e">
        <f t="shared" si="0"/>
        <v>#N/A</v>
      </c>
      <c r="O32" t="e" cm="1">
        <f t="array" ref="O32">eval_tr_dbh*1000</f>
        <v>#N/A</v>
      </c>
      <c r="P32" t="str">
        <f t="shared" si="1"/>
        <v>GM_5_CTRL_B4</v>
      </c>
    </row>
    <row r="33" spans="1:16" x14ac:dyDescent="0.15">
      <c r="A33" s="5" t="s">
        <v>18</v>
      </c>
      <c r="B33" s="5">
        <v>5</v>
      </c>
      <c r="C33" s="5" t="s">
        <v>23</v>
      </c>
      <c r="D33" s="5" t="s">
        <v>30</v>
      </c>
      <c r="E33" s="8">
        <v>44741</v>
      </c>
      <c r="F33" s="5" t="s">
        <v>5</v>
      </c>
      <c r="G33" s="5" t="s">
        <v>35</v>
      </c>
      <c r="H33" s="5" t="s">
        <v>11</v>
      </c>
      <c r="I33" s="4">
        <v>4.5</v>
      </c>
      <c r="J33" s="4">
        <v>2.5</v>
      </c>
      <c r="K33" t="s">
        <v>252</v>
      </c>
      <c r="L33">
        <v>1</v>
      </c>
      <c r="M33" t="str">
        <f>VLOOKUP(H33,eq!$A$3:$T$13,20,)</f>
        <v>0.1932*(X4^2.1569)+0.0192*(X4^2.2475)+0.0305*(X4^2.4044)+0.1119*(X4^1.3973)</v>
      </c>
      <c r="N33" t="str">
        <f t="shared" si="0"/>
        <v>0.1932*(2.5^2.1569)+0.0192*(2.5^2.2475)+0.0305*(2.5^2.4044)+0.1119*(2.5^1.3973)</v>
      </c>
      <c r="O33" cm="1">
        <f t="array" ref="O33">eval_tr_dbh*1000</f>
        <v>2223.4667804710925</v>
      </c>
      <c r="P33" t="str">
        <f t="shared" si="1"/>
        <v>GM_5_EX_B1</v>
      </c>
    </row>
    <row r="34" spans="1:16" x14ac:dyDescent="0.15">
      <c r="A34" s="5" t="s">
        <v>18</v>
      </c>
      <c r="B34" s="5">
        <v>5</v>
      </c>
      <c r="C34" s="5" t="s">
        <v>23</v>
      </c>
      <c r="D34" s="5" t="s">
        <v>30</v>
      </c>
      <c r="E34" s="8">
        <v>44741</v>
      </c>
      <c r="F34" s="5" t="s">
        <v>5</v>
      </c>
      <c r="G34" s="5" t="s">
        <v>35</v>
      </c>
      <c r="H34" s="5" t="s">
        <v>11</v>
      </c>
      <c r="I34" s="4">
        <v>3.14</v>
      </c>
      <c r="J34" s="4">
        <v>3</v>
      </c>
      <c r="K34" t="s">
        <v>252</v>
      </c>
      <c r="L34">
        <v>1</v>
      </c>
      <c r="M34" t="str">
        <f>VLOOKUP(H34,eq!$A$3:$T$13,20,)</f>
        <v>0.1932*(X4^2.1569)+0.0192*(X4^2.2475)+0.0305*(X4^2.4044)+0.1119*(X4^1.3973)</v>
      </c>
      <c r="N34" t="str">
        <f t="shared" si="0"/>
        <v>0.1932*(3^2.1569)+0.0192*(3^2.2475)+0.0305*(3^2.4044)+0.1119*(3^1.3973)</v>
      </c>
      <c r="O34" cm="1">
        <f t="array" ref="O34">eval_tr_dbh*1000</f>
        <v>3240.1542906291584</v>
      </c>
      <c r="P34" t="str">
        <f t="shared" si="1"/>
        <v>GM_5_EX_B1</v>
      </c>
    </row>
    <row r="35" spans="1:16" x14ac:dyDescent="0.15">
      <c r="A35" s="5" t="s">
        <v>18</v>
      </c>
      <c r="B35" s="5">
        <v>5</v>
      </c>
      <c r="C35" s="5" t="s">
        <v>23</v>
      </c>
      <c r="D35" s="5" t="s">
        <v>30</v>
      </c>
      <c r="E35" s="8">
        <v>44741</v>
      </c>
      <c r="F35" s="5" t="s">
        <v>5</v>
      </c>
      <c r="G35" s="5" t="s">
        <v>35</v>
      </c>
      <c r="H35" s="5" t="s">
        <v>11</v>
      </c>
      <c r="I35" s="4">
        <v>5</v>
      </c>
      <c r="J35" s="4">
        <v>3</v>
      </c>
      <c r="K35" t="s">
        <v>252</v>
      </c>
      <c r="L35">
        <v>1</v>
      </c>
      <c r="M35" t="str">
        <f>VLOOKUP(H35,eq!$A$3:$T$13,20,)</f>
        <v>0.1932*(X4^2.1569)+0.0192*(X4^2.2475)+0.0305*(X4^2.4044)+0.1119*(X4^1.3973)</v>
      </c>
      <c r="N35" t="str">
        <f t="shared" si="0"/>
        <v>0.1932*(3^2.1569)+0.0192*(3^2.2475)+0.0305*(3^2.4044)+0.1119*(3^1.3973)</v>
      </c>
      <c r="O35" cm="1">
        <f t="array" ref="O35">eval_tr_dbh*1000</f>
        <v>3240.1542906291584</v>
      </c>
      <c r="P35" t="str">
        <f t="shared" si="1"/>
        <v>GM_5_EX_B1</v>
      </c>
    </row>
    <row r="36" spans="1:16" x14ac:dyDescent="0.15">
      <c r="A36" s="5" t="s">
        <v>18</v>
      </c>
      <c r="B36" s="5">
        <v>5</v>
      </c>
      <c r="C36" s="5" t="s">
        <v>23</v>
      </c>
      <c r="D36" s="5" t="s">
        <v>30</v>
      </c>
      <c r="E36" s="8">
        <v>44741</v>
      </c>
      <c r="F36" s="5" t="s">
        <v>5</v>
      </c>
      <c r="G36" s="5" t="s">
        <v>35</v>
      </c>
      <c r="H36" s="5" t="s">
        <v>11</v>
      </c>
      <c r="I36" s="4">
        <v>6</v>
      </c>
      <c r="J36" s="4">
        <v>3.25</v>
      </c>
      <c r="K36" t="s">
        <v>252</v>
      </c>
      <c r="L36">
        <v>1</v>
      </c>
      <c r="M36" t="str">
        <f>VLOOKUP(H36,eq!$A$3:$T$13,20,)</f>
        <v>0.1932*(X4^2.1569)+0.0192*(X4^2.2475)+0.0305*(X4^2.4044)+0.1119*(X4^1.3973)</v>
      </c>
      <c r="N36" t="str">
        <f t="shared" si="0"/>
        <v>0.1932*(3.25^2.1569)+0.0192*(3.25^2.2475)+0.0305*(3.25^2.4044)+0.1119*(3.25^1.3973)</v>
      </c>
      <c r="O36" cm="1">
        <f t="array" ref="O36">eval_tr_dbh*1000</f>
        <v>3826.4655670617776</v>
      </c>
      <c r="P36" t="str">
        <f t="shared" si="1"/>
        <v>GM_5_EX_B1</v>
      </c>
    </row>
    <row r="37" spans="1:16" x14ac:dyDescent="0.15">
      <c r="A37" s="5" t="s">
        <v>18</v>
      </c>
      <c r="B37" s="5">
        <v>5</v>
      </c>
      <c r="C37" s="5" t="s">
        <v>23</v>
      </c>
      <c r="D37" s="5" t="s">
        <v>30</v>
      </c>
      <c r="E37" s="8">
        <v>44741</v>
      </c>
      <c r="F37" s="5" t="s">
        <v>7</v>
      </c>
      <c r="G37" s="5" t="s">
        <v>34</v>
      </c>
      <c r="H37" s="3" t="s">
        <v>10</v>
      </c>
      <c r="I37" s="4">
        <v>5</v>
      </c>
      <c r="J37" s="4">
        <v>4.75</v>
      </c>
      <c r="K37" t="s">
        <v>252</v>
      </c>
      <c r="L37">
        <v>1</v>
      </c>
      <c r="M37" t="str">
        <f>VLOOKUP(H37,eq!$A$3:$T$13,20,)</f>
        <v>0.0534*(X4^2.403)+0.0115*(X4^2.3484)+0.007*(X4^2.5406)+0.084*(X4^1.6695)</v>
      </c>
      <c r="N37" t="str">
        <f t="shared" si="0"/>
        <v>0.0534*(4.75^2.403)+0.0115*(4.75^2.3484)+0.007*(4.75^2.5406)+0.084*(4.75^1.6695)</v>
      </c>
      <c r="O37" cm="1">
        <f t="array" ref="O37">eval_tr_dbh*1000</f>
        <v>4203.2134672808215</v>
      </c>
      <c r="P37" t="str">
        <f t="shared" si="1"/>
        <v>GM_5_EX_B3</v>
      </c>
    </row>
    <row r="38" spans="1:16" x14ac:dyDescent="0.15">
      <c r="A38" s="5" t="s">
        <v>18</v>
      </c>
      <c r="B38" s="5">
        <v>5</v>
      </c>
      <c r="C38" s="5" t="s">
        <v>23</v>
      </c>
      <c r="D38" s="5" t="s">
        <v>30</v>
      </c>
      <c r="E38" s="8">
        <v>44741</v>
      </c>
      <c r="F38" s="5" t="s">
        <v>7</v>
      </c>
      <c r="G38" s="5" t="s">
        <v>34</v>
      </c>
      <c r="H38" s="3" t="s">
        <v>10</v>
      </c>
      <c r="I38" s="4">
        <v>5.5</v>
      </c>
      <c r="J38" s="4">
        <v>5.5</v>
      </c>
      <c r="K38" t="s">
        <v>252</v>
      </c>
      <c r="L38">
        <v>1</v>
      </c>
      <c r="M38" t="str">
        <f>VLOOKUP(H38,eq!$A$3:$T$13,20,)</f>
        <v>0.0534*(X4^2.403)+0.0115*(X4^2.3484)+0.007*(X4^2.5406)+0.084*(X4^1.6695)</v>
      </c>
      <c r="N38" t="str">
        <f t="shared" si="0"/>
        <v>0.0534*(5.5^2.403)+0.0115*(5.5^2.3484)+0.007*(5.5^2.5406)+0.084*(5.5^1.6695)</v>
      </c>
      <c r="O38" cm="1">
        <f t="array" ref="O38">eval_tr_dbh*1000</f>
        <v>5819.6547415251471</v>
      </c>
      <c r="P38" t="str">
        <f t="shared" si="1"/>
        <v>GM_5_EX_B3</v>
      </c>
    </row>
    <row r="39" spans="1:16" x14ac:dyDescent="0.15">
      <c r="A39" s="5" t="s">
        <v>18</v>
      </c>
      <c r="B39" s="5">
        <v>5</v>
      </c>
      <c r="C39" s="5" t="s">
        <v>23</v>
      </c>
      <c r="D39" s="5" t="s">
        <v>30</v>
      </c>
      <c r="E39" s="8">
        <v>44741</v>
      </c>
      <c r="F39" s="5" t="s">
        <v>6</v>
      </c>
      <c r="G39" s="5" t="s">
        <v>36</v>
      </c>
      <c r="H39" s="5" t="s">
        <v>15</v>
      </c>
      <c r="I39" s="4">
        <v>7</v>
      </c>
      <c r="J39" s="4">
        <v>5</v>
      </c>
      <c r="K39" t="s">
        <v>252</v>
      </c>
      <c r="L39">
        <v>1</v>
      </c>
      <c r="M39" t="str">
        <f>VLOOKUP(H39,eq!$A$3:$T$13,20,)</f>
        <v>0.0593*(X4^2.5026)+0.0135*(X4^2.4053)+0.0135*(X4^2.5532)+0.0546*(X4^1.6251)</v>
      </c>
      <c r="N39" t="str">
        <f t="shared" si="0"/>
        <v>0.0593*(5^2.5026)+0.0135*(5^2.4053)+0.0135*(5^2.5532)+0.0546*(5^1.6251)</v>
      </c>
      <c r="O39" cm="1">
        <f t="array" ref="O39">eval_tr_dbh*1000</f>
        <v>5545.5964997282672</v>
      </c>
      <c r="P39" t="str">
        <f t="shared" si="1"/>
        <v>GM_5_EX_B2</v>
      </c>
    </row>
    <row r="40" spans="1:16" x14ac:dyDescent="0.15">
      <c r="A40" s="5" t="s">
        <v>18</v>
      </c>
      <c r="B40" s="5">
        <v>5</v>
      </c>
      <c r="C40" s="5" t="s">
        <v>23</v>
      </c>
      <c r="D40" s="5" t="s">
        <v>30</v>
      </c>
      <c r="E40" s="8">
        <v>44741</v>
      </c>
      <c r="F40" s="5" t="s">
        <v>6</v>
      </c>
      <c r="G40" s="5" t="s">
        <v>36</v>
      </c>
      <c r="H40" s="5" t="s">
        <v>15</v>
      </c>
      <c r="I40" s="4">
        <v>9</v>
      </c>
      <c r="J40" s="4">
        <v>7.5</v>
      </c>
      <c r="K40" t="s">
        <v>252</v>
      </c>
      <c r="L40">
        <v>1</v>
      </c>
      <c r="M40" t="str">
        <f>VLOOKUP(H40,eq!$A$3:$T$13,20,)</f>
        <v>0.0593*(X4^2.5026)+0.0135*(X4^2.4053)+0.0135*(X4^2.5532)+0.0546*(X4^1.6251)</v>
      </c>
      <c r="N40" t="str">
        <f t="shared" si="0"/>
        <v>0.0593*(7.5^2.5026)+0.0135*(7.5^2.4053)+0.0135*(7.5^2.5532)+0.0546*(7.5^1.6251)</v>
      </c>
      <c r="O40" cm="1">
        <f t="array" ref="O40">eval_tr_dbh*1000</f>
        <v>14659.248168184085</v>
      </c>
      <c r="P40" t="str">
        <f t="shared" si="1"/>
        <v>GM_5_EX_B2</v>
      </c>
    </row>
    <row r="41" spans="1:16" x14ac:dyDescent="0.15">
      <c r="A41" s="5" t="s">
        <v>18</v>
      </c>
      <c r="B41" s="5">
        <v>5</v>
      </c>
      <c r="C41" s="5" t="s">
        <v>23</v>
      </c>
      <c r="D41" s="5" t="s">
        <v>30</v>
      </c>
      <c r="E41" s="8">
        <v>44741</v>
      </c>
      <c r="F41" s="5" t="s">
        <v>6</v>
      </c>
      <c r="G41" s="5" t="s">
        <v>36</v>
      </c>
      <c r="H41" s="3" t="s">
        <v>10</v>
      </c>
      <c r="I41" s="4">
        <v>6</v>
      </c>
      <c r="J41" s="4">
        <v>11</v>
      </c>
      <c r="K41" t="s">
        <v>252</v>
      </c>
      <c r="L41">
        <v>1</v>
      </c>
      <c r="M41" t="str">
        <f>VLOOKUP(H41,eq!$A$3:$T$13,20,)</f>
        <v>0.0534*(X4^2.403)+0.0115*(X4^2.3484)+0.007*(X4^2.5406)+0.084*(X4^1.6695)</v>
      </c>
      <c r="N41" t="str">
        <f t="shared" si="0"/>
        <v>0.0534*(11^2.403)+0.0115*(11^2.3484)+0.007*(11^2.5406)+0.084*(11^1.6695)</v>
      </c>
      <c r="O41" cm="1">
        <f t="array" ref="O41">eval_tr_dbh*1000</f>
        <v>27889.025811586031</v>
      </c>
      <c r="P41" t="str">
        <f t="shared" si="1"/>
        <v>GM_5_EX_B2</v>
      </c>
    </row>
    <row r="42" spans="1:16" x14ac:dyDescent="0.15">
      <c r="A42" s="5" t="s">
        <v>18</v>
      </c>
      <c r="B42" s="5">
        <v>5</v>
      </c>
      <c r="C42" s="5" t="s">
        <v>23</v>
      </c>
      <c r="D42" s="5" t="s">
        <v>30</v>
      </c>
      <c r="E42" s="8">
        <v>44741</v>
      </c>
      <c r="F42" s="5" t="s">
        <v>7</v>
      </c>
      <c r="G42" s="5" t="s">
        <v>34</v>
      </c>
      <c r="H42" s="3" t="s">
        <v>10</v>
      </c>
      <c r="I42" s="4">
        <v>10</v>
      </c>
      <c r="J42" s="4">
        <v>13</v>
      </c>
      <c r="K42" t="s">
        <v>252</v>
      </c>
      <c r="L42">
        <v>1</v>
      </c>
      <c r="M42" t="str">
        <f>VLOOKUP(H42,eq!$A$3:$T$13,20,)</f>
        <v>0.0534*(X4^2.403)+0.0115*(X4^2.3484)+0.007*(X4^2.5406)+0.084*(X4^1.6695)</v>
      </c>
      <c r="N42" t="str">
        <f t="shared" si="0"/>
        <v>0.0534*(13^2.403)+0.0115*(13^2.3484)+0.007*(13^2.5406)+0.084*(13^1.6695)</v>
      </c>
      <c r="O42" cm="1">
        <f t="array" ref="O42">eval_tr_dbh*1000</f>
        <v>40936.394779230584</v>
      </c>
      <c r="P42" t="str">
        <f t="shared" si="1"/>
        <v>GM_5_EX_B3</v>
      </c>
    </row>
    <row r="43" spans="1:16" x14ac:dyDescent="0.15">
      <c r="A43" s="5" t="s">
        <v>18</v>
      </c>
      <c r="B43" s="6">
        <v>6</v>
      </c>
      <c r="C43" s="6" t="s">
        <v>21</v>
      </c>
      <c r="D43" s="5" t="s">
        <v>30</v>
      </c>
      <c r="E43" s="8">
        <v>44740</v>
      </c>
      <c r="F43" s="6" t="s">
        <v>9</v>
      </c>
      <c r="G43" s="6" t="s">
        <v>37</v>
      </c>
      <c r="H43" s="6" t="s">
        <v>15</v>
      </c>
      <c r="I43" s="2">
        <v>12.2</v>
      </c>
      <c r="J43" s="2">
        <v>21.75</v>
      </c>
      <c r="K43" t="s">
        <v>148</v>
      </c>
      <c r="L43">
        <v>1</v>
      </c>
      <c r="M43" t="str">
        <f>VLOOKUP(H43,eq!$A$3:$T$13,20,)</f>
        <v>0.0593*(X4^2.5026)+0.0135*(X4^2.4053)+0.0135*(X4^2.5532)+0.0546*(X4^1.6251)</v>
      </c>
      <c r="N43" t="str">
        <f t="shared" si="0"/>
        <v>0.0593*(21.75^2.5026)+0.0135*(21.75^2.4053)+0.0135*(21.75^2.5532)+0.0546*(21.75^1.6251)</v>
      </c>
      <c r="O43" cm="1">
        <f t="array" ref="O43">eval_tr_dbh*1000</f>
        <v>197357.56039671315</v>
      </c>
      <c r="P43" t="str">
        <f t="shared" si="1"/>
        <v>GM_6_NA_B4</v>
      </c>
    </row>
    <row r="44" spans="1:16" x14ac:dyDescent="0.15">
      <c r="A44" s="5" t="s">
        <v>18</v>
      </c>
      <c r="B44" s="6">
        <v>6</v>
      </c>
      <c r="C44" s="6" t="s">
        <v>21</v>
      </c>
      <c r="D44" s="5" t="s">
        <v>30</v>
      </c>
      <c r="E44" s="8">
        <v>44740</v>
      </c>
      <c r="F44" s="6" t="s">
        <v>5</v>
      </c>
      <c r="G44" s="6" t="s">
        <v>35</v>
      </c>
      <c r="H44" s="6" t="s">
        <v>21</v>
      </c>
      <c r="I44" s="2" t="s">
        <v>21</v>
      </c>
      <c r="J44" s="2" t="s">
        <v>21</v>
      </c>
      <c r="K44" t="s">
        <v>148</v>
      </c>
      <c r="L44">
        <v>1</v>
      </c>
      <c r="M44" t="e">
        <f>VLOOKUP(H44,eq!$A$3:$T$13,20,)</f>
        <v>#N/A</v>
      </c>
      <c r="N44" t="e">
        <f t="shared" si="0"/>
        <v>#N/A</v>
      </c>
      <c r="O44" t="e" cm="1">
        <f t="array" ref="O44">eval_tr_dbh*1000</f>
        <v>#N/A</v>
      </c>
      <c r="P44" t="str">
        <f t="shared" si="1"/>
        <v>GM_6_NA_B1</v>
      </c>
    </row>
    <row r="45" spans="1:16" x14ac:dyDescent="0.15">
      <c r="A45" s="5" t="s">
        <v>18</v>
      </c>
      <c r="B45" s="6">
        <v>6</v>
      </c>
      <c r="C45" s="6" t="s">
        <v>21</v>
      </c>
      <c r="D45" s="5" t="s">
        <v>30</v>
      </c>
      <c r="E45" s="8">
        <v>44740</v>
      </c>
      <c r="F45" s="6" t="s">
        <v>6</v>
      </c>
      <c r="G45" s="6" t="s">
        <v>36</v>
      </c>
      <c r="H45" s="6" t="s">
        <v>21</v>
      </c>
      <c r="I45" s="2" t="s">
        <v>21</v>
      </c>
      <c r="J45" s="2" t="s">
        <v>21</v>
      </c>
      <c r="K45" t="s">
        <v>148</v>
      </c>
      <c r="L45">
        <v>1</v>
      </c>
      <c r="M45" t="e">
        <f>VLOOKUP(H45,eq!$A$3:$T$13,20,)</f>
        <v>#N/A</v>
      </c>
      <c r="N45" t="e">
        <f t="shared" si="0"/>
        <v>#N/A</v>
      </c>
      <c r="O45" t="e" cm="1">
        <f t="array" ref="O45">eval_tr_dbh*1000</f>
        <v>#N/A</v>
      </c>
      <c r="P45" t="str">
        <f t="shared" si="1"/>
        <v>GM_6_NA_B2</v>
      </c>
    </row>
    <row r="46" spans="1:16" x14ac:dyDescent="0.15">
      <c r="A46" s="5" t="s">
        <v>18</v>
      </c>
      <c r="B46" s="6">
        <v>6</v>
      </c>
      <c r="C46" s="6" t="s">
        <v>21</v>
      </c>
      <c r="D46" s="5" t="s">
        <v>30</v>
      </c>
      <c r="E46" s="8">
        <v>44740</v>
      </c>
      <c r="F46" s="6" t="s">
        <v>7</v>
      </c>
      <c r="G46" s="6" t="s">
        <v>34</v>
      </c>
      <c r="H46" s="6" t="s">
        <v>21</v>
      </c>
      <c r="I46" s="2" t="s">
        <v>21</v>
      </c>
      <c r="J46" s="2" t="s">
        <v>21</v>
      </c>
      <c r="K46" t="s">
        <v>148</v>
      </c>
      <c r="L46">
        <v>1</v>
      </c>
      <c r="M46" t="e">
        <f>VLOOKUP(H46,eq!$A$3:$T$13,20,)</f>
        <v>#N/A</v>
      </c>
      <c r="N46" t="e">
        <f t="shared" si="0"/>
        <v>#N/A</v>
      </c>
      <c r="O46" t="e" cm="1">
        <f t="array" ref="O46">eval_tr_dbh*1000</f>
        <v>#N/A</v>
      </c>
      <c r="P46" t="str">
        <f t="shared" si="1"/>
        <v>GM_6_NA_B3</v>
      </c>
    </row>
    <row r="47" spans="1:16" x14ac:dyDescent="0.15">
      <c r="A47" s="5" t="s">
        <v>18</v>
      </c>
      <c r="B47" s="5">
        <v>7</v>
      </c>
      <c r="C47" s="6" t="s">
        <v>21</v>
      </c>
      <c r="D47" s="5" t="s">
        <v>30</v>
      </c>
      <c r="E47" s="8">
        <v>44742</v>
      </c>
      <c r="F47" s="5" t="s">
        <v>5</v>
      </c>
      <c r="G47" s="5" t="s">
        <v>35</v>
      </c>
      <c r="H47" s="5" t="s">
        <v>21</v>
      </c>
      <c r="I47" s="4" t="s">
        <v>21</v>
      </c>
      <c r="J47" s="4" t="s">
        <v>21</v>
      </c>
      <c r="K47" t="s">
        <v>149</v>
      </c>
      <c r="L47">
        <v>1</v>
      </c>
      <c r="M47" t="e">
        <f>VLOOKUP(H47,eq!$A$3:$T$13,20,)</f>
        <v>#N/A</v>
      </c>
      <c r="N47" t="e">
        <f t="shared" si="0"/>
        <v>#N/A</v>
      </c>
      <c r="O47" t="e" cm="1">
        <f t="array" ref="O47">eval_tr_dbh*1000</f>
        <v>#N/A</v>
      </c>
      <c r="P47" t="str">
        <f t="shared" si="1"/>
        <v>GM_7_NA_B1</v>
      </c>
    </row>
    <row r="48" spans="1:16" x14ac:dyDescent="0.15">
      <c r="A48" s="5" t="s">
        <v>18</v>
      </c>
      <c r="B48" s="5">
        <v>7</v>
      </c>
      <c r="C48" s="6" t="s">
        <v>21</v>
      </c>
      <c r="D48" s="5" t="s">
        <v>30</v>
      </c>
      <c r="E48" s="8">
        <v>44742</v>
      </c>
      <c r="F48" s="5" t="s">
        <v>6</v>
      </c>
      <c r="G48" s="5" t="s">
        <v>36</v>
      </c>
      <c r="H48" s="5" t="s">
        <v>21</v>
      </c>
      <c r="I48" s="4" t="s">
        <v>21</v>
      </c>
      <c r="J48" s="4" t="s">
        <v>21</v>
      </c>
      <c r="K48" t="s">
        <v>149</v>
      </c>
      <c r="L48">
        <v>1</v>
      </c>
      <c r="M48" t="e">
        <f>VLOOKUP(H48,eq!$A$3:$T$13,20,)</f>
        <v>#N/A</v>
      </c>
      <c r="N48" t="e">
        <f t="shared" si="0"/>
        <v>#N/A</v>
      </c>
      <c r="O48" t="e" cm="1">
        <f t="array" ref="O48">eval_tr_dbh*1000</f>
        <v>#N/A</v>
      </c>
      <c r="P48" t="str">
        <f t="shared" si="1"/>
        <v>GM_7_NA_B2</v>
      </c>
    </row>
    <row r="49" spans="1:16" x14ac:dyDescent="0.15">
      <c r="A49" s="5" t="s">
        <v>18</v>
      </c>
      <c r="B49" s="5">
        <v>7</v>
      </c>
      <c r="C49" s="6" t="s">
        <v>21</v>
      </c>
      <c r="D49" s="5" t="s">
        <v>30</v>
      </c>
      <c r="E49" s="8">
        <v>44742</v>
      </c>
      <c r="F49" s="5" t="s">
        <v>7</v>
      </c>
      <c r="G49" s="5" t="s">
        <v>34</v>
      </c>
      <c r="H49" s="5" t="s">
        <v>21</v>
      </c>
      <c r="I49" s="4" t="s">
        <v>21</v>
      </c>
      <c r="J49" s="4" t="s">
        <v>21</v>
      </c>
      <c r="K49" t="s">
        <v>149</v>
      </c>
      <c r="L49">
        <v>1</v>
      </c>
      <c r="M49" t="e">
        <f>VLOOKUP(H49,eq!$A$3:$T$13,20,)</f>
        <v>#N/A</v>
      </c>
      <c r="N49" t="e">
        <f t="shared" si="0"/>
        <v>#N/A</v>
      </c>
      <c r="O49" t="e" cm="1">
        <f t="array" ref="O49">eval_tr_dbh*1000</f>
        <v>#N/A</v>
      </c>
      <c r="P49" t="str">
        <f t="shared" si="1"/>
        <v>GM_7_NA_B3</v>
      </c>
    </row>
    <row r="50" spans="1:16" x14ac:dyDescent="0.15">
      <c r="A50" s="5" t="s">
        <v>18</v>
      </c>
      <c r="B50" s="5">
        <v>7</v>
      </c>
      <c r="C50" s="6" t="s">
        <v>21</v>
      </c>
      <c r="D50" s="5" t="s">
        <v>30</v>
      </c>
      <c r="E50" s="8">
        <v>44742</v>
      </c>
      <c r="F50" s="5" t="s">
        <v>9</v>
      </c>
      <c r="G50" s="5" t="s">
        <v>37</v>
      </c>
      <c r="H50" s="5" t="s">
        <v>21</v>
      </c>
      <c r="I50" s="4" t="s">
        <v>21</v>
      </c>
      <c r="J50" s="4" t="s">
        <v>21</v>
      </c>
      <c r="K50" t="s">
        <v>149</v>
      </c>
      <c r="L50">
        <v>1</v>
      </c>
      <c r="M50" t="e">
        <f>VLOOKUP(H50,eq!$A$3:$T$13,20,)</f>
        <v>#N/A</v>
      </c>
      <c r="N50" t="e">
        <f t="shared" si="0"/>
        <v>#N/A</v>
      </c>
      <c r="O50" t="e" cm="1">
        <f t="array" ref="O50">eval_tr_dbh*1000</f>
        <v>#N/A</v>
      </c>
      <c r="P50" t="str">
        <f t="shared" si="1"/>
        <v>GM_7_NA_B4</v>
      </c>
    </row>
    <row r="51" spans="1:16" x14ac:dyDescent="0.15">
      <c r="A51" s="5" t="s">
        <v>18</v>
      </c>
      <c r="B51" s="5">
        <v>8</v>
      </c>
      <c r="C51" s="6" t="s">
        <v>21</v>
      </c>
      <c r="D51" s="5" t="s">
        <v>30</v>
      </c>
      <c r="E51" s="8">
        <v>44756</v>
      </c>
      <c r="F51" s="5" t="s">
        <v>6</v>
      </c>
      <c r="G51" s="5" t="s">
        <v>36</v>
      </c>
      <c r="H51" s="3" t="s">
        <v>8</v>
      </c>
      <c r="I51" s="4">
        <v>7</v>
      </c>
      <c r="J51" s="4">
        <v>16</v>
      </c>
      <c r="K51" t="s">
        <v>152</v>
      </c>
      <c r="L51">
        <v>1</v>
      </c>
      <c r="M51" t="str">
        <f>VLOOKUP(H51,eq!$A$3:$T$13,20,)</f>
        <v>0.0477*(X4^2.5147)+0.0153*(X4^2.2429)+0.0278*(X4^2.0839)+0.1648*(X4^1.4143)</v>
      </c>
      <c r="N51" t="str">
        <f t="shared" si="0"/>
        <v>0.0477*(16^2.5147)+0.0153*(16^2.2429)+0.0278*(16^2.0839)+0.1648*(16^1.4143)</v>
      </c>
      <c r="O51" cm="1">
        <f t="array" ref="O51">eval_tr_dbh*1000</f>
        <v>75854.868550937084</v>
      </c>
      <c r="P51" t="str">
        <f t="shared" si="1"/>
        <v>GM_8_NA_B2</v>
      </c>
    </row>
    <row r="52" spans="1:16" x14ac:dyDescent="0.15">
      <c r="A52" s="5" t="s">
        <v>18</v>
      </c>
      <c r="B52" s="5">
        <v>8</v>
      </c>
      <c r="C52" s="6" t="s">
        <v>21</v>
      </c>
      <c r="D52" s="5" t="s">
        <v>30</v>
      </c>
      <c r="E52" s="8">
        <v>44756</v>
      </c>
      <c r="F52" s="5" t="s">
        <v>5</v>
      </c>
      <c r="G52" s="5" t="s">
        <v>35</v>
      </c>
      <c r="H52" s="5" t="s">
        <v>21</v>
      </c>
      <c r="I52" s="4" t="s">
        <v>21</v>
      </c>
      <c r="J52" s="4" t="s">
        <v>21</v>
      </c>
      <c r="K52" t="s">
        <v>152</v>
      </c>
      <c r="L52">
        <v>1</v>
      </c>
      <c r="M52" t="e">
        <f>VLOOKUP(H52,eq!$A$3:$T$13,20,)</f>
        <v>#N/A</v>
      </c>
      <c r="N52" t="e">
        <f t="shared" si="0"/>
        <v>#N/A</v>
      </c>
      <c r="O52" t="e" cm="1">
        <f t="array" ref="O52">eval_tr_dbh*1000</f>
        <v>#N/A</v>
      </c>
      <c r="P52" t="str">
        <f t="shared" si="1"/>
        <v>GM_8_NA_B1</v>
      </c>
    </row>
    <row r="53" spans="1:16" x14ac:dyDescent="0.15">
      <c r="A53" s="5" t="s">
        <v>18</v>
      </c>
      <c r="B53" s="5">
        <v>8</v>
      </c>
      <c r="C53" s="6" t="s">
        <v>21</v>
      </c>
      <c r="D53" s="5" t="s">
        <v>30</v>
      </c>
      <c r="E53" s="8">
        <v>44756</v>
      </c>
      <c r="F53" s="5" t="s">
        <v>7</v>
      </c>
      <c r="G53" s="5" t="s">
        <v>34</v>
      </c>
      <c r="H53" s="5" t="s">
        <v>21</v>
      </c>
      <c r="I53" s="4" t="s">
        <v>21</v>
      </c>
      <c r="J53" s="4" t="s">
        <v>21</v>
      </c>
      <c r="K53" t="s">
        <v>152</v>
      </c>
      <c r="L53">
        <v>1</v>
      </c>
      <c r="M53" t="e">
        <f>VLOOKUP(H53,eq!$A$3:$T$13,20,)</f>
        <v>#N/A</v>
      </c>
      <c r="N53" t="e">
        <f t="shared" si="0"/>
        <v>#N/A</v>
      </c>
      <c r="O53" t="e" cm="1">
        <f t="array" ref="O53">eval_tr_dbh*1000</f>
        <v>#N/A</v>
      </c>
      <c r="P53" t="str">
        <f t="shared" si="1"/>
        <v>GM_8_NA_B3</v>
      </c>
    </row>
    <row r="54" spans="1:16" x14ac:dyDescent="0.15">
      <c r="A54" s="5" t="s">
        <v>18</v>
      </c>
      <c r="B54" s="5">
        <v>8</v>
      </c>
      <c r="C54" s="6" t="s">
        <v>21</v>
      </c>
      <c r="D54" s="5" t="s">
        <v>30</v>
      </c>
      <c r="E54" s="8">
        <v>44756</v>
      </c>
      <c r="F54" s="5" t="s">
        <v>9</v>
      </c>
      <c r="G54" s="5" t="s">
        <v>37</v>
      </c>
      <c r="H54" s="5" t="s">
        <v>21</v>
      </c>
      <c r="I54" s="4" t="s">
        <v>21</v>
      </c>
      <c r="J54" s="4" t="s">
        <v>21</v>
      </c>
      <c r="K54" t="s">
        <v>152</v>
      </c>
      <c r="L54">
        <v>1</v>
      </c>
      <c r="M54" t="e">
        <f>VLOOKUP(H54,eq!$A$3:$T$13,20,)</f>
        <v>#N/A</v>
      </c>
      <c r="N54" t="e">
        <f t="shared" si="0"/>
        <v>#N/A</v>
      </c>
      <c r="O54" t="e" cm="1">
        <f t="array" ref="O54">eval_tr_dbh*1000</f>
        <v>#N/A</v>
      </c>
      <c r="P54" t="str">
        <f t="shared" si="1"/>
        <v>GM_8_NA_B4</v>
      </c>
    </row>
    <row r="55" spans="1:16" x14ac:dyDescent="0.15">
      <c r="A55" s="5" t="s">
        <v>18</v>
      </c>
      <c r="B55" s="5">
        <v>9</v>
      </c>
      <c r="C55" s="6" t="s">
        <v>21</v>
      </c>
      <c r="D55" s="5" t="s">
        <v>30</v>
      </c>
      <c r="E55" s="8">
        <v>44756</v>
      </c>
      <c r="F55" s="5" t="s">
        <v>5</v>
      </c>
      <c r="G55" s="5" t="s">
        <v>35</v>
      </c>
      <c r="H55" s="5" t="s">
        <v>21</v>
      </c>
      <c r="I55" s="4" t="s">
        <v>21</v>
      </c>
      <c r="J55" s="4" t="s">
        <v>21</v>
      </c>
      <c r="K55" t="s">
        <v>165</v>
      </c>
      <c r="L55">
        <v>2</v>
      </c>
      <c r="M55" t="e">
        <f>VLOOKUP(H55,eq!$A$3:$T$13,20,)</f>
        <v>#N/A</v>
      </c>
      <c r="N55" t="e">
        <f t="shared" si="0"/>
        <v>#N/A</v>
      </c>
      <c r="O55" t="e" cm="1">
        <f t="array" ref="O55">eval_tr_dbh*1000</f>
        <v>#N/A</v>
      </c>
      <c r="P55" t="str">
        <f t="shared" si="1"/>
        <v>GM_9_NA_B1</v>
      </c>
    </row>
    <row r="56" spans="1:16" x14ac:dyDescent="0.15">
      <c r="A56" s="5" t="s">
        <v>18</v>
      </c>
      <c r="B56" s="5">
        <v>9</v>
      </c>
      <c r="C56" s="6" t="s">
        <v>21</v>
      </c>
      <c r="D56" s="5" t="s">
        <v>30</v>
      </c>
      <c r="E56" s="8">
        <v>44756</v>
      </c>
      <c r="F56" s="5" t="s">
        <v>6</v>
      </c>
      <c r="G56" s="5" t="s">
        <v>36</v>
      </c>
      <c r="H56" s="5" t="s">
        <v>21</v>
      </c>
      <c r="I56" s="4" t="s">
        <v>21</v>
      </c>
      <c r="J56" s="4" t="s">
        <v>21</v>
      </c>
      <c r="K56" t="s">
        <v>165</v>
      </c>
      <c r="L56">
        <v>2</v>
      </c>
      <c r="M56" t="e">
        <f>VLOOKUP(H56,eq!$A$3:$T$13,20,)</f>
        <v>#N/A</v>
      </c>
      <c r="N56" t="e">
        <f t="shared" si="0"/>
        <v>#N/A</v>
      </c>
      <c r="O56" t="e" cm="1">
        <f t="array" ref="O56">eval_tr_dbh*1000</f>
        <v>#N/A</v>
      </c>
      <c r="P56" t="str">
        <f t="shared" si="1"/>
        <v>GM_9_NA_B2</v>
      </c>
    </row>
    <row r="57" spans="1:16" x14ac:dyDescent="0.15">
      <c r="A57" s="5" t="s">
        <v>18</v>
      </c>
      <c r="B57" s="5">
        <v>9</v>
      </c>
      <c r="C57" s="6" t="s">
        <v>21</v>
      </c>
      <c r="D57" s="5" t="s">
        <v>30</v>
      </c>
      <c r="E57" s="8">
        <v>44756</v>
      </c>
      <c r="F57" s="5" t="s">
        <v>7</v>
      </c>
      <c r="G57" s="5" t="s">
        <v>34</v>
      </c>
      <c r="H57" s="5" t="s">
        <v>21</v>
      </c>
      <c r="I57" s="4" t="s">
        <v>21</v>
      </c>
      <c r="J57" s="4" t="s">
        <v>21</v>
      </c>
      <c r="K57" t="s">
        <v>165</v>
      </c>
      <c r="L57">
        <v>2</v>
      </c>
      <c r="M57" t="e">
        <f>VLOOKUP(H57,eq!$A$3:$T$13,20,)</f>
        <v>#N/A</v>
      </c>
      <c r="N57" t="e">
        <f t="shared" si="0"/>
        <v>#N/A</v>
      </c>
      <c r="O57" t="e" cm="1">
        <f t="array" ref="O57">eval_tr_dbh*1000</f>
        <v>#N/A</v>
      </c>
      <c r="P57" t="str">
        <f t="shared" si="1"/>
        <v>GM_9_NA_B3</v>
      </c>
    </row>
    <row r="58" spans="1:16" x14ac:dyDescent="0.15">
      <c r="A58" s="5" t="s">
        <v>18</v>
      </c>
      <c r="B58" s="5">
        <v>9</v>
      </c>
      <c r="C58" s="6" t="s">
        <v>21</v>
      </c>
      <c r="D58" s="5" t="s">
        <v>30</v>
      </c>
      <c r="E58" s="8">
        <v>44756</v>
      </c>
      <c r="F58" s="5" t="s">
        <v>9</v>
      </c>
      <c r="G58" s="5" t="s">
        <v>37</v>
      </c>
      <c r="H58" s="5" t="s">
        <v>21</v>
      </c>
      <c r="I58" s="4" t="s">
        <v>21</v>
      </c>
      <c r="J58" s="4" t="s">
        <v>21</v>
      </c>
      <c r="K58" t="s">
        <v>165</v>
      </c>
      <c r="L58">
        <v>2</v>
      </c>
      <c r="M58" t="e">
        <f>VLOOKUP(H58,eq!$A$3:$T$13,20,)</f>
        <v>#N/A</v>
      </c>
      <c r="N58" t="e">
        <f t="shared" si="0"/>
        <v>#N/A</v>
      </c>
      <c r="O58" t="e" cm="1">
        <f t="array" ref="O58">eval_tr_dbh*1000</f>
        <v>#N/A</v>
      </c>
      <c r="P58" t="str">
        <f t="shared" si="1"/>
        <v>GM_9_NA_B4</v>
      </c>
    </row>
    <row r="59" spans="1:16" x14ac:dyDescent="0.15">
      <c r="A59" s="5" t="s">
        <v>18</v>
      </c>
      <c r="B59" s="5">
        <v>10</v>
      </c>
      <c r="C59" s="6" t="s">
        <v>21</v>
      </c>
      <c r="D59" s="5" t="s">
        <v>30</v>
      </c>
      <c r="E59" s="8">
        <v>44756</v>
      </c>
      <c r="F59" s="5" t="s">
        <v>5</v>
      </c>
      <c r="G59" s="5" t="s">
        <v>35</v>
      </c>
      <c r="H59" s="5" t="s">
        <v>21</v>
      </c>
      <c r="I59" s="4" t="s">
        <v>21</v>
      </c>
      <c r="J59" s="4" t="s">
        <v>21</v>
      </c>
      <c r="K59" t="s">
        <v>166</v>
      </c>
      <c r="L59">
        <v>2</v>
      </c>
      <c r="M59" t="e">
        <f>VLOOKUP(H59,eq!$A$3:$T$13,20,)</f>
        <v>#N/A</v>
      </c>
      <c r="N59" t="e">
        <f t="shared" si="0"/>
        <v>#N/A</v>
      </c>
      <c r="O59" t="e" cm="1">
        <f t="array" ref="O59">eval_tr_dbh*1000</f>
        <v>#N/A</v>
      </c>
      <c r="P59" t="str">
        <f t="shared" si="1"/>
        <v>GM_10_NA_B1</v>
      </c>
    </row>
    <row r="60" spans="1:16" x14ac:dyDescent="0.15">
      <c r="A60" s="5" t="s">
        <v>18</v>
      </c>
      <c r="B60" s="5">
        <v>10</v>
      </c>
      <c r="C60" s="6" t="s">
        <v>21</v>
      </c>
      <c r="D60" s="5" t="s">
        <v>30</v>
      </c>
      <c r="E60" s="8">
        <v>44756</v>
      </c>
      <c r="F60" s="5" t="s">
        <v>6</v>
      </c>
      <c r="G60" s="5" t="s">
        <v>36</v>
      </c>
      <c r="H60" s="5" t="s">
        <v>21</v>
      </c>
      <c r="I60" s="4" t="s">
        <v>21</v>
      </c>
      <c r="J60" s="4" t="s">
        <v>21</v>
      </c>
      <c r="K60" t="s">
        <v>166</v>
      </c>
      <c r="L60">
        <v>2</v>
      </c>
      <c r="M60" t="e">
        <f>VLOOKUP(H60,eq!$A$3:$T$13,20,)</f>
        <v>#N/A</v>
      </c>
      <c r="N60" t="e">
        <f t="shared" si="0"/>
        <v>#N/A</v>
      </c>
      <c r="O60" t="e" cm="1">
        <f t="array" ref="O60">eval_tr_dbh*1000</f>
        <v>#N/A</v>
      </c>
      <c r="P60" t="str">
        <f t="shared" si="1"/>
        <v>GM_10_NA_B2</v>
      </c>
    </row>
    <row r="61" spans="1:16" x14ac:dyDescent="0.15">
      <c r="A61" s="5" t="s">
        <v>18</v>
      </c>
      <c r="B61" s="5">
        <v>10</v>
      </c>
      <c r="C61" s="6" t="s">
        <v>21</v>
      </c>
      <c r="D61" s="5" t="s">
        <v>30</v>
      </c>
      <c r="E61" s="8">
        <v>44756</v>
      </c>
      <c r="F61" s="5" t="s">
        <v>7</v>
      </c>
      <c r="G61" s="5" t="s">
        <v>34</v>
      </c>
      <c r="H61" s="5" t="s">
        <v>21</v>
      </c>
      <c r="I61" s="4" t="s">
        <v>21</v>
      </c>
      <c r="J61" s="4" t="s">
        <v>21</v>
      </c>
      <c r="K61" t="s">
        <v>166</v>
      </c>
      <c r="L61">
        <v>2</v>
      </c>
      <c r="M61" t="e">
        <f>VLOOKUP(H61,eq!$A$3:$T$13,20,)</f>
        <v>#N/A</v>
      </c>
      <c r="N61" t="e">
        <f t="shared" si="0"/>
        <v>#N/A</v>
      </c>
      <c r="O61" t="e" cm="1">
        <f t="array" ref="O61">eval_tr_dbh*1000</f>
        <v>#N/A</v>
      </c>
      <c r="P61" t="str">
        <f t="shared" si="1"/>
        <v>GM_10_NA_B3</v>
      </c>
    </row>
    <row r="62" spans="1:16" x14ac:dyDescent="0.15">
      <c r="A62" s="5" t="s">
        <v>18</v>
      </c>
      <c r="B62" s="5">
        <v>10</v>
      </c>
      <c r="C62" s="6" t="s">
        <v>21</v>
      </c>
      <c r="D62" s="5" t="s">
        <v>30</v>
      </c>
      <c r="E62" s="8">
        <v>44756</v>
      </c>
      <c r="F62" s="5" t="s">
        <v>9</v>
      </c>
      <c r="G62" s="5" t="s">
        <v>37</v>
      </c>
      <c r="H62" s="5" t="s">
        <v>21</v>
      </c>
      <c r="I62" s="4" t="s">
        <v>21</v>
      </c>
      <c r="J62" s="4" t="s">
        <v>21</v>
      </c>
      <c r="K62" t="s">
        <v>166</v>
      </c>
      <c r="L62">
        <v>2</v>
      </c>
      <c r="M62" t="e">
        <f>VLOOKUP(H62,eq!$A$3:$T$13,20,)</f>
        <v>#N/A</v>
      </c>
      <c r="N62" t="e">
        <f t="shared" si="0"/>
        <v>#N/A</v>
      </c>
      <c r="O62" t="e" cm="1">
        <f t="array" ref="O62">eval_tr_dbh*1000</f>
        <v>#N/A</v>
      </c>
      <c r="P62" t="str">
        <f t="shared" si="1"/>
        <v>GM_10_NA_B4</v>
      </c>
    </row>
    <row r="63" spans="1:16" x14ac:dyDescent="0.15">
      <c r="A63" s="5" t="s">
        <v>18</v>
      </c>
      <c r="B63" s="5">
        <v>11</v>
      </c>
      <c r="C63" s="6" t="s">
        <v>21</v>
      </c>
      <c r="D63" s="5" t="s">
        <v>30</v>
      </c>
      <c r="E63" s="8">
        <v>44741</v>
      </c>
      <c r="F63" s="5" t="s">
        <v>9</v>
      </c>
      <c r="G63" s="5" t="s">
        <v>37</v>
      </c>
      <c r="H63" s="3" t="s">
        <v>10</v>
      </c>
      <c r="I63" s="4">
        <v>3</v>
      </c>
      <c r="J63" s="4">
        <v>10.5</v>
      </c>
      <c r="K63" t="s">
        <v>161</v>
      </c>
      <c r="L63">
        <v>2</v>
      </c>
      <c r="M63" t="str">
        <f>VLOOKUP(H63,eq!$A$3:$T$13,20,)</f>
        <v>0.0534*(X4^2.403)+0.0115*(X4^2.3484)+0.007*(X4^2.5406)+0.084*(X4^1.6695)</v>
      </c>
      <c r="N63" t="str">
        <f t="shared" si="0"/>
        <v>0.0534*(10.5^2.403)+0.0115*(10.5^2.3484)+0.007*(10.5^2.5406)+0.084*(10.5^1.6695)</v>
      </c>
      <c r="O63" cm="1">
        <f t="array" ref="O63">eval_tr_dbh*1000</f>
        <v>25071.774854189476</v>
      </c>
      <c r="P63" t="str">
        <f t="shared" si="1"/>
        <v>GM_11_NA_B4</v>
      </c>
    </row>
    <row r="64" spans="1:16" x14ac:dyDescent="0.15">
      <c r="A64" s="5" t="s">
        <v>18</v>
      </c>
      <c r="B64" s="5">
        <v>11</v>
      </c>
      <c r="C64" s="6" t="s">
        <v>21</v>
      </c>
      <c r="D64" s="5" t="s">
        <v>30</v>
      </c>
      <c r="E64" s="8">
        <v>44741</v>
      </c>
      <c r="F64" s="5" t="s">
        <v>5</v>
      </c>
      <c r="G64" s="5" t="s">
        <v>35</v>
      </c>
      <c r="H64" s="5" t="s">
        <v>21</v>
      </c>
      <c r="I64" s="4" t="s">
        <v>21</v>
      </c>
      <c r="J64" s="4" t="s">
        <v>21</v>
      </c>
      <c r="K64" t="s">
        <v>161</v>
      </c>
      <c r="L64">
        <v>2</v>
      </c>
      <c r="M64" t="e">
        <f>VLOOKUP(H64,eq!$A$3:$T$13,20,)</f>
        <v>#N/A</v>
      </c>
      <c r="N64" t="e">
        <f t="shared" si="0"/>
        <v>#N/A</v>
      </c>
      <c r="O64" t="e" cm="1">
        <f t="array" ref="O64">eval_tr_dbh*1000</f>
        <v>#N/A</v>
      </c>
      <c r="P64" t="str">
        <f t="shared" si="1"/>
        <v>GM_11_NA_B1</v>
      </c>
    </row>
    <row r="65" spans="1:16" x14ac:dyDescent="0.15">
      <c r="A65" s="5" t="s">
        <v>18</v>
      </c>
      <c r="B65" s="5">
        <v>11</v>
      </c>
      <c r="C65" s="6" t="s">
        <v>21</v>
      </c>
      <c r="D65" s="5" t="s">
        <v>30</v>
      </c>
      <c r="E65" s="8">
        <v>44741</v>
      </c>
      <c r="F65" s="5" t="s">
        <v>6</v>
      </c>
      <c r="G65" s="5" t="s">
        <v>36</v>
      </c>
      <c r="H65" s="5" t="s">
        <v>21</v>
      </c>
      <c r="I65" s="4" t="s">
        <v>21</v>
      </c>
      <c r="J65" s="4" t="s">
        <v>21</v>
      </c>
      <c r="K65" t="s">
        <v>161</v>
      </c>
      <c r="L65">
        <v>2</v>
      </c>
      <c r="M65" t="e">
        <f>VLOOKUP(H65,eq!$A$3:$T$13,20,)</f>
        <v>#N/A</v>
      </c>
      <c r="N65" t="e">
        <f t="shared" si="0"/>
        <v>#N/A</v>
      </c>
      <c r="O65" t="e" cm="1">
        <f t="array" ref="O65">eval_tr_dbh*1000</f>
        <v>#N/A</v>
      </c>
      <c r="P65" t="str">
        <f t="shared" si="1"/>
        <v>GM_11_NA_B2</v>
      </c>
    </row>
    <row r="66" spans="1:16" x14ac:dyDescent="0.15">
      <c r="A66" s="5" t="s">
        <v>18</v>
      </c>
      <c r="B66" s="5">
        <v>11</v>
      </c>
      <c r="C66" s="6" t="s">
        <v>21</v>
      </c>
      <c r="D66" s="5" t="s">
        <v>30</v>
      </c>
      <c r="E66" s="7">
        <v>44741</v>
      </c>
      <c r="F66" s="5" t="s">
        <v>7</v>
      </c>
      <c r="G66" s="5" t="s">
        <v>34</v>
      </c>
      <c r="H66" s="5" t="s">
        <v>21</v>
      </c>
      <c r="I66" s="4" t="s">
        <v>21</v>
      </c>
      <c r="J66" s="4" t="s">
        <v>21</v>
      </c>
      <c r="K66" t="s">
        <v>161</v>
      </c>
      <c r="L66">
        <v>2</v>
      </c>
      <c r="M66" t="e">
        <f>VLOOKUP(H66,eq!$A$3:$T$13,20,)</f>
        <v>#N/A</v>
      </c>
      <c r="N66" t="e">
        <f t="shared" ref="N66:N129" si="2">SUBSTITUTE(M66, "X4", J66)</f>
        <v>#N/A</v>
      </c>
      <c r="O66" t="e" cm="1">
        <f t="array" ref="O66">eval_tr_dbh*1000</f>
        <v>#N/A</v>
      </c>
      <c r="P66" t="str">
        <f t="shared" si="1"/>
        <v>GM_11_NA_B3</v>
      </c>
    </row>
    <row r="67" spans="1:16" x14ac:dyDescent="0.15">
      <c r="A67" s="5" t="s">
        <v>18</v>
      </c>
      <c r="B67" s="5">
        <v>12</v>
      </c>
      <c r="C67" s="6" t="s">
        <v>21</v>
      </c>
      <c r="D67" s="5" t="s">
        <v>30</v>
      </c>
      <c r="E67" s="8">
        <v>44740</v>
      </c>
      <c r="F67" s="5" t="s">
        <v>5</v>
      </c>
      <c r="G67" s="5" t="s">
        <v>35</v>
      </c>
      <c r="H67" s="5" t="s">
        <v>21</v>
      </c>
      <c r="I67" s="4" t="s">
        <v>21</v>
      </c>
      <c r="J67" s="4" t="s">
        <v>21</v>
      </c>
      <c r="K67" t="s">
        <v>162</v>
      </c>
      <c r="L67">
        <v>2</v>
      </c>
      <c r="M67" t="e">
        <f>VLOOKUP(H67,eq!$A$3:$T$13,20,)</f>
        <v>#N/A</v>
      </c>
      <c r="N67" t="e">
        <f t="shared" si="2"/>
        <v>#N/A</v>
      </c>
      <c r="O67" t="e" cm="1">
        <f t="array" ref="O67">eval_tr_dbh*1000</f>
        <v>#N/A</v>
      </c>
      <c r="P67" t="str">
        <f t="shared" ref="P67:P130" si="3">A67&amp;"_"&amp;B67&amp;"_"&amp;C67&amp;"_"&amp;G67</f>
        <v>GM_12_NA_B1</v>
      </c>
    </row>
    <row r="68" spans="1:16" x14ac:dyDescent="0.15">
      <c r="A68" s="5" t="s">
        <v>18</v>
      </c>
      <c r="B68" s="5">
        <v>12</v>
      </c>
      <c r="C68" s="6" t="s">
        <v>21</v>
      </c>
      <c r="D68" s="5" t="s">
        <v>30</v>
      </c>
      <c r="E68" s="8">
        <v>44740</v>
      </c>
      <c r="F68" s="5" t="s">
        <v>6</v>
      </c>
      <c r="G68" s="5" t="s">
        <v>36</v>
      </c>
      <c r="H68" s="5" t="s">
        <v>21</v>
      </c>
      <c r="I68" s="4" t="s">
        <v>21</v>
      </c>
      <c r="J68" s="4" t="s">
        <v>21</v>
      </c>
      <c r="K68" t="s">
        <v>162</v>
      </c>
      <c r="L68">
        <v>2</v>
      </c>
      <c r="M68" t="e">
        <f>VLOOKUP(H68,eq!$A$3:$T$13,20,)</f>
        <v>#N/A</v>
      </c>
      <c r="N68" t="e">
        <f t="shared" si="2"/>
        <v>#N/A</v>
      </c>
      <c r="O68" t="e" cm="1">
        <f t="array" ref="O68">eval_tr_dbh*1000</f>
        <v>#N/A</v>
      </c>
      <c r="P68" t="str">
        <f t="shared" si="3"/>
        <v>GM_12_NA_B2</v>
      </c>
    </row>
    <row r="69" spans="1:16" x14ac:dyDescent="0.15">
      <c r="A69" s="5" t="s">
        <v>18</v>
      </c>
      <c r="B69" s="5">
        <v>12</v>
      </c>
      <c r="C69" s="6" t="s">
        <v>21</v>
      </c>
      <c r="D69" s="5" t="s">
        <v>30</v>
      </c>
      <c r="E69" s="8">
        <v>44740</v>
      </c>
      <c r="F69" s="5" t="s">
        <v>7</v>
      </c>
      <c r="G69" s="5" t="s">
        <v>34</v>
      </c>
      <c r="H69" s="5" t="s">
        <v>21</v>
      </c>
      <c r="I69" s="4" t="s">
        <v>21</v>
      </c>
      <c r="J69" s="4" t="s">
        <v>21</v>
      </c>
      <c r="K69" t="s">
        <v>162</v>
      </c>
      <c r="L69">
        <v>2</v>
      </c>
      <c r="M69" t="e">
        <f>VLOOKUP(H69,eq!$A$3:$T$13,20,)</f>
        <v>#N/A</v>
      </c>
      <c r="N69" t="e">
        <f t="shared" si="2"/>
        <v>#N/A</v>
      </c>
      <c r="O69" t="e" cm="1">
        <f t="array" ref="O69">eval_tr_dbh*1000</f>
        <v>#N/A</v>
      </c>
      <c r="P69" t="str">
        <f t="shared" si="3"/>
        <v>GM_12_NA_B3</v>
      </c>
    </row>
    <row r="70" spans="1:16" x14ac:dyDescent="0.15">
      <c r="A70" s="5" t="s">
        <v>18</v>
      </c>
      <c r="B70" s="5">
        <v>12</v>
      </c>
      <c r="C70" s="6" t="s">
        <v>21</v>
      </c>
      <c r="D70" s="5" t="s">
        <v>30</v>
      </c>
      <c r="E70" s="8">
        <v>44740</v>
      </c>
      <c r="F70" s="5" t="s">
        <v>9</v>
      </c>
      <c r="G70" s="5" t="s">
        <v>37</v>
      </c>
      <c r="H70" s="5" t="s">
        <v>21</v>
      </c>
      <c r="I70" s="4" t="s">
        <v>21</v>
      </c>
      <c r="J70" s="4" t="s">
        <v>21</v>
      </c>
      <c r="K70" t="s">
        <v>162</v>
      </c>
      <c r="L70">
        <v>2</v>
      </c>
      <c r="M70" t="e">
        <f>VLOOKUP(H70,eq!$A$3:$T$13,20,)</f>
        <v>#N/A</v>
      </c>
      <c r="N70" t="e">
        <f t="shared" si="2"/>
        <v>#N/A</v>
      </c>
      <c r="O70" t="e" cm="1">
        <f t="array" ref="O70">eval_tr_dbh*1000</f>
        <v>#N/A</v>
      </c>
      <c r="P70" t="str">
        <f t="shared" si="3"/>
        <v>GM_12_NA_B4</v>
      </c>
    </row>
    <row r="71" spans="1:16" x14ac:dyDescent="0.15">
      <c r="A71" s="5" t="s">
        <v>18</v>
      </c>
      <c r="B71" s="5">
        <v>13</v>
      </c>
      <c r="C71" s="5" t="s">
        <v>22</v>
      </c>
      <c r="D71" s="5" t="s">
        <v>32</v>
      </c>
      <c r="E71" s="7">
        <v>44742</v>
      </c>
      <c r="F71" s="5" t="s">
        <v>9</v>
      </c>
      <c r="G71" s="5" t="s">
        <v>37</v>
      </c>
      <c r="H71" s="3" t="s">
        <v>10</v>
      </c>
      <c r="I71" s="4">
        <v>3</v>
      </c>
      <c r="J71" s="4">
        <v>14</v>
      </c>
      <c r="K71" t="s">
        <v>175</v>
      </c>
      <c r="L71">
        <v>2</v>
      </c>
      <c r="M71" t="str">
        <f>VLOOKUP(H71,eq!$A$3:$T$13,20,)</f>
        <v>0.0534*(X4^2.403)+0.0115*(X4^2.3484)+0.007*(X4^2.5406)+0.084*(X4^1.6695)</v>
      </c>
      <c r="N71" t="str">
        <f t="shared" si="2"/>
        <v>0.0534*(14^2.403)+0.0115*(14^2.3484)+0.007*(14^2.5406)+0.084*(14^1.6695)</v>
      </c>
      <c r="O71" cm="1">
        <f t="array" ref="O71">eval_tr_dbh*1000</f>
        <v>48566.408743122432</v>
      </c>
      <c r="P71" t="str">
        <f t="shared" si="3"/>
        <v>GM_13_CTRL_B4</v>
      </c>
    </row>
    <row r="72" spans="1:16" x14ac:dyDescent="0.15">
      <c r="A72" s="5" t="s">
        <v>18</v>
      </c>
      <c r="B72" s="5">
        <v>13</v>
      </c>
      <c r="C72" s="5" t="s">
        <v>22</v>
      </c>
      <c r="D72" s="5" t="s">
        <v>32</v>
      </c>
      <c r="E72" s="7">
        <v>44742</v>
      </c>
      <c r="F72" s="5" t="s">
        <v>5</v>
      </c>
      <c r="G72" s="5" t="s">
        <v>35</v>
      </c>
      <c r="H72" s="3" t="s">
        <v>10</v>
      </c>
      <c r="I72" s="4">
        <v>4</v>
      </c>
      <c r="J72" s="4">
        <v>16</v>
      </c>
      <c r="K72" t="s">
        <v>175</v>
      </c>
      <c r="L72">
        <v>2</v>
      </c>
      <c r="M72" t="str">
        <f>VLOOKUP(H72,eq!$A$3:$T$13,20,)</f>
        <v>0.0534*(X4^2.403)+0.0115*(X4^2.3484)+0.007*(X4^2.5406)+0.084*(X4^1.6695)</v>
      </c>
      <c r="N72" t="str">
        <f t="shared" si="2"/>
        <v>0.0534*(16^2.403)+0.0115*(16^2.3484)+0.007*(16^2.5406)+0.084*(16^1.6695)</v>
      </c>
      <c r="O72" cm="1">
        <f t="array" ref="O72">eval_tr_dbh*1000</f>
        <v>66145.129655790064</v>
      </c>
      <c r="P72" t="str">
        <f t="shared" si="3"/>
        <v>GM_13_CTRL_B1</v>
      </c>
    </row>
    <row r="73" spans="1:16" x14ac:dyDescent="0.15">
      <c r="A73" s="5" t="s">
        <v>18</v>
      </c>
      <c r="B73" s="5">
        <v>13</v>
      </c>
      <c r="C73" s="5" t="s">
        <v>22</v>
      </c>
      <c r="D73" s="5" t="s">
        <v>32</v>
      </c>
      <c r="E73" s="7">
        <v>44742</v>
      </c>
      <c r="F73" s="5" t="s">
        <v>7</v>
      </c>
      <c r="G73" s="5" t="s">
        <v>34</v>
      </c>
      <c r="H73" s="3" t="s">
        <v>10</v>
      </c>
      <c r="I73" s="4">
        <v>6</v>
      </c>
      <c r="J73" s="4">
        <v>26</v>
      </c>
      <c r="K73" t="s">
        <v>175</v>
      </c>
      <c r="L73">
        <v>2</v>
      </c>
      <c r="M73" t="str">
        <f>VLOOKUP(H73,eq!$A$3:$T$13,20,)</f>
        <v>0.0534*(X4^2.403)+0.0115*(X4^2.3484)+0.007*(X4^2.5406)+0.084*(X4^1.6695)</v>
      </c>
      <c r="N73" t="str">
        <f t="shared" si="2"/>
        <v>0.0534*(26^2.403)+0.0115*(26^2.3484)+0.007*(26^2.5406)+0.084*(26^1.6695)</v>
      </c>
      <c r="O73" cm="1">
        <f t="array" ref="O73">eval_tr_dbh*1000</f>
        <v>205266.17932106816</v>
      </c>
      <c r="P73" t="str">
        <f t="shared" si="3"/>
        <v>GM_13_CTRL_B3</v>
      </c>
    </row>
    <row r="74" spans="1:16" x14ac:dyDescent="0.15">
      <c r="A74" s="5" t="s">
        <v>18</v>
      </c>
      <c r="B74" s="5">
        <v>13</v>
      </c>
      <c r="C74" s="5" t="s">
        <v>22</v>
      </c>
      <c r="D74" s="5" t="s">
        <v>32</v>
      </c>
      <c r="E74" s="7">
        <v>44742</v>
      </c>
      <c r="F74" s="5" t="s">
        <v>9</v>
      </c>
      <c r="G74" s="5" t="s">
        <v>37</v>
      </c>
      <c r="H74" s="5" t="s">
        <v>15</v>
      </c>
      <c r="I74" s="4">
        <v>7</v>
      </c>
      <c r="J74" s="4">
        <v>40</v>
      </c>
      <c r="K74" t="s">
        <v>175</v>
      </c>
      <c r="L74">
        <v>2</v>
      </c>
      <c r="M74" t="str">
        <f>VLOOKUP(H74,eq!$A$3:$T$13,20,)</f>
        <v>0.0593*(X4^2.5026)+0.0135*(X4^2.4053)+0.0135*(X4^2.5532)+0.0546*(X4^1.6251)</v>
      </c>
      <c r="N74" t="str">
        <f t="shared" si="2"/>
        <v>0.0593*(40^2.5026)+0.0135*(40^2.4053)+0.0135*(40^2.5532)+0.0546*(40^1.6251)</v>
      </c>
      <c r="O74" cm="1">
        <f t="array" ref="O74">eval_tr_dbh*1000</f>
        <v>890332.86289830494</v>
      </c>
      <c r="P74" t="str">
        <f t="shared" si="3"/>
        <v>GM_13_CTRL_B4</v>
      </c>
    </row>
    <row r="75" spans="1:16" x14ac:dyDescent="0.15">
      <c r="A75" s="5" t="s">
        <v>18</v>
      </c>
      <c r="B75" s="5">
        <v>13</v>
      </c>
      <c r="C75" s="5" t="s">
        <v>22</v>
      </c>
      <c r="D75" s="5" t="s">
        <v>32</v>
      </c>
      <c r="E75" s="7">
        <v>44742</v>
      </c>
      <c r="F75" s="5" t="s">
        <v>7</v>
      </c>
      <c r="G75" s="5" t="s">
        <v>34</v>
      </c>
      <c r="H75" s="3" t="s">
        <v>10</v>
      </c>
      <c r="I75" s="4">
        <v>5.5</v>
      </c>
      <c r="J75" s="4">
        <v>40</v>
      </c>
      <c r="K75" t="s">
        <v>175</v>
      </c>
      <c r="L75">
        <v>2</v>
      </c>
      <c r="M75" t="str">
        <f>VLOOKUP(H75,eq!$A$3:$T$13,20,)</f>
        <v>0.0534*(X4^2.403)+0.0115*(X4^2.3484)+0.007*(X4^2.5406)+0.084*(X4^1.6695)</v>
      </c>
      <c r="N75" t="str">
        <f t="shared" si="2"/>
        <v>0.0534*(40^2.403)+0.0115*(40^2.3484)+0.007*(40^2.5406)+0.084*(40^1.6695)</v>
      </c>
      <c r="O75" cm="1">
        <f t="array" ref="O75">eval_tr_dbh*1000</f>
        <v>566340.39574475179</v>
      </c>
      <c r="P75" t="str">
        <f t="shared" si="3"/>
        <v>GM_13_CTRL_B3</v>
      </c>
    </row>
    <row r="76" spans="1:16" x14ac:dyDescent="0.15">
      <c r="A76" s="5" t="s">
        <v>18</v>
      </c>
      <c r="B76" s="5">
        <v>13</v>
      </c>
      <c r="C76" s="5" t="s">
        <v>22</v>
      </c>
      <c r="D76" s="5" t="s">
        <v>32</v>
      </c>
      <c r="E76" s="7">
        <v>44742</v>
      </c>
      <c r="F76" s="5" t="s">
        <v>6</v>
      </c>
      <c r="G76" s="5" t="s">
        <v>36</v>
      </c>
      <c r="H76" s="3" t="s">
        <v>10</v>
      </c>
      <c r="I76" s="4">
        <v>6</v>
      </c>
      <c r="J76" s="4">
        <v>45</v>
      </c>
      <c r="K76" t="s">
        <v>175</v>
      </c>
      <c r="L76">
        <v>2</v>
      </c>
      <c r="M76" t="str">
        <f>VLOOKUP(H76,eq!$A$3:$T$13,20,)</f>
        <v>0.0534*(X4^2.403)+0.0115*(X4^2.3484)+0.007*(X4^2.5406)+0.084*(X4^1.6695)</v>
      </c>
      <c r="N76" t="str">
        <f t="shared" si="2"/>
        <v>0.0534*(45^2.403)+0.0115*(45^2.3484)+0.007*(45^2.5406)+0.084*(45^1.6695)</v>
      </c>
      <c r="O76" cm="1">
        <f t="array" ref="O76">eval_tr_dbh*1000</f>
        <v>748473.91531468858</v>
      </c>
      <c r="P76" t="str">
        <f t="shared" si="3"/>
        <v>GM_13_CTRL_B2</v>
      </c>
    </row>
    <row r="77" spans="1:16" x14ac:dyDescent="0.15">
      <c r="A77" s="5" t="s">
        <v>18</v>
      </c>
      <c r="B77" s="5">
        <v>13</v>
      </c>
      <c r="C77" s="5" t="s">
        <v>23</v>
      </c>
      <c r="D77" s="5" t="s">
        <v>32</v>
      </c>
      <c r="E77" s="7">
        <v>44740</v>
      </c>
      <c r="F77" s="5" t="s">
        <v>6</v>
      </c>
      <c r="G77" s="5" t="s">
        <v>36</v>
      </c>
      <c r="H77" s="3" t="s">
        <v>10</v>
      </c>
      <c r="I77" s="4">
        <v>4</v>
      </c>
      <c r="J77" s="4">
        <v>11.1</v>
      </c>
      <c r="K77" t="s">
        <v>255</v>
      </c>
      <c r="L77">
        <v>2</v>
      </c>
      <c r="M77" t="str">
        <f>VLOOKUP(H77,eq!$A$3:$T$13,20,)</f>
        <v>0.0534*(X4^2.403)+0.0115*(X4^2.3484)+0.007*(X4^2.5406)+0.084*(X4^1.6695)</v>
      </c>
      <c r="N77" t="str">
        <f t="shared" si="2"/>
        <v>0.0534*(11.1^2.403)+0.0115*(11.1^2.3484)+0.007*(11.1^2.5406)+0.084*(11.1^1.6695)</v>
      </c>
      <c r="O77" cm="1">
        <f t="array" ref="O77">eval_tr_dbh*1000</f>
        <v>28473.375478088361</v>
      </c>
      <c r="P77" t="str">
        <f t="shared" si="3"/>
        <v>GM_13_EX_B2</v>
      </c>
    </row>
    <row r="78" spans="1:16" x14ac:dyDescent="0.15">
      <c r="A78" s="5" t="s">
        <v>18</v>
      </c>
      <c r="B78" s="5">
        <v>13</v>
      </c>
      <c r="C78" s="5" t="s">
        <v>23</v>
      </c>
      <c r="D78" s="5" t="s">
        <v>32</v>
      </c>
      <c r="E78" s="7">
        <v>44740</v>
      </c>
      <c r="F78" s="5" t="s">
        <v>5</v>
      </c>
      <c r="G78" s="5" t="s">
        <v>35</v>
      </c>
      <c r="H78" s="3" t="s">
        <v>10</v>
      </c>
      <c r="I78" s="4">
        <v>6</v>
      </c>
      <c r="J78" s="4">
        <v>15.4</v>
      </c>
      <c r="K78" t="s">
        <v>255</v>
      </c>
      <c r="L78">
        <v>2</v>
      </c>
      <c r="M78" t="str">
        <f>VLOOKUP(H78,eq!$A$3:$T$13,20,)</f>
        <v>0.0534*(X4^2.403)+0.0115*(X4^2.3484)+0.007*(X4^2.5406)+0.084*(X4^1.6695)</v>
      </c>
      <c r="N78" t="str">
        <f t="shared" si="2"/>
        <v>0.0534*(15.4^2.403)+0.0115*(15.4^2.3484)+0.007*(15.4^2.5406)+0.084*(15.4^1.6695)</v>
      </c>
      <c r="O78" cm="1">
        <f t="array" ref="O78">eval_tr_dbh*1000</f>
        <v>60540.072870274598</v>
      </c>
      <c r="P78" t="str">
        <f t="shared" si="3"/>
        <v>GM_13_EX_B1</v>
      </c>
    </row>
    <row r="79" spans="1:16" x14ac:dyDescent="0.15">
      <c r="A79" s="5" t="s">
        <v>18</v>
      </c>
      <c r="B79" s="5">
        <v>13</v>
      </c>
      <c r="C79" s="5" t="s">
        <v>23</v>
      </c>
      <c r="D79" s="5" t="s">
        <v>32</v>
      </c>
      <c r="E79" s="7">
        <v>44740</v>
      </c>
      <c r="F79" s="5" t="s">
        <v>5</v>
      </c>
      <c r="G79" s="5" t="s">
        <v>35</v>
      </c>
      <c r="H79" s="3" t="s">
        <v>10</v>
      </c>
      <c r="I79" s="4">
        <v>5.5</v>
      </c>
      <c r="J79" s="4">
        <v>15.3</v>
      </c>
      <c r="K79" t="s">
        <v>255</v>
      </c>
      <c r="L79">
        <v>2</v>
      </c>
      <c r="M79" t="str">
        <f>VLOOKUP(H79,eq!$A$3:$T$13,20,)</f>
        <v>0.0534*(X4^2.403)+0.0115*(X4^2.3484)+0.007*(X4^2.5406)+0.084*(X4^1.6695)</v>
      </c>
      <c r="N79" t="str">
        <f t="shared" si="2"/>
        <v>0.0534*(15.3^2.403)+0.0115*(15.3^2.3484)+0.007*(15.3^2.5406)+0.084*(15.3^1.6695)</v>
      </c>
      <c r="O79" cm="1">
        <f t="array" ref="O79">eval_tr_dbh*1000</f>
        <v>59633.818298459424</v>
      </c>
      <c r="P79" t="str">
        <f t="shared" si="3"/>
        <v>GM_13_EX_B1</v>
      </c>
    </row>
    <row r="80" spans="1:16" x14ac:dyDescent="0.15">
      <c r="A80" s="5" t="s">
        <v>18</v>
      </c>
      <c r="B80" s="5">
        <v>13</v>
      </c>
      <c r="C80" s="5" t="s">
        <v>23</v>
      </c>
      <c r="D80" s="5" t="s">
        <v>32</v>
      </c>
      <c r="E80" s="7">
        <v>44740</v>
      </c>
      <c r="F80" s="5" t="s">
        <v>6</v>
      </c>
      <c r="G80" s="5" t="s">
        <v>36</v>
      </c>
      <c r="H80" s="3" t="s">
        <v>10</v>
      </c>
      <c r="I80" s="4">
        <v>6</v>
      </c>
      <c r="J80" s="4">
        <v>24.1</v>
      </c>
      <c r="K80" t="s">
        <v>255</v>
      </c>
      <c r="L80">
        <v>2</v>
      </c>
      <c r="M80" t="str">
        <f>VLOOKUP(H80,eq!$A$3:$T$13,20,)</f>
        <v>0.0534*(X4^2.403)+0.0115*(X4^2.3484)+0.007*(X4^2.5406)+0.084*(X4^1.6695)</v>
      </c>
      <c r="N80" t="str">
        <f t="shared" si="2"/>
        <v>0.0534*(24.1^2.403)+0.0115*(24.1^2.3484)+0.007*(24.1^2.5406)+0.084*(24.1^1.6695)</v>
      </c>
      <c r="O80" cm="1">
        <f t="array" ref="O80">eval_tr_dbh*1000</f>
        <v>171818.16525422924</v>
      </c>
      <c r="P80" t="str">
        <f t="shared" si="3"/>
        <v>GM_13_EX_B2</v>
      </c>
    </row>
    <row r="81" spans="1:16" x14ac:dyDescent="0.15">
      <c r="A81" s="5" t="s">
        <v>18</v>
      </c>
      <c r="B81" s="5">
        <v>13</v>
      </c>
      <c r="C81" s="5" t="s">
        <v>23</v>
      </c>
      <c r="D81" s="5" t="s">
        <v>32</v>
      </c>
      <c r="E81" s="7">
        <v>44740</v>
      </c>
      <c r="F81" s="5" t="s">
        <v>7</v>
      </c>
      <c r="G81" s="5" t="s">
        <v>34</v>
      </c>
      <c r="H81" s="5" t="s">
        <v>21</v>
      </c>
      <c r="I81" s="4" t="s">
        <v>21</v>
      </c>
      <c r="J81" s="4" t="s">
        <v>21</v>
      </c>
      <c r="K81" t="s">
        <v>255</v>
      </c>
      <c r="L81">
        <v>2</v>
      </c>
      <c r="M81" t="e">
        <f>VLOOKUP(H81,eq!$A$3:$T$13,20,)</f>
        <v>#N/A</v>
      </c>
      <c r="N81" t="e">
        <f t="shared" si="2"/>
        <v>#N/A</v>
      </c>
      <c r="O81" t="e" cm="1">
        <f t="array" ref="O81">eval_tr_dbh*1000</f>
        <v>#N/A</v>
      </c>
      <c r="P81" t="str">
        <f t="shared" si="3"/>
        <v>GM_13_EX_B3</v>
      </c>
    </row>
    <row r="82" spans="1:16" x14ac:dyDescent="0.15">
      <c r="A82" s="5" t="s">
        <v>18</v>
      </c>
      <c r="B82" s="5">
        <v>14</v>
      </c>
      <c r="C82" s="5" t="s">
        <v>21</v>
      </c>
      <c r="D82" s="5" t="s">
        <v>32</v>
      </c>
      <c r="E82" s="7">
        <v>44742</v>
      </c>
      <c r="F82" s="5" t="s">
        <v>9</v>
      </c>
      <c r="G82" s="5" t="s">
        <v>37</v>
      </c>
      <c r="H82" s="3" t="s">
        <v>10</v>
      </c>
      <c r="I82" s="4">
        <v>4.5</v>
      </c>
      <c r="J82" s="4">
        <v>3.5</v>
      </c>
      <c r="K82" t="s">
        <v>146</v>
      </c>
      <c r="L82">
        <v>1</v>
      </c>
      <c r="M82" t="str">
        <f>VLOOKUP(H82,eq!$A$3:$T$13,20,)</f>
        <v>0.0534*(X4^2.403)+0.0115*(X4^2.3484)+0.007*(X4^2.5406)+0.084*(X4^1.6695)</v>
      </c>
      <c r="N82" t="str">
        <f t="shared" si="2"/>
        <v>0.0534*(3.5^2.403)+0.0115*(3.5^2.3484)+0.007*(3.5^2.5406)+0.084*(3.5^1.6695)</v>
      </c>
      <c r="O82" cm="1">
        <f t="array" ref="O82">eval_tr_dbh*1000</f>
        <v>2150.6724889929069</v>
      </c>
      <c r="P82" t="str">
        <f t="shared" si="3"/>
        <v>GM_14_NA_B4</v>
      </c>
    </row>
    <row r="83" spans="1:16" x14ac:dyDescent="0.15">
      <c r="A83" s="5" t="s">
        <v>18</v>
      </c>
      <c r="B83" s="5">
        <v>14</v>
      </c>
      <c r="C83" s="5" t="s">
        <v>21</v>
      </c>
      <c r="D83" s="5" t="s">
        <v>32</v>
      </c>
      <c r="E83" s="7">
        <v>44742</v>
      </c>
      <c r="F83" s="5" t="s">
        <v>6</v>
      </c>
      <c r="G83" s="5" t="s">
        <v>36</v>
      </c>
      <c r="H83" s="3" t="s">
        <v>10</v>
      </c>
      <c r="I83" s="4">
        <v>6</v>
      </c>
      <c r="J83" s="4">
        <v>6</v>
      </c>
      <c r="K83" t="s">
        <v>146</v>
      </c>
      <c r="L83">
        <v>1</v>
      </c>
      <c r="M83" t="str">
        <f>VLOOKUP(H83,eq!$A$3:$T$13,20,)</f>
        <v>0.0534*(X4^2.403)+0.0115*(X4^2.3484)+0.007*(X4^2.5406)+0.084*(X4^1.6695)</v>
      </c>
      <c r="N83" t="str">
        <f t="shared" si="2"/>
        <v>0.0534*(6^2.403)+0.0115*(6^2.3484)+0.007*(6^2.5406)+0.084*(6^1.6695)</v>
      </c>
      <c r="O83" cm="1">
        <f t="array" ref="O83">eval_tr_dbh*1000</f>
        <v>7067.0252069550461</v>
      </c>
      <c r="P83" t="str">
        <f t="shared" si="3"/>
        <v>GM_14_NA_B2</v>
      </c>
    </row>
    <row r="84" spans="1:16" x14ac:dyDescent="0.15">
      <c r="A84" s="5" t="s">
        <v>18</v>
      </c>
      <c r="B84" s="5">
        <v>14</v>
      </c>
      <c r="C84" s="5" t="s">
        <v>21</v>
      </c>
      <c r="D84" s="5" t="s">
        <v>32</v>
      </c>
      <c r="E84" s="7">
        <v>44742</v>
      </c>
      <c r="F84" s="5" t="s">
        <v>5</v>
      </c>
      <c r="G84" s="5" t="s">
        <v>35</v>
      </c>
      <c r="H84" s="3" t="s">
        <v>10</v>
      </c>
      <c r="I84" s="4">
        <v>9</v>
      </c>
      <c r="J84" s="4">
        <v>6.25</v>
      </c>
      <c r="K84" t="s">
        <v>146</v>
      </c>
      <c r="L84">
        <v>1</v>
      </c>
      <c r="M84" t="str">
        <f>VLOOKUP(H84,eq!$A$3:$T$13,20,)</f>
        <v>0.0534*(X4^2.403)+0.0115*(X4^2.3484)+0.007*(X4^2.5406)+0.084*(X4^1.6695)</v>
      </c>
      <c r="N84" t="str">
        <f t="shared" si="2"/>
        <v>0.0534*(6.25^2.403)+0.0115*(6.25^2.3484)+0.007*(6.25^2.5406)+0.084*(6.25^1.6695)</v>
      </c>
      <c r="O84" cm="1">
        <f t="array" ref="O84">eval_tr_dbh*1000</f>
        <v>7743.2081466870886</v>
      </c>
      <c r="P84" t="str">
        <f t="shared" si="3"/>
        <v>GM_14_NA_B1</v>
      </c>
    </row>
    <row r="85" spans="1:16" x14ac:dyDescent="0.15">
      <c r="A85" s="5" t="s">
        <v>18</v>
      </c>
      <c r="B85" s="5">
        <v>14</v>
      </c>
      <c r="C85" s="5" t="s">
        <v>21</v>
      </c>
      <c r="D85" s="5" t="s">
        <v>32</v>
      </c>
      <c r="E85" s="7">
        <v>44742</v>
      </c>
      <c r="F85" s="5" t="s">
        <v>5</v>
      </c>
      <c r="G85" s="5" t="s">
        <v>35</v>
      </c>
      <c r="H85" s="5" t="s">
        <v>15</v>
      </c>
      <c r="I85" s="4">
        <v>7</v>
      </c>
      <c r="J85" s="4">
        <v>6</v>
      </c>
      <c r="K85" t="s">
        <v>146</v>
      </c>
      <c r="L85">
        <v>1</v>
      </c>
      <c r="M85" t="str">
        <f>VLOOKUP(H85,eq!$A$3:$T$13,20,)</f>
        <v>0.0593*(X4^2.5026)+0.0135*(X4^2.4053)+0.0135*(X4^2.5532)+0.0546*(X4^1.6251)</v>
      </c>
      <c r="N85" t="str">
        <f t="shared" si="2"/>
        <v>0.0593*(6^2.5026)+0.0135*(6^2.4053)+0.0135*(6^2.5532)+0.0546*(6^1.6251)</v>
      </c>
      <c r="O85" cm="1">
        <f t="array" ref="O85">eval_tr_dbh*1000</f>
        <v>8571.8396920973228</v>
      </c>
      <c r="P85" t="str">
        <f t="shared" si="3"/>
        <v>GM_14_NA_B1</v>
      </c>
    </row>
    <row r="86" spans="1:16" x14ac:dyDescent="0.15">
      <c r="A86" s="5" t="s">
        <v>18</v>
      </c>
      <c r="B86" s="5">
        <v>14</v>
      </c>
      <c r="C86" s="5" t="s">
        <v>21</v>
      </c>
      <c r="D86" s="5" t="s">
        <v>32</v>
      </c>
      <c r="E86" s="7">
        <v>44742</v>
      </c>
      <c r="F86" s="5" t="s">
        <v>7</v>
      </c>
      <c r="G86" s="5" t="s">
        <v>34</v>
      </c>
      <c r="H86" s="3" t="s">
        <v>10</v>
      </c>
      <c r="I86" s="4">
        <v>9</v>
      </c>
      <c r="J86" s="4">
        <v>7</v>
      </c>
      <c r="K86" t="s">
        <v>146</v>
      </c>
      <c r="L86">
        <v>1</v>
      </c>
      <c r="M86" t="str">
        <f>VLOOKUP(H86,eq!$A$3:$T$13,20,)</f>
        <v>0.0534*(X4^2.403)+0.0115*(X4^2.3484)+0.007*(X4^2.5406)+0.084*(X4^1.6695)</v>
      </c>
      <c r="N86" t="str">
        <f t="shared" si="2"/>
        <v>0.0534*(7^2.403)+0.0115*(7^2.3484)+0.007*(7^2.5406)+0.084*(7^1.6695)</v>
      </c>
      <c r="O86" cm="1">
        <f t="array" ref="O86">eval_tr_dbh*1000</f>
        <v>9987.7466724096248</v>
      </c>
      <c r="P86" t="str">
        <f t="shared" si="3"/>
        <v>GM_14_NA_B3</v>
      </c>
    </row>
    <row r="87" spans="1:16" x14ac:dyDescent="0.15">
      <c r="A87" s="5" t="s">
        <v>18</v>
      </c>
      <c r="B87" s="5">
        <v>14</v>
      </c>
      <c r="C87" s="5" t="s">
        <v>21</v>
      </c>
      <c r="D87" s="5" t="s">
        <v>32</v>
      </c>
      <c r="E87" s="7">
        <v>44742</v>
      </c>
      <c r="F87" s="5" t="s">
        <v>6</v>
      </c>
      <c r="G87" s="5" t="s">
        <v>36</v>
      </c>
      <c r="H87" s="3" t="s">
        <v>10</v>
      </c>
      <c r="I87" s="4">
        <v>8</v>
      </c>
      <c r="J87" s="4">
        <v>7.25</v>
      </c>
      <c r="K87" t="s">
        <v>146</v>
      </c>
      <c r="L87">
        <v>1</v>
      </c>
      <c r="M87" t="str">
        <f>VLOOKUP(H87,eq!$A$3:$T$13,20,)</f>
        <v>0.0534*(X4^2.403)+0.0115*(X4^2.3484)+0.007*(X4^2.5406)+0.084*(X4^1.6695)</v>
      </c>
      <c r="N87" t="str">
        <f t="shared" si="2"/>
        <v>0.0534*(7.25^2.403)+0.0115*(7.25^2.3484)+0.007*(7.25^2.5406)+0.084*(7.25^1.6695)</v>
      </c>
      <c r="O87" cm="1">
        <f t="array" ref="O87">eval_tr_dbh*1000</f>
        <v>10809.531358577111</v>
      </c>
      <c r="P87" t="str">
        <f t="shared" si="3"/>
        <v>GM_14_NA_B2</v>
      </c>
    </row>
    <row r="88" spans="1:16" x14ac:dyDescent="0.15">
      <c r="A88" s="5" t="s">
        <v>18</v>
      </c>
      <c r="B88" s="5">
        <v>14</v>
      </c>
      <c r="C88" s="5" t="s">
        <v>21</v>
      </c>
      <c r="D88" s="5" t="s">
        <v>32</v>
      </c>
      <c r="E88" s="7">
        <v>44742</v>
      </c>
      <c r="F88" s="5" t="s">
        <v>7</v>
      </c>
      <c r="G88" s="5" t="s">
        <v>34</v>
      </c>
      <c r="H88" s="3" t="s">
        <v>15</v>
      </c>
      <c r="I88" s="4">
        <v>7.5</v>
      </c>
      <c r="J88" s="4">
        <v>7</v>
      </c>
      <c r="K88" t="s">
        <v>146</v>
      </c>
      <c r="L88">
        <v>1</v>
      </c>
      <c r="M88" t="str">
        <f>VLOOKUP(H88,eq!$A$3:$T$13,20,)</f>
        <v>0.0593*(X4^2.5026)+0.0135*(X4^2.4053)+0.0135*(X4^2.5532)+0.0546*(X4^1.6251)</v>
      </c>
      <c r="N88" t="str">
        <f t="shared" si="2"/>
        <v>0.0593*(7^2.5026)+0.0135*(7^2.4053)+0.0135*(7^2.5532)+0.0546*(7^1.6251)</v>
      </c>
      <c r="O88" cm="1">
        <f t="array" ref="O88">eval_tr_dbh*1000</f>
        <v>12413.345768382282</v>
      </c>
      <c r="P88" t="str">
        <f t="shared" si="3"/>
        <v>GM_14_NA_B3</v>
      </c>
    </row>
    <row r="89" spans="1:16" x14ac:dyDescent="0.15">
      <c r="A89" s="5" t="s">
        <v>18</v>
      </c>
      <c r="B89" s="5">
        <v>14</v>
      </c>
      <c r="C89" s="5" t="s">
        <v>21</v>
      </c>
      <c r="D89" s="5" t="s">
        <v>32</v>
      </c>
      <c r="E89" s="7">
        <v>44742</v>
      </c>
      <c r="F89" s="5" t="s">
        <v>6</v>
      </c>
      <c r="G89" s="5" t="s">
        <v>36</v>
      </c>
      <c r="H89" s="3" t="s">
        <v>10</v>
      </c>
      <c r="I89" s="4">
        <v>7.5</v>
      </c>
      <c r="J89" s="4">
        <v>9.5</v>
      </c>
      <c r="K89" t="s">
        <v>146</v>
      </c>
      <c r="L89">
        <v>1</v>
      </c>
      <c r="M89" t="str">
        <f>VLOOKUP(H89,eq!$A$3:$T$13,20,)</f>
        <v>0.0534*(X4^2.403)+0.0115*(X4^2.3484)+0.007*(X4^2.5406)+0.084*(X4^1.6695)</v>
      </c>
      <c r="N89" t="str">
        <f t="shared" si="2"/>
        <v>0.0534*(9.5^2.403)+0.0115*(9.5^2.3484)+0.007*(9.5^2.5406)+0.084*(9.5^1.6695)</v>
      </c>
      <c r="O89" cm="1">
        <f t="array" ref="O89">eval_tr_dbh*1000</f>
        <v>19950.075047172792</v>
      </c>
      <c r="P89" t="str">
        <f t="shared" si="3"/>
        <v>GM_14_NA_B2</v>
      </c>
    </row>
    <row r="90" spans="1:16" x14ac:dyDescent="0.15">
      <c r="A90" s="5" t="s">
        <v>18</v>
      </c>
      <c r="B90" s="5">
        <v>14</v>
      </c>
      <c r="C90" s="5" t="s">
        <v>21</v>
      </c>
      <c r="D90" s="5" t="s">
        <v>32</v>
      </c>
      <c r="E90" s="7">
        <v>44742</v>
      </c>
      <c r="F90" s="5" t="s">
        <v>6</v>
      </c>
      <c r="G90" s="5" t="s">
        <v>36</v>
      </c>
      <c r="H90" s="3" t="s">
        <v>10</v>
      </c>
      <c r="I90" s="4">
        <v>9</v>
      </c>
      <c r="J90" s="4">
        <v>10</v>
      </c>
      <c r="K90" t="s">
        <v>146</v>
      </c>
      <c r="L90">
        <v>1</v>
      </c>
      <c r="M90" t="str">
        <f>VLOOKUP(H90,eq!$A$3:$T$13,20,)</f>
        <v>0.0534*(X4^2.403)+0.0115*(X4^2.3484)+0.007*(X4^2.5406)+0.084*(X4^1.6695)</v>
      </c>
      <c r="N90" t="str">
        <f t="shared" si="2"/>
        <v>0.0534*(10^2.403)+0.0115*(10^2.3484)+0.007*(10^2.5406)+0.084*(10^1.6695)</v>
      </c>
      <c r="O90" cm="1">
        <f t="array" ref="O90">eval_tr_dbh*1000</f>
        <v>22426.481047355999</v>
      </c>
      <c r="P90" t="str">
        <f t="shared" si="3"/>
        <v>GM_14_NA_B2</v>
      </c>
    </row>
    <row r="91" spans="1:16" x14ac:dyDescent="0.15">
      <c r="A91" s="5" t="s">
        <v>18</v>
      </c>
      <c r="B91" s="5">
        <v>14</v>
      </c>
      <c r="C91" s="5" t="s">
        <v>21</v>
      </c>
      <c r="D91" s="5" t="s">
        <v>32</v>
      </c>
      <c r="E91" s="7">
        <v>44742</v>
      </c>
      <c r="F91" s="5" t="s">
        <v>9</v>
      </c>
      <c r="G91" s="5" t="s">
        <v>37</v>
      </c>
      <c r="H91" s="5" t="s">
        <v>10</v>
      </c>
      <c r="I91" s="4">
        <v>11.5</v>
      </c>
      <c r="J91" s="4">
        <v>12</v>
      </c>
      <c r="K91" t="s">
        <v>146</v>
      </c>
      <c r="L91">
        <v>1</v>
      </c>
      <c r="M91" t="str">
        <f>VLOOKUP(H91,eq!$A$3:$T$13,20,)</f>
        <v>0.0534*(X4^2.403)+0.0115*(X4^2.3484)+0.007*(X4^2.5406)+0.084*(X4^1.6695)</v>
      </c>
      <c r="N91" t="str">
        <f t="shared" si="2"/>
        <v>0.0534*(12^2.403)+0.0115*(12^2.3484)+0.007*(12^2.5406)+0.084*(12^1.6695)</v>
      </c>
      <c r="O91" cm="1">
        <f t="array" ref="O91">eval_tr_dbh*1000</f>
        <v>34051.296349522345</v>
      </c>
      <c r="P91" t="str">
        <f t="shared" si="3"/>
        <v>GM_14_NA_B4</v>
      </c>
    </row>
    <row r="92" spans="1:16" x14ac:dyDescent="0.15">
      <c r="A92" s="5" t="s">
        <v>18</v>
      </c>
      <c r="B92" s="5">
        <v>14</v>
      </c>
      <c r="C92" s="5" t="s">
        <v>21</v>
      </c>
      <c r="D92" s="5" t="s">
        <v>32</v>
      </c>
      <c r="E92" s="7">
        <v>44742</v>
      </c>
      <c r="F92" s="5" t="s">
        <v>5</v>
      </c>
      <c r="G92" s="5" t="s">
        <v>35</v>
      </c>
      <c r="H92" s="5" t="s">
        <v>15</v>
      </c>
      <c r="I92" s="4">
        <v>11</v>
      </c>
      <c r="J92" s="4">
        <v>10.75</v>
      </c>
      <c r="K92" t="s">
        <v>146</v>
      </c>
      <c r="L92">
        <v>1</v>
      </c>
      <c r="M92" t="str">
        <f>VLOOKUP(H92,eq!$A$3:$T$13,20,)</f>
        <v>0.0593*(X4^2.5026)+0.0135*(X4^2.4053)+0.0135*(X4^2.5532)+0.0546*(X4^1.6251)</v>
      </c>
      <c r="N92" t="str">
        <f t="shared" si="2"/>
        <v>0.0593*(10.75^2.5026)+0.0135*(10.75^2.4053)+0.0135*(10.75^2.5532)+0.0546*(10.75^1.6251)</v>
      </c>
      <c r="O92" cm="1">
        <f t="array" ref="O92">eval_tr_dbh*1000</f>
        <v>35086.837512767182</v>
      </c>
      <c r="P92" t="str">
        <f t="shared" si="3"/>
        <v>GM_14_NA_B1</v>
      </c>
    </row>
    <row r="93" spans="1:16" x14ac:dyDescent="0.15">
      <c r="A93" s="5" t="s">
        <v>18</v>
      </c>
      <c r="B93" s="5">
        <v>14</v>
      </c>
      <c r="C93" s="5" t="s">
        <v>21</v>
      </c>
      <c r="D93" s="5" t="s">
        <v>32</v>
      </c>
      <c r="E93" s="7">
        <v>44742</v>
      </c>
      <c r="F93" s="5" t="s">
        <v>5</v>
      </c>
      <c r="G93" s="5" t="s">
        <v>35</v>
      </c>
      <c r="H93" s="3" t="s">
        <v>10</v>
      </c>
      <c r="I93" s="4">
        <v>11</v>
      </c>
      <c r="J93" s="4">
        <v>14.25</v>
      </c>
      <c r="K93" t="s">
        <v>146</v>
      </c>
      <c r="L93">
        <v>1</v>
      </c>
      <c r="M93" t="str">
        <f>VLOOKUP(H93,eq!$A$3:$T$13,20,)</f>
        <v>0.0534*(X4^2.403)+0.0115*(X4^2.3484)+0.007*(X4^2.5406)+0.084*(X4^1.6695)</v>
      </c>
      <c r="N93" t="str">
        <f t="shared" si="2"/>
        <v>0.0534*(14.25^2.403)+0.0115*(14.25^2.3484)+0.007*(14.25^2.5406)+0.084*(14.25^1.6695)</v>
      </c>
      <c r="O93" cm="1">
        <f t="array" ref="O93">eval_tr_dbh*1000</f>
        <v>50592.806582462814</v>
      </c>
      <c r="P93" t="str">
        <f t="shared" si="3"/>
        <v>GM_14_NA_B1</v>
      </c>
    </row>
    <row r="94" spans="1:16" x14ac:dyDescent="0.15">
      <c r="A94" s="5" t="s">
        <v>18</v>
      </c>
      <c r="B94" s="5">
        <v>14</v>
      </c>
      <c r="C94" s="5" t="s">
        <v>21</v>
      </c>
      <c r="D94" s="5" t="s">
        <v>32</v>
      </c>
      <c r="E94" s="7">
        <v>44742</v>
      </c>
      <c r="F94" s="5" t="s">
        <v>5</v>
      </c>
      <c r="G94" s="5" t="s">
        <v>35</v>
      </c>
      <c r="H94" s="3" t="s">
        <v>10</v>
      </c>
      <c r="I94" s="4">
        <v>11</v>
      </c>
      <c r="J94" s="4">
        <v>15.25</v>
      </c>
      <c r="K94" t="s">
        <v>146</v>
      </c>
      <c r="L94">
        <v>1</v>
      </c>
      <c r="M94" t="str">
        <f>VLOOKUP(H94,eq!$A$3:$T$13,20,)</f>
        <v>0.0534*(X4^2.403)+0.0115*(X4^2.3484)+0.007*(X4^2.5406)+0.084*(X4^1.6695)</v>
      </c>
      <c r="N94" t="str">
        <f t="shared" si="2"/>
        <v>0.0534*(15.25^2.403)+0.0115*(15.25^2.3484)+0.007*(15.25^2.5406)+0.084*(15.25^1.6695)</v>
      </c>
      <c r="O94" cm="1">
        <f t="array" ref="O94">eval_tr_dbh*1000</f>
        <v>59183.664178583953</v>
      </c>
      <c r="P94" t="str">
        <f t="shared" si="3"/>
        <v>GM_14_NA_B1</v>
      </c>
    </row>
    <row r="95" spans="1:16" x14ac:dyDescent="0.15">
      <c r="A95" s="5" t="s">
        <v>18</v>
      </c>
      <c r="B95" s="5">
        <v>14</v>
      </c>
      <c r="C95" s="5" t="s">
        <v>21</v>
      </c>
      <c r="D95" s="5" t="s">
        <v>32</v>
      </c>
      <c r="E95" s="7">
        <v>44742</v>
      </c>
      <c r="F95" s="5" t="s">
        <v>7</v>
      </c>
      <c r="G95" s="5" t="s">
        <v>34</v>
      </c>
      <c r="H95" s="3" t="s">
        <v>10</v>
      </c>
      <c r="I95" s="4">
        <v>12</v>
      </c>
      <c r="J95" s="4">
        <v>16</v>
      </c>
      <c r="K95" t="s">
        <v>146</v>
      </c>
      <c r="L95">
        <v>1</v>
      </c>
      <c r="M95" t="str">
        <f>VLOOKUP(H95,eq!$A$3:$T$13,20,)</f>
        <v>0.0534*(X4^2.403)+0.0115*(X4^2.3484)+0.007*(X4^2.5406)+0.084*(X4^1.6695)</v>
      </c>
      <c r="N95" t="str">
        <f t="shared" si="2"/>
        <v>0.0534*(16^2.403)+0.0115*(16^2.3484)+0.007*(16^2.5406)+0.084*(16^1.6695)</v>
      </c>
      <c r="O95" cm="1">
        <f t="array" ref="O95">eval_tr_dbh*1000</f>
        <v>66145.129655790064</v>
      </c>
      <c r="P95" t="str">
        <f t="shared" si="3"/>
        <v>GM_14_NA_B3</v>
      </c>
    </row>
    <row r="96" spans="1:16" x14ac:dyDescent="0.15">
      <c r="A96" s="5" t="s">
        <v>18</v>
      </c>
      <c r="B96" s="5">
        <v>14</v>
      </c>
      <c r="C96" s="5" t="s">
        <v>21</v>
      </c>
      <c r="D96" s="5" t="s">
        <v>32</v>
      </c>
      <c r="E96" s="7">
        <v>44742</v>
      </c>
      <c r="F96" s="5" t="s">
        <v>9</v>
      </c>
      <c r="G96" s="5" t="s">
        <v>37</v>
      </c>
      <c r="H96" s="3" t="s">
        <v>10</v>
      </c>
      <c r="I96" s="4">
        <v>13</v>
      </c>
      <c r="J96" s="4">
        <v>16.75</v>
      </c>
      <c r="K96" t="s">
        <v>146</v>
      </c>
      <c r="L96">
        <v>1</v>
      </c>
      <c r="M96" t="str">
        <f>VLOOKUP(H96,eq!$A$3:$T$13,20,)</f>
        <v>0.0534*(X4^2.403)+0.0115*(X4^2.3484)+0.007*(X4^2.5406)+0.084*(X4^1.6695)</v>
      </c>
      <c r="N96" t="str">
        <f t="shared" si="2"/>
        <v>0.0534*(16.75^2.403)+0.0115*(16.75^2.3484)+0.007*(16.75^2.5406)+0.084*(16.75^1.6695)</v>
      </c>
      <c r="O96" cm="1">
        <f t="array" ref="O96">eval_tr_dbh*1000</f>
        <v>73560.064397047827</v>
      </c>
      <c r="P96" t="str">
        <f t="shared" si="3"/>
        <v>GM_14_NA_B4</v>
      </c>
    </row>
    <row r="97" spans="1:16" x14ac:dyDescent="0.15">
      <c r="A97" s="5" t="s">
        <v>18</v>
      </c>
      <c r="B97" s="5">
        <v>15</v>
      </c>
      <c r="C97" s="5" t="s">
        <v>21</v>
      </c>
      <c r="D97" s="5" t="s">
        <v>32</v>
      </c>
      <c r="E97" s="7">
        <v>44741</v>
      </c>
      <c r="F97" s="5" t="s">
        <v>6</v>
      </c>
      <c r="G97" s="5" t="s">
        <v>36</v>
      </c>
      <c r="H97" s="3" t="s">
        <v>10</v>
      </c>
      <c r="I97" s="4">
        <v>3.5</v>
      </c>
      <c r="J97" s="4">
        <v>4</v>
      </c>
      <c r="K97" t="s">
        <v>150</v>
      </c>
      <c r="L97">
        <v>1</v>
      </c>
      <c r="M97" t="str">
        <f>VLOOKUP(H97,eq!$A$3:$T$13,20,)</f>
        <v>0.0534*(X4^2.403)+0.0115*(X4^2.3484)+0.007*(X4^2.5406)+0.084*(X4^1.6695)</v>
      </c>
      <c r="N97" t="str">
        <f t="shared" si="2"/>
        <v>0.0534*(4^2.403)+0.0115*(4^2.3484)+0.007*(4^2.5406)+0.084*(4^1.6695)</v>
      </c>
      <c r="O97" cm="1">
        <f t="array" ref="O97">eval_tr_dbh*1000</f>
        <v>2879.0111589721196</v>
      </c>
      <c r="P97" t="str">
        <f t="shared" si="3"/>
        <v>GM_15_NA_B2</v>
      </c>
    </row>
    <row r="98" spans="1:16" x14ac:dyDescent="0.15">
      <c r="A98" s="5" t="s">
        <v>18</v>
      </c>
      <c r="B98" s="5">
        <v>15</v>
      </c>
      <c r="C98" s="5" t="s">
        <v>21</v>
      </c>
      <c r="D98" s="5" t="s">
        <v>32</v>
      </c>
      <c r="E98" s="7">
        <v>44741</v>
      </c>
      <c r="F98" s="5" t="s">
        <v>7</v>
      </c>
      <c r="G98" s="5" t="s">
        <v>34</v>
      </c>
      <c r="H98" s="3" t="s">
        <v>10</v>
      </c>
      <c r="I98" s="4">
        <v>5</v>
      </c>
      <c r="J98" s="4">
        <v>5</v>
      </c>
      <c r="K98" t="s">
        <v>150</v>
      </c>
      <c r="L98">
        <v>1</v>
      </c>
      <c r="M98" t="str">
        <f>VLOOKUP(H98,eq!$A$3:$T$13,20,)</f>
        <v>0.0534*(X4^2.403)+0.0115*(X4^2.3484)+0.007*(X4^2.5406)+0.084*(X4^1.6695)</v>
      </c>
      <c r="N98" t="str">
        <f t="shared" si="2"/>
        <v>0.0534*(5^2.403)+0.0115*(5^2.3484)+0.007*(5^2.5406)+0.084*(5^1.6695)</v>
      </c>
      <c r="O98" cm="1">
        <f t="array" ref="O98">eval_tr_dbh*1000</f>
        <v>4708.7989898844462</v>
      </c>
      <c r="P98" t="str">
        <f t="shared" si="3"/>
        <v>GM_15_NA_B3</v>
      </c>
    </row>
    <row r="99" spans="1:16" x14ac:dyDescent="0.15">
      <c r="A99" s="5" t="s">
        <v>18</v>
      </c>
      <c r="B99" s="5">
        <v>15</v>
      </c>
      <c r="C99" s="5" t="s">
        <v>21</v>
      </c>
      <c r="D99" s="5" t="s">
        <v>32</v>
      </c>
      <c r="E99" s="7">
        <v>44741</v>
      </c>
      <c r="F99" s="5" t="s">
        <v>6</v>
      </c>
      <c r="G99" s="5" t="s">
        <v>36</v>
      </c>
      <c r="H99" s="3" t="s">
        <v>10</v>
      </c>
      <c r="I99" s="4">
        <v>4</v>
      </c>
      <c r="J99" s="4">
        <v>5</v>
      </c>
      <c r="K99" t="s">
        <v>150</v>
      </c>
      <c r="L99">
        <v>1</v>
      </c>
      <c r="M99" t="str">
        <f>VLOOKUP(H99,eq!$A$3:$T$13,20,)</f>
        <v>0.0534*(X4^2.403)+0.0115*(X4^2.3484)+0.007*(X4^2.5406)+0.084*(X4^1.6695)</v>
      </c>
      <c r="N99" t="str">
        <f t="shared" si="2"/>
        <v>0.0534*(5^2.403)+0.0115*(5^2.3484)+0.007*(5^2.5406)+0.084*(5^1.6695)</v>
      </c>
      <c r="O99" cm="1">
        <f t="array" ref="O99">eval_tr_dbh*1000</f>
        <v>4708.7989898844462</v>
      </c>
      <c r="P99" t="str">
        <f t="shared" si="3"/>
        <v>GM_15_NA_B2</v>
      </c>
    </row>
    <row r="100" spans="1:16" x14ac:dyDescent="0.15">
      <c r="A100" s="5" t="s">
        <v>18</v>
      </c>
      <c r="B100" s="5">
        <v>15</v>
      </c>
      <c r="C100" s="5" t="s">
        <v>21</v>
      </c>
      <c r="D100" s="5" t="s">
        <v>32</v>
      </c>
      <c r="E100" s="7">
        <v>44741</v>
      </c>
      <c r="F100" s="5" t="s">
        <v>5</v>
      </c>
      <c r="G100" s="5" t="s">
        <v>35</v>
      </c>
      <c r="H100" s="3" t="s">
        <v>10</v>
      </c>
      <c r="I100" s="4">
        <v>5.5</v>
      </c>
      <c r="J100" s="4">
        <v>5.25</v>
      </c>
      <c r="K100" t="s">
        <v>150</v>
      </c>
      <c r="L100">
        <v>1</v>
      </c>
      <c r="M100" t="str">
        <f>VLOOKUP(H100,eq!$A$3:$T$13,20,)</f>
        <v>0.0534*(X4^2.403)+0.0115*(X4^2.3484)+0.007*(X4^2.5406)+0.084*(X4^1.6695)</v>
      </c>
      <c r="N100" t="str">
        <f t="shared" si="2"/>
        <v>0.0534*(5.25^2.403)+0.0115*(5.25^2.3484)+0.007*(5.25^2.5406)+0.084*(5.25^1.6695)</v>
      </c>
      <c r="O100" cm="1">
        <f t="array" ref="O100">eval_tr_dbh*1000</f>
        <v>5247.4294354510921</v>
      </c>
      <c r="P100" t="str">
        <f t="shared" si="3"/>
        <v>GM_15_NA_B1</v>
      </c>
    </row>
    <row r="101" spans="1:16" x14ac:dyDescent="0.15">
      <c r="A101" s="5" t="s">
        <v>18</v>
      </c>
      <c r="B101" s="5">
        <v>15</v>
      </c>
      <c r="C101" s="5" t="s">
        <v>21</v>
      </c>
      <c r="D101" s="5" t="s">
        <v>32</v>
      </c>
      <c r="E101" s="7">
        <v>44741</v>
      </c>
      <c r="F101" s="5" t="s">
        <v>6</v>
      </c>
      <c r="G101" s="5" t="s">
        <v>36</v>
      </c>
      <c r="H101" s="3" t="s">
        <v>10</v>
      </c>
      <c r="I101" s="4">
        <v>5</v>
      </c>
      <c r="J101" s="4">
        <v>6.5</v>
      </c>
      <c r="K101" t="s">
        <v>150</v>
      </c>
      <c r="L101">
        <v>1</v>
      </c>
      <c r="M101" t="str">
        <f>VLOOKUP(H101,eq!$A$3:$T$13,20,)</f>
        <v>0.0534*(X4^2.403)+0.0115*(X4^2.3484)+0.007*(X4^2.5406)+0.084*(X4^1.6695)</v>
      </c>
      <c r="N101" t="str">
        <f t="shared" si="2"/>
        <v>0.0534*(6.5^2.403)+0.0115*(6.5^2.3484)+0.007*(6.5^2.5406)+0.084*(6.5^1.6695)</v>
      </c>
      <c r="O101" cm="1">
        <f t="array" ref="O101">eval_tr_dbh*1000</f>
        <v>8455.062918442316</v>
      </c>
      <c r="P101" t="str">
        <f t="shared" si="3"/>
        <v>GM_15_NA_B2</v>
      </c>
    </row>
    <row r="102" spans="1:16" x14ac:dyDescent="0.15">
      <c r="A102" s="5" t="s">
        <v>18</v>
      </c>
      <c r="B102" s="5">
        <v>15</v>
      </c>
      <c r="C102" s="5" t="s">
        <v>21</v>
      </c>
      <c r="D102" s="5" t="s">
        <v>32</v>
      </c>
      <c r="E102" s="7">
        <v>44741</v>
      </c>
      <c r="F102" s="5" t="s">
        <v>5</v>
      </c>
      <c r="G102" s="5" t="s">
        <v>35</v>
      </c>
      <c r="H102" s="3" t="s">
        <v>10</v>
      </c>
      <c r="I102" s="4">
        <v>7</v>
      </c>
      <c r="J102" s="4">
        <v>8</v>
      </c>
      <c r="K102" t="s">
        <v>150</v>
      </c>
      <c r="L102">
        <v>1</v>
      </c>
      <c r="M102" t="str">
        <f>VLOOKUP(H102,eq!$A$3:$T$13,20,)</f>
        <v>0.0534*(X4^2.403)+0.0115*(X4^2.3484)+0.007*(X4^2.5406)+0.084*(X4^1.6695)</v>
      </c>
      <c r="N102" t="str">
        <f t="shared" si="2"/>
        <v>0.0534*(8^2.403)+0.0115*(8^2.3484)+0.007*(8^2.5406)+0.084*(8^1.6695)</v>
      </c>
      <c r="O102" cm="1">
        <f t="array" ref="O102">eval_tr_dbh*1000</f>
        <v>13502.208090886372</v>
      </c>
      <c r="P102" t="str">
        <f t="shared" si="3"/>
        <v>GM_15_NA_B1</v>
      </c>
    </row>
    <row r="103" spans="1:16" x14ac:dyDescent="0.15">
      <c r="A103" s="5" t="s">
        <v>18</v>
      </c>
      <c r="B103" s="5">
        <v>15</v>
      </c>
      <c r="C103" s="5" t="s">
        <v>21</v>
      </c>
      <c r="D103" s="5" t="s">
        <v>32</v>
      </c>
      <c r="E103" s="7">
        <v>44741</v>
      </c>
      <c r="F103" s="5" t="s">
        <v>5</v>
      </c>
      <c r="G103" s="5" t="s">
        <v>35</v>
      </c>
      <c r="H103" s="3" t="s">
        <v>10</v>
      </c>
      <c r="I103" s="4">
        <v>7</v>
      </c>
      <c r="J103" s="4">
        <v>9</v>
      </c>
      <c r="K103" t="s">
        <v>150</v>
      </c>
      <c r="L103">
        <v>1</v>
      </c>
      <c r="M103" t="str">
        <f>VLOOKUP(H103,eq!$A$3:$T$13,20,)</f>
        <v>0.0534*(X4^2.403)+0.0115*(X4^2.3484)+0.007*(X4^2.5406)+0.084*(X4^1.6695)</v>
      </c>
      <c r="N103" t="str">
        <f t="shared" si="2"/>
        <v>0.0534*(9^2.403)+0.0115*(9^2.3484)+0.007*(9^2.5406)+0.084*(9^1.6695)</v>
      </c>
      <c r="O103" cm="1">
        <f t="array" ref="O103">eval_tr_dbh*1000</f>
        <v>17639.404679580217</v>
      </c>
      <c r="P103" t="str">
        <f t="shared" si="3"/>
        <v>GM_15_NA_B1</v>
      </c>
    </row>
    <row r="104" spans="1:16" x14ac:dyDescent="0.15">
      <c r="A104" s="5" t="s">
        <v>18</v>
      </c>
      <c r="B104" s="5">
        <v>15</v>
      </c>
      <c r="C104" s="5" t="s">
        <v>21</v>
      </c>
      <c r="D104" s="5" t="s">
        <v>32</v>
      </c>
      <c r="E104" s="7">
        <v>44741</v>
      </c>
      <c r="F104" s="5" t="s">
        <v>5</v>
      </c>
      <c r="G104" s="5" t="s">
        <v>35</v>
      </c>
      <c r="H104" s="3" t="s">
        <v>10</v>
      </c>
      <c r="I104" s="4">
        <v>5.5</v>
      </c>
      <c r="J104" s="4">
        <v>10</v>
      </c>
      <c r="K104" t="s">
        <v>150</v>
      </c>
      <c r="L104">
        <v>1</v>
      </c>
      <c r="M104" t="str">
        <f>VLOOKUP(H104,eq!$A$3:$T$13,20,)</f>
        <v>0.0534*(X4^2.403)+0.0115*(X4^2.3484)+0.007*(X4^2.5406)+0.084*(X4^1.6695)</v>
      </c>
      <c r="N104" t="str">
        <f t="shared" si="2"/>
        <v>0.0534*(10^2.403)+0.0115*(10^2.3484)+0.007*(10^2.5406)+0.084*(10^1.6695)</v>
      </c>
      <c r="O104" cm="1">
        <f t="array" ref="O104">eval_tr_dbh*1000</f>
        <v>22426.481047355999</v>
      </c>
      <c r="P104" t="str">
        <f t="shared" si="3"/>
        <v>GM_15_NA_B1</v>
      </c>
    </row>
    <row r="105" spans="1:16" x14ac:dyDescent="0.15">
      <c r="A105" s="5" t="s">
        <v>18</v>
      </c>
      <c r="B105" s="5">
        <v>15</v>
      </c>
      <c r="C105" s="5" t="s">
        <v>21</v>
      </c>
      <c r="D105" s="5" t="s">
        <v>32</v>
      </c>
      <c r="E105" s="7">
        <v>44741</v>
      </c>
      <c r="F105" s="5" t="s">
        <v>6</v>
      </c>
      <c r="G105" s="5" t="s">
        <v>36</v>
      </c>
      <c r="H105" s="3" t="s">
        <v>10</v>
      </c>
      <c r="I105" s="4">
        <v>12</v>
      </c>
      <c r="J105" s="4">
        <v>20</v>
      </c>
      <c r="K105" t="s">
        <v>150</v>
      </c>
      <c r="L105">
        <v>1</v>
      </c>
      <c r="M105" t="str">
        <f>VLOOKUP(H105,eq!$A$3:$T$13,20,)</f>
        <v>0.0534*(X4^2.403)+0.0115*(X4^2.3484)+0.007*(X4^2.5406)+0.084*(X4^1.6695)</v>
      </c>
      <c r="N105" t="str">
        <f t="shared" si="2"/>
        <v>0.0534*(20^2.403)+0.0115*(20^2.3484)+0.007*(20^2.5406)+0.084*(20^1.6695)</v>
      </c>
      <c r="O105" cm="1">
        <f t="array" ref="O105">eval_tr_dbh*1000</f>
        <v>111124.02061331196</v>
      </c>
      <c r="P105" t="str">
        <f t="shared" si="3"/>
        <v>GM_15_NA_B2</v>
      </c>
    </row>
    <row r="106" spans="1:16" x14ac:dyDescent="0.15">
      <c r="A106" s="5" t="s">
        <v>18</v>
      </c>
      <c r="B106" s="5">
        <v>15</v>
      </c>
      <c r="C106" s="5" t="s">
        <v>21</v>
      </c>
      <c r="D106" s="5" t="s">
        <v>32</v>
      </c>
      <c r="E106" s="7">
        <v>44741</v>
      </c>
      <c r="F106" s="5" t="s">
        <v>9</v>
      </c>
      <c r="G106" s="5" t="s">
        <v>37</v>
      </c>
      <c r="H106" s="5" t="s">
        <v>21</v>
      </c>
      <c r="I106" s="4" t="s">
        <v>4</v>
      </c>
      <c r="J106" s="4" t="s">
        <v>4</v>
      </c>
      <c r="K106" t="s">
        <v>150</v>
      </c>
      <c r="L106">
        <v>1</v>
      </c>
      <c r="M106" t="e">
        <f>VLOOKUP(H106,eq!$A$3:$T$13,20,)</f>
        <v>#N/A</v>
      </c>
      <c r="N106" t="e">
        <f t="shared" si="2"/>
        <v>#N/A</v>
      </c>
      <c r="O106" t="e" cm="1">
        <f t="array" ref="O106">eval_tr_dbh*1000</f>
        <v>#N/A</v>
      </c>
      <c r="P106" t="str">
        <f t="shared" si="3"/>
        <v>GM_15_NA_B4</v>
      </c>
    </row>
    <row r="107" spans="1:16" x14ac:dyDescent="0.15">
      <c r="A107" s="5" t="s">
        <v>18</v>
      </c>
      <c r="B107" s="5">
        <v>16</v>
      </c>
      <c r="C107" s="5" t="s">
        <v>21</v>
      </c>
      <c r="D107" s="5" t="s">
        <v>32</v>
      </c>
      <c r="E107" s="7">
        <v>44756</v>
      </c>
      <c r="F107" s="5" t="s">
        <v>5</v>
      </c>
      <c r="G107" s="5" t="s">
        <v>35</v>
      </c>
      <c r="H107" s="3" t="s">
        <v>10</v>
      </c>
      <c r="I107" s="4">
        <v>5</v>
      </c>
      <c r="J107" s="4">
        <v>5.5</v>
      </c>
      <c r="K107" t="s">
        <v>153</v>
      </c>
      <c r="L107">
        <v>1</v>
      </c>
      <c r="M107" t="str">
        <f>VLOOKUP(H107,eq!$A$3:$T$13,20,)</f>
        <v>0.0534*(X4^2.403)+0.0115*(X4^2.3484)+0.007*(X4^2.5406)+0.084*(X4^1.6695)</v>
      </c>
      <c r="N107" t="str">
        <f t="shared" si="2"/>
        <v>0.0534*(5.5^2.403)+0.0115*(5.5^2.3484)+0.007*(5.5^2.5406)+0.084*(5.5^1.6695)</v>
      </c>
      <c r="O107" cm="1">
        <f t="array" ref="O107">eval_tr_dbh*1000</f>
        <v>5819.6547415251471</v>
      </c>
      <c r="P107" t="str">
        <f t="shared" si="3"/>
        <v>GM_16_NA_B1</v>
      </c>
    </row>
    <row r="108" spans="1:16" x14ac:dyDescent="0.15">
      <c r="A108" s="5" t="s">
        <v>18</v>
      </c>
      <c r="B108" s="5">
        <v>16</v>
      </c>
      <c r="C108" s="5" t="s">
        <v>21</v>
      </c>
      <c r="D108" s="5" t="s">
        <v>32</v>
      </c>
      <c r="E108" s="7">
        <v>44756</v>
      </c>
      <c r="F108" s="5" t="s">
        <v>5</v>
      </c>
      <c r="G108" s="5" t="s">
        <v>35</v>
      </c>
      <c r="H108" s="3" t="s">
        <v>10</v>
      </c>
      <c r="I108" s="4">
        <v>4</v>
      </c>
      <c r="J108" s="4">
        <v>6.5</v>
      </c>
      <c r="K108" t="s">
        <v>153</v>
      </c>
      <c r="L108">
        <v>1</v>
      </c>
      <c r="M108" t="str">
        <f>VLOOKUP(H108,eq!$A$3:$T$13,20,)</f>
        <v>0.0534*(X4^2.403)+0.0115*(X4^2.3484)+0.007*(X4^2.5406)+0.084*(X4^1.6695)</v>
      </c>
      <c r="N108" t="str">
        <f t="shared" si="2"/>
        <v>0.0534*(6.5^2.403)+0.0115*(6.5^2.3484)+0.007*(6.5^2.5406)+0.084*(6.5^1.6695)</v>
      </c>
      <c r="O108" cm="1">
        <f t="array" ref="O108">eval_tr_dbh*1000</f>
        <v>8455.062918442316</v>
      </c>
      <c r="P108" t="str">
        <f t="shared" si="3"/>
        <v>GM_16_NA_B1</v>
      </c>
    </row>
    <row r="109" spans="1:16" x14ac:dyDescent="0.15">
      <c r="A109" s="5" t="s">
        <v>18</v>
      </c>
      <c r="B109" s="5">
        <v>16</v>
      </c>
      <c r="C109" s="5" t="s">
        <v>21</v>
      </c>
      <c r="D109" s="5" t="s">
        <v>32</v>
      </c>
      <c r="E109" s="7">
        <v>44756</v>
      </c>
      <c r="F109" s="5" t="s">
        <v>5</v>
      </c>
      <c r="G109" s="5" t="s">
        <v>35</v>
      </c>
      <c r="H109" s="5" t="s">
        <v>14</v>
      </c>
      <c r="I109" s="4">
        <v>7</v>
      </c>
      <c r="J109" s="4">
        <v>6.5</v>
      </c>
      <c r="K109" t="s">
        <v>153</v>
      </c>
      <c r="L109">
        <v>1</v>
      </c>
      <c r="M109" t="str">
        <f>VLOOKUP(H109,eq!$A$3:$T$13,20,)</f>
        <v>0.0941*(X4^2.3491)+0.0323*(X4^2.0761)+0.0448*(X4^1.9771)+0.0538*(X4^1.3584)</v>
      </c>
      <c r="N109" t="str">
        <f t="shared" si="2"/>
        <v>0.0941*(6.5^2.3491)+0.0323*(6.5^2.0761)+0.0448*(6.5^1.9771)+0.0538*(6.5^1.3584)</v>
      </c>
      <c r="O109" cm="1">
        <f t="array" ref="O109">eval_tr_dbh*1000</f>
        <v>11712.906150440074</v>
      </c>
      <c r="P109" t="str">
        <f t="shared" si="3"/>
        <v>GM_16_NA_B1</v>
      </c>
    </row>
    <row r="110" spans="1:16" x14ac:dyDescent="0.15">
      <c r="A110" s="5" t="s">
        <v>18</v>
      </c>
      <c r="B110" s="5">
        <v>16</v>
      </c>
      <c r="C110" s="5" t="s">
        <v>21</v>
      </c>
      <c r="D110" s="5" t="s">
        <v>32</v>
      </c>
      <c r="E110" s="7">
        <v>44756</v>
      </c>
      <c r="F110" s="6" t="s">
        <v>7</v>
      </c>
      <c r="G110" s="6" t="s">
        <v>34</v>
      </c>
      <c r="H110" s="3" t="s">
        <v>10</v>
      </c>
      <c r="I110" s="2">
        <v>8</v>
      </c>
      <c r="J110" s="2">
        <v>7.5</v>
      </c>
      <c r="K110" t="s">
        <v>153</v>
      </c>
      <c r="L110">
        <v>1</v>
      </c>
      <c r="M110" t="str">
        <f>VLOOKUP(H110,eq!$A$3:$T$13,20,)</f>
        <v>0.0534*(X4^2.403)+0.0115*(X4^2.3484)+0.007*(X4^2.5406)+0.084*(X4^1.6695)</v>
      </c>
      <c r="N110" t="str">
        <f t="shared" si="2"/>
        <v>0.0534*(7.5^2.403)+0.0115*(7.5^2.3484)+0.007*(7.5^2.5406)+0.084*(7.5^1.6695)</v>
      </c>
      <c r="O110" cm="1">
        <f t="array" ref="O110">eval_tr_dbh*1000</f>
        <v>11668.900257010284</v>
      </c>
      <c r="P110" t="str">
        <f t="shared" si="3"/>
        <v>GM_16_NA_B3</v>
      </c>
    </row>
    <row r="111" spans="1:16" x14ac:dyDescent="0.15">
      <c r="A111" s="5" t="s">
        <v>18</v>
      </c>
      <c r="B111" s="5">
        <v>16</v>
      </c>
      <c r="C111" s="5" t="s">
        <v>21</v>
      </c>
      <c r="D111" s="5" t="s">
        <v>32</v>
      </c>
      <c r="E111" s="7">
        <v>44756</v>
      </c>
      <c r="F111" s="6" t="s">
        <v>9</v>
      </c>
      <c r="G111" s="6" t="s">
        <v>37</v>
      </c>
      <c r="H111" s="6" t="s">
        <v>10</v>
      </c>
      <c r="I111" s="2">
        <v>8</v>
      </c>
      <c r="J111" s="2">
        <v>8.75</v>
      </c>
      <c r="K111" t="s">
        <v>153</v>
      </c>
      <c r="L111">
        <v>1</v>
      </c>
      <c r="M111" t="str">
        <f>VLOOKUP(H111,eq!$A$3:$T$13,20,)</f>
        <v>0.0534*(X4^2.403)+0.0115*(X4^2.3484)+0.007*(X4^2.5406)+0.084*(X4^1.6695)</v>
      </c>
      <c r="N111" t="str">
        <f t="shared" si="2"/>
        <v>0.0534*(8.75^2.403)+0.0115*(8.75^2.3484)+0.007*(8.75^2.5406)+0.084*(8.75^1.6695)</v>
      </c>
      <c r="O111" cm="1">
        <f t="array" ref="O111">eval_tr_dbh*1000</f>
        <v>16545.211071519803</v>
      </c>
      <c r="P111" t="str">
        <f t="shared" si="3"/>
        <v>GM_16_NA_B4</v>
      </c>
    </row>
    <row r="112" spans="1:16" x14ac:dyDescent="0.15">
      <c r="A112" s="5" t="s">
        <v>18</v>
      </c>
      <c r="B112" s="5">
        <v>16</v>
      </c>
      <c r="C112" s="5" t="s">
        <v>21</v>
      </c>
      <c r="D112" s="5" t="s">
        <v>32</v>
      </c>
      <c r="E112" s="7">
        <v>44756</v>
      </c>
      <c r="F112" s="6" t="s">
        <v>7</v>
      </c>
      <c r="G112" s="6" t="s">
        <v>34</v>
      </c>
      <c r="H112" s="3" t="s">
        <v>10</v>
      </c>
      <c r="I112" s="2">
        <v>7</v>
      </c>
      <c r="J112" s="2">
        <v>9.25</v>
      </c>
      <c r="K112" t="s">
        <v>153</v>
      </c>
      <c r="L112">
        <v>1</v>
      </c>
      <c r="M112" t="str">
        <f>VLOOKUP(H112,eq!$A$3:$T$13,20,)</f>
        <v>0.0534*(X4^2.403)+0.0115*(X4^2.3484)+0.007*(X4^2.5406)+0.084*(X4^1.6695)</v>
      </c>
      <c r="N112" t="str">
        <f t="shared" si="2"/>
        <v>0.0534*(9.25^2.403)+0.0115*(9.25^2.3484)+0.007*(9.25^2.5406)+0.084*(9.25^1.6695)</v>
      </c>
      <c r="O112" cm="1">
        <f t="array" ref="O112">eval_tr_dbh*1000</f>
        <v>18774.22332793858</v>
      </c>
      <c r="P112" t="str">
        <f t="shared" si="3"/>
        <v>GM_16_NA_B3</v>
      </c>
    </row>
    <row r="113" spans="1:16" x14ac:dyDescent="0.15">
      <c r="A113" s="5" t="s">
        <v>18</v>
      </c>
      <c r="B113" s="5">
        <v>16</v>
      </c>
      <c r="C113" s="5" t="s">
        <v>21</v>
      </c>
      <c r="D113" s="5" t="s">
        <v>32</v>
      </c>
      <c r="E113" s="7">
        <v>44756</v>
      </c>
      <c r="F113" s="6" t="s">
        <v>6</v>
      </c>
      <c r="G113" s="6" t="s">
        <v>36</v>
      </c>
      <c r="H113" s="3" t="s">
        <v>10</v>
      </c>
      <c r="I113" s="2">
        <v>8.5</v>
      </c>
      <c r="J113" s="2">
        <v>10.5</v>
      </c>
      <c r="K113" t="s">
        <v>153</v>
      </c>
      <c r="L113">
        <v>1</v>
      </c>
      <c r="M113" t="str">
        <f>VLOOKUP(H113,eq!$A$3:$T$13,20,)</f>
        <v>0.0534*(X4^2.403)+0.0115*(X4^2.3484)+0.007*(X4^2.5406)+0.084*(X4^1.6695)</v>
      </c>
      <c r="N113" t="str">
        <f t="shared" si="2"/>
        <v>0.0534*(10.5^2.403)+0.0115*(10.5^2.3484)+0.007*(10.5^2.5406)+0.084*(10.5^1.6695)</v>
      </c>
      <c r="O113" cm="1">
        <f t="array" ref="O113">eval_tr_dbh*1000</f>
        <v>25071.774854189476</v>
      </c>
      <c r="P113" t="str">
        <f t="shared" si="3"/>
        <v>GM_16_NA_B2</v>
      </c>
    </row>
    <row r="114" spans="1:16" x14ac:dyDescent="0.15">
      <c r="A114" s="5" t="s">
        <v>18</v>
      </c>
      <c r="B114" s="5">
        <v>16</v>
      </c>
      <c r="C114" s="5" t="s">
        <v>21</v>
      </c>
      <c r="D114" s="5" t="s">
        <v>32</v>
      </c>
      <c r="E114" s="7">
        <v>44756</v>
      </c>
      <c r="F114" s="6" t="s">
        <v>7</v>
      </c>
      <c r="G114" s="6" t="s">
        <v>34</v>
      </c>
      <c r="H114" s="3" t="s">
        <v>10</v>
      </c>
      <c r="I114" s="2">
        <v>8</v>
      </c>
      <c r="J114" s="2">
        <v>11</v>
      </c>
      <c r="K114" t="s">
        <v>153</v>
      </c>
      <c r="L114">
        <v>1</v>
      </c>
      <c r="M114" t="str">
        <f>VLOOKUP(H114,eq!$A$3:$T$13,20,)</f>
        <v>0.0534*(X4^2.403)+0.0115*(X4^2.3484)+0.007*(X4^2.5406)+0.084*(X4^1.6695)</v>
      </c>
      <c r="N114" t="str">
        <f t="shared" si="2"/>
        <v>0.0534*(11^2.403)+0.0115*(11^2.3484)+0.007*(11^2.5406)+0.084*(11^1.6695)</v>
      </c>
      <c r="O114" cm="1">
        <f t="array" ref="O114">eval_tr_dbh*1000</f>
        <v>27889.025811586031</v>
      </c>
      <c r="P114" t="str">
        <f t="shared" si="3"/>
        <v>GM_16_NA_B3</v>
      </c>
    </row>
    <row r="115" spans="1:16" x14ac:dyDescent="0.15">
      <c r="A115" s="5" t="s">
        <v>18</v>
      </c>
      <c r="B115" s="5">
        <v>16</v>
      </c>
      <c r="C115" s="5" t="s">
        <v>21</v>
      </c>
      <c r="D115" s="5" t="s">
        <v>32</v>
      </c>
      <c r="E115" s="7">
        <v>44756</v>
      </c>
      <c r="F115" s="6" t="s">
        <v>9</v>
      </c>
      <c r="G115" s="6" t="s">
        <v>37</v>
      </c>
      <c r="H115" s="3" t="s">
        <v>10</v>
      </c>
      <c r="I115" s="2">
        <v>8</v>
      </c>
      <c r="J115" s="2">
        <v>11.25</v>
      </c>
      <c r="K115" t="s">
        <v>153</v>
      </c>
      <c r="L115">
        <v>1</v>
      </c>
      <c r="M115" t="str">
        <f>VLOOKUP(H115,eq!$A$3:$T$13,20,)</f>
        <v>0.0534*(X4^2.403)+0.0115*(X4^2.3484)+0.007*(X4^2.5406)+0.084*(X4^1.6695)</v>
      </c>
      <c r="N115" t="str">
        <f t="shared" si="2"/>
        <v>0.0534*(11.25^2.403)+0.0115*(11.25^2.3484)+0.007*(11.25^2.5406)+0.084*(11.25^1.6695)</v>
      </c>
      <c r="O115" cm="1">
        <f t="array" ref="O115">eval_tr_dbh*1000</f>
        <v>29363.073174310335</v>
      </c>
      <c r="P115" t="str">
        <f t="shared" si="3"/>
        <v>GM_16_NA_B4</v>
      </c>
    </row>
    <row r="116" spans="1:16" x14ac:dyDescent="0.15">
      <c r="A116" s="5" t="s">
        <v>18</v>
      </c>
      <c r="B116" s="5">
        <v>16</v>
      </c>
      <c r="C116" s="5" t="s">
        <v>21</v>
      </c>
      <c r="D116" s="5" t="s">
        <v>32</v>
      </c>
      <c r="E116" s="7">
        <v>44756</v>
      </c>
      <c r="F116" s="6" t="s">
        <v>7</v>
      </c>
      <c r="G116" s="6" t="s">
        <v>34</v>
      </c>
      <c r="H116" s="3" t="s">
        <v>10</v>
      </c>
      <c r="I116" s="2">
        <v>9</v>
      </c>
      <c r="J116" s="2">
        <v>11.25</v>
      </c>
      <c r="K116" t="s">
        <v>153</v>
      </c>
      <c r="L116">
        <v>1</v>
      </c>
      <c r="M116" t="str">
        <f>VLOOKUP(H116,eq!$A$3:$T$13,20,)</f>
        <v>0.0534*(X4^2.403)+0.0115*(X4^2.3484)+0.007*(X4^2.5406)+0.084*(X4^1.6695)</v>
      </c>
      <c r="N116" t="str">
        <f t="shared" si="2"/>
        <v>0.0534*(11.25^2.403)+0.0115*(11.25^2.3484)+0.007*(11.25^2.5406)+0.084*(11.25^1.6695)</v>
      </c>
      <c r="O116" cm="1">
        <f t="array" ref="O116">eval_tr_dbh*1000</f>
        <v>29363.073174310335</v>
      </c>
      <c r="P116" t="str">
        <f t="shared" si="3"/>
        <v>GM_16_NA_B3</v>
      </c>
    </row>
    <row r="117" spans="1:16" x14ac:dyDescent="0.15">
      <c r="A117" s="5" t="s">
        <v>18</v>
      </c>
      <c r="B117" s="5">
        <v>16</v>
      </c>
      <c r="C117" s="5" t="s">
        <v>21</v>
      </c>
      <c r="D117" s="5" t="s">
        <v>32</v>
      </c>
      <c r="E117" s="7">
        <v>44756</v>
      </c>
      <c r="F117" s="6" t="s">
        <v>7</v>
      </c>
      <c r="G117" s="6" t="s">
        <v>34</v>
      </c>
      <c r="H117" s="3" t="s">
        <v>10</v>
      </c>
      <c r="I117" s="2">
        <v>8.5</v>
      </c>
      <c r="J117" s="2">
        <v>11.5</v>
      </c>
      <c r="K117" t="s">
        <v>153</v>
      </c>
      <c r="L117">
        <v>1</v>
      </c>
      <c r="M117" t="str">
        <f>VLOOKUP(H117,eq!$A$3:$T$13,20,)</f>
        <v>0.0534*(X4^2.403)+0.0115*(X4^2.3484)+0.007*(X4^2.5406)+0.084*(X4^1.6695)</v>
      </c>
      <c r="N117" t="str">
        <f t="shared" si="2"/>
        <v>0.0534*(11.5^2.403)+0.0115*(11.5^2.3484)+0.007*(11.5^2.5406)+0.084*(11.5^1.6695)</v>
      </c>
      <c r="O117" cm="1">
        <f t="array" ref="O117">eval_tr_dbh*1000</f>
        <v>30881.226195893552</v>
      </c>
      <c r="P117" t="str">
        <f t="shared" si="3"/>
        <v>GM_16_NA_B3</v>
      </c>
    </row>
    <row r="118" spans="1:16" x14ac:dyDescent="0.15">
      <c r="A118" s="5" t="s">
        <v>18</v>
      </c>
      <c r="B118" s="5">
        <v>16</v>
      </c>
      <c r="C118" s="5" t="s">
        <v>21</v>
      </c>
      <c r="D118" s="5" t="s">
        <v>32</v>
      </c>
      <c r="E118" s="7">
        <v>44756</v>
      </c>
      <c r="F118" s="6" t="s">
        <v>7</v>
      </c>
      <c r="G118" s="6" t="s">
        <v>34</v>
      </c>
      <c r="H118" s="3" t="s">
        <v>10</v>
      </c>
      <c r="I118" s="2">
        <v>9</v>
      </c>
      <c r="J118" s="2">
        <v>11.5</v>
      </c>
      <c r="K118" t="s">
        <v>153</v>
      </c>
      <c r="L118">
        <v>1</v>
      </c>
      <c r="M118" t="str">
        <f>VLOOKUP(H118,eq!$A$3:$T$13,20,)</f>
        <v>0.0534*(X4^2.403)+0.0115*(X4^2.3484)+0.007*(X4^2.5406)+0.084*(X4^1.6695)</v>
      </c>
      <c r="N118" t="str">
        <f t="shared" si="2"/>
        <v>0.0534*(11.5^2.403)+0.0115*(11.5^2.3484)+0.007*(11.5^2.5406)+0.084*(11.5^1.6695)</v>
      </c>
      <c r="O118" cm="1">
        <f t="array" ref="O118">eval_tr_dbh*1000</f>
        <v>30881.226195893552</v>
      </c>
      <c r="P118" t="str">
        <f t="shared" si="3"/>
        <v>GM_16_NA_B3</v>
      </c>
    </row>
    <row r="119" spans="1:16" x14ac:dyDescent="0.15">
      <c r="A119" s="5" t="s">
        <v>18</v>
      </c>
      <c r="B119" s="5">
        <v>16</v>
      </c>
      <c r="C119" s="5" t="s">
        <v>21</v>
      </c>
      <c r="D119" s="5" t="s">
        <v>32</v>
      </c>
      <c r="E119" s="7">
        <v>44756</v>
      </c>
      <c r="F119" s="6" t="s">
        <v>7</v>
      </c>
      <c r="G119" s="6" t="s">
        <v>34</v>
      </c>
      <c r="H119" s="3" t="s">
        <v>10</v>
      </c>
      <c r="I119" s="2">
        <v>10</v>
      </c>
      <c r="J119" s="2">
        <v>11.75</v>
      </c>
      <c r="K119" t="s">
        <v>153</v>
      </c>
      <c r="L119">
        <v>1</v>
      </c>
      <c r="M119" t="str">
        <f>VLOOKUP(H119,eq!$A$3:$T$13,20,)</f>
        <v>0.0534*(X4^2.403)+0.0115*(X4^2.3484)+0.007*(X4^2.5406)+0.084*(X4^1.6695)</v>
      </c>
      <c r="N119" t="str">
        <f t="shared" si="2"/>
        <v>0.0534*(11.75^2.403)+0.0115*(11.75^2.3484)+0.007*(11.75^2.5406)+0.084*(11.75^1.6695)</v>
      </c>
      <c r="O119" cm="1">
        <f t="array" ref="O119">eval_tr_dbh*1000</f>
        <v>32443.847711060924</v>
      </c>
      <c r="P119" t="str">
        <f t="shared" si="3"/>
        <v>GM_16_NA_B3</v>
      </c>
    </row>
    <row r="120" spans="1:16" x14ac:dyDescent="0.15">
      <c r="A120" s="5" t="s">
        <v>18</v>
      </c>
      <c r="B120" s="5">
        <v>16</v>
      </c>
      <c r="C120" s="5" t="s">
        <v>21</v>
      </c>
      <c r="D120" s="5" t="s">
        <v>32</v>
      </c>
      <c r="E120" s="7">
        <v>44756</v>
      </c>
      <c r="F120" s="5" t="s">
        <v>5</v>
      </c>
      <c r="G120" s="5" t="s">
        <v>35</v>
      </c>
      <c r="H120" s="3" t="s">
        <v>10</v>
      </c>
      <c r="I120" s="4">
        <v>7</v>
      </c>
      <c r="J120" s="4">
        <v>13</v>
      </c>
      <c r="K120" t="s">
        <v>153</v>
      </c>
      <c r="L120">
        <v>1</v>
      </c>
      <c r="M120" t="str">
        <f>VLOOKUP(H120,eq!$A$3:$T$13,20,)</f>
        <v>0.0534*(X4^2.403)+0.0115*(X4^2.3484)+0.007*(X4^2.5406)+0.084*(X4^1.6695)</v>
      </c>
      <c r="N120" t="str">
        <f t="shared" si="2"/>
        <v>0.0534*(13^2.403)+0.0115*(13^2.3484)+0.007*(13^2.5406)+0.084*(13^1.6695)</v>
      </c>
      <c r="O120" cm="1">
        <f t="array" ref="O120">eval_tr_dbh*1000</f>
        <v>40936.394779230584</v>
      </c>
      <c r="P120" t="str">
        <f t="shared" si="3"/>
        <v>GM_16_NA_B1</v>
      </c>
    </row>
    <row r="121" spans="1:16" x14ac:dyDescent="0.15">
      <c r="A121" s="5" t="s">
        <v>18</v>
      </c>
      <c r="B121" s="5">
        <v>16</v>
      </c>
      <c r="C121" s="5" t="s">
        <v>21</v>
      </c>
      <c r="D121" s="5" t="s">
        <v>32</v>
      </c>
      <c r="E121" s="7">
        <v>44756</v>
      </c>
      <c r="F121" s="6" t="s">
        <v>9</v>
      </c>
      <c r="G121" s="6" t="s">
        <v>37</v>
      </c>
      <c r="H121" s="3" t="s">
        <v>10</v>
      </c>
      <c r="I121" s="2">
        <v>9</v>
      </c>
      <c r="J121" s="2">
        <v>13</v>
      </c>
      <c r="K121" t="s">
        <v>153</v>
      </c>
      <c r="L121">
        <v>1</v>
      </c>
      <c r="M121" t="str">
        <f>VLOOKUP(H121,eq!$A$3:$T$13,20,)</f>
        <v>0.0534*(X4^2.403)+0.0115*(X4^2.3484)+0.007*(X4^2.5406)+0.084*(X4^1.6695)</v>
      </c>
      <c r="N121" t="str">
        <f t="shared" si="2"/>
        <v>0.0534*(13^2.403)+0.0115*(13^2.3484)+0.007*(13^2.5406)+0.084*(13^1.6695)</v>
      </c>
      <c r="O121" cm="1">
        <f t="array" ref="O121">eval_tr_dbh*1000</f>
        <v>40936.394779230584</v>
      </c>
      <c r="P121" t="str">
        <f t="shared" si="3"/>
        <v>GM_16_NA_B4</v>
      </c>
    </row>
    <row r="122" spans="1:16" x14ac:dyDescent="0.15">
      <c r="A122" s="5" t="s">
        <v>18</v>
      </c>
      <c r="B122" s="5">
        <v>16</v>
      </c>
      <c r="C122" s="5" t="s">
        <v>21</v>
      </c>
      <c r="D122" s="5" t="s">
        <v>32</v>
      </c>
      <c r="E122" s="7">
        <v>44756</v>
      </c>
      <c r="F122" s="5" t="s">
        <v>5</v>
      </c>
      <c r="G122" s="5" t="s">
        <v>35</v>
      </c>
      <c r="H122" s="3" t="s">
        <v>10</v>
      </c>
      <c r="I122" s="4">
        <v>10</v>
      </c>
      <c r="J122" s="4">
        <v>13.5</v>
      </c>
      <c r="K122" t="s">
        <v>153</v>
      </c>
      <c r="L122">
        <v>1</v>
      </c>
      <c r="M122" t="str">
        <f>VLOOKUP(H122,eq!$A$3:$T$13,20,)</f>
        <v>0.0534*(X4^2.403)+0.0115*(X4^2.3484)+0.007*(X4^2.5406)+0.084*(X4^1.6695)</v>
      </c>
      <c r="N122" t="str">
        <f t="shared" si="2"/>
        <v>0.0534*(13.5^2.403)+0.0115*(13.5^2.3484)+0.007*(13.5^2.5406)+0.084*(13.5^1.6695)</v>
      </c>
      <c r="O122" cm="1">
        <f t="array" ref="O122">eval_tr_dbh*1000</f>
        <v>44656.943186176934</v>
      </c>
      <c r="P122" t="str">
        <f t="shared" si="3"/>
        <v>GM_16_NA_B1</v>
      </c>
    </row>
    <row r="123" spans="1:16" x14ac:dyDescent="0.15">
      <c r="A123" s="5" t="s">
        <v>18</v>
      </c>
      <c r="B123" s="5">
        <v>16</v>
      </c>
      <c r="C123" s="5" t="s">
        <v>21</v>
      </c>
      <c r="D123" s="5" t="s">
        <v>32</v>
      </c>
      <c r="E123" s="7">
        <v>44756</v>
      </c>
      <c r="F123" s="6" t="s">
        <v>9</v>
      </c>
      <c r="G123" s="6" t="s">
        <v>37</v>
      </c>
      <c r="H123" s="3" t="s">
        <v>10</v>
      </c>
      <c r="I123" s="2">
        <v>10</v>
      </c>
      <c r="J123" s="2">
        <v>14</v>
      </c>
      <c r="K123" t="s">
        <v>153</v>
      </c>
      <c r="L123">
        <v>1</v>
      </c>
      <c r="M123" t="str">
        <f>VLOOKUP(H123,eq!$A$3:$T$13,20,)</f>
        <v>0.0534*(X4^2.403)+0.0115*(X4^2.3484)+0.007*(X4^2.5406)+0.084*(X4^1.6695)</v>
      </c>
      <c r="N123" t="str">
        <f t="shared" si="2"/>
        <v>0.0534*(14^2.403)+0.0115*(14^2.3484)+0.007*(14^2.5406)+0.084*(14^1.6695)</v>
      </c>
      <c r="O123" cm="1">
        <f t="array" ref="O123">eval_tr_dbh*1000</f>
        <v>48566.408743122432</v>
      </c>
      <c r="P123" t="str">
        <f t="shared" si="3"/>
        <v>GM_16_NA_B4</v>
      </c>
    </row>
    <row r="124" spans="1:16" x14ac:dyDescent="0.15">
      <c r="A124" s="5" t="s">
        <v>18</v>
      </c>
      <c r="B124" s="5">
        <v>16</v>
      </c>
      <c r="C124" s="5" t="s">
        <v>21</v>
      </c>
      <c r="D124" s="5" t="s">
        <v>32</v>
      </c>
      <c r="E124" s="7">
        <v>44756</v>
      </c>
      <c r="F124" s="6" t="s">
        <v>6</v>
      </c>
      <c r="G124" s="6" t="s">
        <v>36</v>
      </c>
      <c r="H124" s="3" t="s">
        <v>10</v>
      </c>
      <c r="I124" s="2">
        <v>12</v>
      </c>
      <c r="J124" s="2">
        <v>20.5</v>
      </c>
      <c r="K124" t="s">
        <v>153</v>
      </c>
      <c r="L124">
        <v>1</v>
      </c>
      <c r="M124" t="str">
        <f>VLOOKUP(H124,eq!$A$3:$T$13,20,)</f>
        <v>0.0534*(X4^2.403)+0.0115*(X4^2.3484)+0.007*(X4^2.5406)+0.084*(X4^1.6695)</v>
      </c>
      <c r="N124" t="str">
        <f t="shared" si="2"/>
        <v>0.0534*(20.5^2.403)+0.0115*(20.5^2.3484)+0.007*(20.5^2.5406)+0.084*(20.5^1.6695)</v>
      </c>
      <c r="O124" cm="1">
        <f t="array" ref="O124">eval_tr_dbh*1000</f>
        <v>117711.89058085489</v>
      </c>
      <c r="P124" t="str">
        <f t="shared" si="3"/>
        <v>GM_16_NA_B2</v>
      </c>
    </row>
    <row r="125" spans="1:16" x14ac:dyDescent="0.15">
      <c r="A125" s="5" t="s">
        <v>18</v>
      </c>
      <c r="B125" s="5">
        <v>17</v>
      </c>
      <c r="C125" s="5" t="s">
        <v>21</v>
      </c>
      <c r="D125" s="5" t="s">
        <v>32</v>
      </c>
      <c r="E125" s="7">
        <v>44748</v>
      </c>
      <c r="F125" s="5" t="s">
        <v>9</v>
      </c>
      <c r="G125" s="5" t="s">
        <v>37</v>
      </c>
      <c r="H125" s="3" t="s">
        <v>10</v>
      </c>
      <c r="I125" s="4">
        <v>3.2</v>
      </c>
      <c r="J125" s="4">
        <v>3.6</v>
      </c>
      <c r="K125" t="s">
        <v>163</v>
      </c>
      <c r="L125">
        <v>2</v>
      </c>
      <c r="M125" t="str">
        <f>VLOOKUP(H125,eq!$A$3:$T$13,20,)</f>
        <v>0.0534*(X4^2.403)+0.0115*(X4^2.3484)+0.007*(X4^2.5406)+0.084*(X4^1.6695)</v>
      </c>
      <c r="N125" t="str">
        <f t="shared" si="2"/>
        <v>0.0534*(3.6^2.403)+0.0115*(3.6^2.3484)+0.007*(3.6^2.5406)+0.084*(3.6^1.6695)</v>
      </c>
      <c r="O125" cm="1">
        <f t="array" ref="O125">eval_tr_dbh*1000</f>
        <v>2286.761293133959</v>
      </c>
      <c r="P125" t="str">
        <f t="shared" si="3"/>
        <v>GM_17_NA_B4</v>
      </c>
    </row>
    <row r="126" spans="1:16" x14ac:dyDescent="0.15">
      <c r="A126" s="5" t="s">
        <v>18</v>
      </c>
      <c r="B126" s="5">
        <v>17</v>
      </c>
      <c r="C126" s="5" t="s">
        <v>21</v>
      </c>
      <c r="D126" s="5" t="s">
        <v>32</v>
      </c>
      <c r="E126" s="7">
        <v>44748</v>
      </c>
      <c r="F126" s="5" t="s">
        <v>7</v>
      </c>
      <c r="G126" s="5" t="s">
        <v>34</v>
      </c>
      <c r="H126" s="3" t="s">
        <v>10</v>
      </c>
      <c r="I126" s="4">
        <v>3.3</v>
      </c>
      <c r="J126" s="4">
        <v>4.0999999999999996</v>
      </c>
      <c r="K126" t="s">
        <v>163</v>
      </c>
      <c r="L126">
        <v>2</v>
      </c>
      <c r="M126" t="str">
        <f>VLOOKUP(H126,eq!$A$3:$T$13,20,)</f>
        <v>0.0534*(X4^2.403)+0.0115*(X4^2.3484)+0.007*(X4^2.5406)+0.084*(X4^1.6695)</v>
      </c>
      <c r="N126" t="str">
        <f t="shared" si="2"/>
        <v>0.0534*(4.1^2.403)+0.0115*(4.1^2.3484)+0.007*(4.1^2.5406)+0.084*(4.1^1.6695)</v>
      </c>
      <c r="O126" cm="1">
        <f t="array" ref="O126">eval_tr_dbh*1000</f>
        <v>3039.2512612293908</v>
      </c>
      <c r="P126" t="str">
        <f t="shared" si="3"/>
        <v>GM_17_NA_B3</v>
      </c>
    </row>
    <row r="127" spans="1:16" x14ac:dyDescent="0.15">
      <c r="A127" s="5" t="s">
        <v>18</v>
      </c>
      <c r="B127" s="5">
        <v>17</v>
      </c>
      <c r="C127" s="5" t="s">
        <v>21</v>
      </c>
      <c r="D127" s="5" t="s">
        <v>32</v>
      </c>
      <c r="E127" s="7">
        <v>44748</v>
      </c>
      <c r="F127" s="5" t="s">
        <v>9</v>
      </c>
      <c r="G127" s="5" t="s">
        <v>37</v>
      </c>
      <c r="H127" s="3" t="s">
        <v>10</v>
      </c>
      <c r="I127" s="4">
        <v>3.3</v>
      </c>
      <c r="J127" s="4">
        <v>4.5</v>
      </c>
      <c r="K127" t="s">
        <v>163</v>
      </c>
      <c r="L127">
        <v>2</v>
      </c>
      <c r="M127" t="str">
        <f>VLOOKUP(H127,eq!$A$3:$T$13,20,)</f>
        <v>0.0534*(X4^2.403)+0.0115*(X4^2.3484)+0.007*(X4^2.5406)+0.084*(X4^1.6695)</v>
      </c>
      <c r="N127" t="str">
        <f t="shared" si="2"/>
        <v>0.0534*(4.5^2.403)+0.0115*(4.5^2.3484)+0.007*(4.5^2.5406)+0.084*(4.5^1.6695)</v>
      </c>
      <c r="O127" cm="1">
        <f t="array" ref="O127">eval_tr_dbh*1000</f>
        <v>3730.1089548214127</v>
      </c>
      <c r="P127" t="str">
        <f t="shared" si="3"/>
        <v>GM_17_NA_B4</v>
      </c>
    </row>
    <row r="128" spans="1:16" x14ac:dyDescent="0.15">
      <c r="A128" s="5" t="s">
        <v>18</v>
      </c>
      <c r="B128" s="5">
        <v>17</v>
      </c>
      <c r="C128" s="5" t="s">
        <v>21</v>
      </c>
      <c r="D128" s="5" t="s">
        <v>32</v>
      </c>
      <c r="E128" s="7">
        <v>44748</v>
      </c>
      <c r="F128" s="5" t="s">
        <v>7</v>
      </c>
      <c r="G128" s="5" t="s">
        <v>34</v>
      </c>
      <c r="H128" s="3" t="s">
        <v>10</v>
      </c>
      <c r="I128" s="4">
        <v>3</v>
      </c>
      <c r="J128" s="4">
        <v>4.7</v>
      </c>
      <c r="K128" t="s">
        <v>163</v>
      </c>
      <c r="L128">
        <v>2</v>
      </c>
      <c r="M128" t="str">
        <f>VLOOKUP(H128,eq!$A$3:$T$13,20,)</f>
        <v>0.0534*(X4^2.403)+0.0115*(X4^2.3484)+0.007*(X4^2.5406)+0.084*(X4^1.6695)</v>
      </c>
      <c r="N128" t="str">
        <f t="shared" si="2"/>
        <v>0.0534*(4.7^2.403)+0.0115*(4.7^2.3484)+0.007*(4.7^2.5406)+0.084*(4.7^1.6695)</v>
      </c>
      <c r="O128" cm="1">
        <f t="array" ref="O128">eval_tr_dbh*1000</f>
        <v>4106.0123862868741</v>
      </c>
      <c r="P128" t="str">
        <f t="shared" si="3"/>
        <v>GM_17_NA_B3</v>
      </c>
    </row>
    <row r="129" spans="1:16" x14ac:dyDescent="0.15">
      <c r="A129" s="5" t="s">
        <v>18</v>
      </c>
      <c r="B129" s="5">
        <v>17</v>
      </c>
      <c r="C129" s="5" t="s">
        <v>21</v>
      </c>
      <c r="D129" s="5" t="s">
        <v>32</v>
      </c>
      <c r="E129" s="7">
        <v>44748</v>
      </c>
      <c r="F129" s="5" t="s">
        <v>7</v>
      </c>
      <c r="G129" s="5" t="s">
        <v>34</v>
      </c>
      <c r="H129" s="3" t="s">
        <v>10</v>
      </c>
      <c r="I129" s="4">
        <v>3.8</v>
      </c>
      <c r="J129" s="4">
        <v>5.0999999999999996</v>
      </c>
      <c r="K129" t="s">
        <v>163</v>
      </c>
      <c r="L129">
        <v>2</v>
      </c>
      <c r="M129" t="str">
        <f>VLOOKUP(H129,eq!$A$3:$T$13,20,)</f>
        <v>0.0534*(X4^2.403)+0.0115*(X4^2.3484)+0.007*(X4^2.5406)+0.084*(X4^1.6695)</v>
      </c>
      <c r="N129" t="str">
        <f t="shared" si="2"/>
        <v>0.0534*(5.1^2.403)+0.0115*(5.1^2.3484)+0.007*(5.1^2.5406)+0.084*(5.1^1.6695)</v>
      </c>
      <c r="O129" cm="1">
        <f t="array" ref="O129">eval_tr_dbh*1000</f>
        <v>4920.2546781183783</v>
      </c>
      <c r="P129" t="str">
        <f t="shared" si="3"/>
        <v>GM_17_NA_B3</v>
      </c>
    </row>
    <row r="130" spans="1:16" x14ac:dyDescent="0.15">
      <c r="A130" s="5" t="s">
        <v>18</v>
      </c>
      <c r="B130" s="5">
        <v>17</v>
      </c>
      <c r="C130" s="5" t="s">
        <v>21</v>
      </c>
      <c r="D130" s="5" t="s">
        <v>32</v>
      </c>
      <c r="E130" s="7">
        <v>44748</v>
      </c>
      <c r="F130" s="5" t="s">
        <v>7</v>
      </c>
      <c r="G130" s="5" t="s">
        <v>34</v>
      </c>
      <c r="H130" s="3" t="s">
        <v>10</v>
      </c>
      <c r="I130" s="4">
        <v>4</v>
      </c>
      <c r="J130" s="4">
        <v>5.7</v>
      </c>
      <c r="K130" t="s">
        <v>163</v>
      </c>
      <c r="L130">
        <v>2</v>
      </c>
      <c r="M130" t="str">
        <f>VLOOKUP(H130,eq!$A$3:$T$13,20,)</f>
        <v>0.0534*(X4^2.403)+0.0115*(X4^2.3484)+0.007*(X4^2.5406)+0.084*(X4^1.6695)</v>
      </c>
      <c r="N130" t="str">
        <f t="shared" ref="N130:N193" si="4">SUBSTITUTE(M130, "X4", J130)</f>
        <v>0.0534*(5.7^2.403)+0.0115*(5.7^2.3484)+0.007*(5.7^2.5406)+0.084*(5.7^1.6695)</v>
      </c>
      <c r="O130" cm="1">
        <f t="array" ref="O130">eval_tr_dbh*1000</f>
        <v>6301.9844850661711</v>
      </c>
      <c r="P130" t="str">
        <f t="shared" si="3"/>
        <v>GM_17_NA_B3</v>
      </c>
    </row>
    <row r="131" spans="1:16" x14ac:dyDescent="0.15">
      <c r="A131" s="5" t="s">
        <v>18</v>
      </c>
      <c r="B131" s="5">
        <v>17</v>
      </c>
      <c r="C131" s="5" t="s">
        <v>21</v>
      </c>
      <c r="D131" s="5" t="s">
        <v>32</v>
      </c>
      <c r="E131" s="7">
        <v>44748</v>
      </c>
      <c r="F131" s="5" t="s">
        <v>5</v>
      </c>
      <c r="G131" s="5" t="s">
        <v>35</v>
      </c>
      <c r="H131" s="3" t="s">
        <v>10</v>
      </c>
      <c r="I131" s="4">
        <v>3.3</v>
      </c>
      <c r="J131" s="4">
        <v>6.1</v>
      </c>
      <c r="K131" t="s">
        <v>163</v>
      </c>
      <c r="L131">
        <v>2</v>
      </c>
      <c r="M131" t="str">
        <f>VLOOKUP(H131,eq!$A$3:$T$13,20,)</f>
        <v>0.0534*(X4^2.403)+0.0115*(X4^2.3484)+0.007*(X4^2.5406)+0.084*(X4^1.6695)</v>
      </c>
      <c r="N131" t="str">
        <f t="shared" si="4"/>
        <v>0.0534*(6.1^2.403)+0.0115*(6.1^2.3484)+0.007*(6.1^2.5406)+0.084*(6.1^1.6695)</v>
      </c>
      <c r="O131" cm="1">
        <f t="array" ref="O131">eval_tr_dbh*1000</f>
        <v>7333.2496753482665</v>
      </c>
      <c r="P131" t="str">
        <f t="shared" ref="P131:P194" si="5">A131&amp;"_"&amp;B131&amp;"_"&amp;C131&amp;"_"&amp;G131</f>
        <v>GM_17_NA_B1</v>
      </c>
    </row>
    <row r="132" spans="1:16" x14ac:dyDescent="0.15">
      <c r="A132" s="5" t="s">
        <v>18</v>
      </c>
      <c r="B132" s="5">
        <v>17</v>
      </c>
      <c r="C132" s="5" t="s">
        <v>21</v>
      </c>
      <c r="D132" s="5" t="s">
        <v>32</v>
      </c>
      <c r="E132" s="7">
        <v>44748</v>
      </c>
      <c r="F132" s="5" t="s">
        <v>6</v>
      </c>
      <c r="G132" s="5" t="s">
        <v>36</v>
      </c>
      <c r="H132" s="3" t="s">
        <v>10</v>
      </c>
      <c r="I132" s="4">
        <v>4.7</v>
      </c>
      <c r="J132" s="4">
        <v>8.1999999999999993</v>
      </c>
      <c r="K132" t="s">
        <v>163</v>
      </c>
      <c r="L132">
        <v>2</v>
      </c>
      <c r="M132" t="str">
        <f>VLOOKUP(H132,eq!$A$3:$T$13,20,)</f>
        <v>0.0534*(X4^2.403)+0.0115*(X4^2.3484)+0.007*(X4^2.5406)+0.084*(X4^1.6695)</v>
      </c>
      <c r="N132" t="str">
        <f t="shared" si="4"/>
        <v>0.0534*(8.2^2.403)+0.0115*(8.2^2.3484)+0.007*(8.2^2.5406)+0.084*(8.2^1.6695)</v>
      </c>
      <c r="O132" cm="1">
        <f t="array" ref="O132">eval_tr_dbh*1000</f>
        <v>14278.935435906886</v>
      </c>
      <c r="P132" t="str">
        <f t="shared" si="5"/>
        <v>GM_17_NA_B2</v>
      </c>
    </row>
    <row r="133" spans="1:16" x14ac:dyDescent="0.15">
      <c r="A133" s="5" t="s">
        <v>18</v>
      </c>
      <c r="B133" s="5">
        <v>17</v>
      </c>
      <c r="C133" s="5" t="s">
        <v>21</v>
      </c>
      <c r="D133" s="5" t="s">
        <v>32</v>
      </c>
      <c r="E133" s="7">
        <v>44748</v>
      </c>
      <c r="F133" s="5" t="s">
        <v>9</v>
      </c>
      <c r="G133" s="5" t="s">
        <v>37</v>
      </c>
      <c r="H133" s="3" t="s">
        <v>10</v>
      </c>
      <c r="I133" s="4">
        <v>6</v>
      </c>
      <c r="J133" s="4">
        <v>10.4</v>
      </c>
      <c r="K133" t="s">
        <v>163</v>
      </c>
      <c r="L133">
        <v>2</v>
      </c>
      <c r="M133" t="str">
        <f>VLOOKUP(H133,eq!$A$3:$T$13,20,)</f>
        <v>0.0534*(X4^2.403)+0.0115*(X4^2.3484)+0.007*(X4^2.5406)+0.084*(X4^1.6695)</v>
      </c>
      <c r="N133" t="str">
        <f t="shared" si="4"/>
        <v>0.0534*(10.4^2.403)+0.0115*(10.4^2.3484)+0.007*(10.4^2.5406)+0.084*(10.4^1.6695)</v>
      </c>
      <c r="O133" cm="1">
        <f t="array" ref="O133">eval_tr_dbh*1000</f>
        <v>24529.056595494912</v>
      </c>
      <c r="P133" t="str">
        <f t="shared" si="5"/>
        <v>GM_17_NA_B4</v>
      </c>
    </row>
    <row r="134" spans="1:16" x14ac:dyDescent="0.15">
      <c r="A134" s="5" t="s">
        <v>18</v>
      </c>
      <c r="B134" s="5">
        <v>17</v>
      </c>
      <c r="C134" s="5" t="s">
        <v>21</v>
      </c>
      <c r="D134" s="5" t="s">
        <v>32</v>
      </c>
      <c r="E134" s="7">
        <v>44748</v>
      </c>
      <c r="F134" s="5" t="s">
        <v>7</v>
      </c>
      <c r="G134" s="5" t="s">
        <v>34</v>
      </c>
      <c r="H134" s="3" t="s">
        <v>10</v>
      </c>
      <c r="I134" s="4">
        <v>6</v>
      </c>
      <c r="J134" s="4">
        <v>14.9</v>
      </c>
      <c r="K134" t="s">
        <v>163</v>
      </c>
      <c r="L134">
        <v>2</v>
      </c>
      <c r="M134" t="str">
        <f>VLOOKUP(H134,eq!$A$3:$T$13,20,)</f>
        <v>0.0534*(X4^2.403)+0.0115*(X4^2.3484)+0.007*(X4^2.5406)+0.084*(X4^1.6695)</v>
      </c>
      <c r="N134" t="str">
        <f t="shared" si="4"/>
        <v>0.0534*(14.9^2.403)+0.0115*(14.9^2.3484)+0.007*(14.9^2.5406)+0.084*(14.9^1.6695)</v>
      </c>
      <c r="O134" cm="1">
        <f t="array" ref="O134">eval_tr_dbh*1000</f>
        <v>56087.852854710014</v>
      </c>
      <c r="P134" t="str">
        <f t="shared" si="5"/>
        <v>GM_17_NA_B3</v>
      </c>
    </row>
    <row r="135" spans="1:16" x14ac:dyDescent="0.15">
      <c r="A135" s="5" t="s">
        <v>18</v>
      </c>
      <c r="B135" s="5">
        <v>18</v>
      </c>
      <c r="C135" s="5" t="s">
        <v>21</v>
      </c>
      <c r="D135" s="5" t="s">
        <v>32</v>
      </c>
      <c r="E135" s="7">
        <v>44742</v>
      </c>
      <c r="F135" s="5" t="s">
        <v>5</v>
      </c>
      <c r="G135" s="5" t="s">
        <v>35</v>
      </c>
      <c r="H135" s="3" t="s">
        <v>10</v>
      </c>
      <c r="I135" s="4">
        <v>5</v>
      </c>
      <c r="J135" s="4">
        <v>3.25</v>
      </c>
      <c r="K135" t="s">
        <v>147</v>
      </c>
      <c r="L135">
        <v>1</v>
      </c>
      <c r="M135" t="str">
        <f>VLOOKUP(H135,eq!$A$3:$T$13,20,)</f>
        <v>0.0534*(X4^2.403)+0.0115*(X4^2.3484)+0.007*(X4^2.5406)+0.084*(X4^1.6695)</v>
      </c>
      <c r="N135" t="str">
        <f t="shared" si="4"/>
        <v>0.0534*(3.25^2.403)+0.0115*(3.25^2.3484)+0.007*(3.25^2.5406)+0.084*(3.25^1.6695)</v>
      </c>
      <c r="O135" cm="1">
        <f t="array" ref="O135">eval_tr_dbh*1000</f>
        <v>1830.9456621624024</v>
      </c>
      <c r="P135" t="str">
        <f t="shared" si="5"/>
        <v>GM_18_NA_B1</v>
      </c>
    </row>
    <row r="136" spans="1:16" x14ac:dyDescent="0.15">
      <c r="A136" s="5" t="s">
        <v>18</v>
      </c>
      <c r="B136" s="5">
        <v>18</v>
      </c>
      <c r="C136" s="5" t="s">
        <v>21</v>
      </c>
      <c r="D136" s="5" t="s">
        <v>32</v>
      </c>
      <c r="E136" s="7">
        <v>44742</v>
      </c>
      <c r="F136" s="5" t="s">
        <v>9</v>
      </c>
      <c r="G136" s="5" t="s">
        <v>37</v>
      </c>
      <c r="H136" s="3" t="s">
        <v>10</v>
      </c>
      <c r="I136" s="4">
        <v>5.5</v>
      </c>
      <c r="J136" s="4">
        <v>5.5</v>
      </c>
      <c r="K136" t="s">
        <v>147</v>
      </c>
      <c r="L136">
        <v>1</v>
      </c>
      <c r="M136" t="str">
        <f>VLOOKUP(H136,eq!$A$3:$T$13,20,)</f>
        <v>0.0534*(X4^2.403)+0.0115*(X4^2.3484)+0.007*(X4^2.5406)+0.084*(X4^1.6695)</v>
      </c>
      <c r="N136" t="str">
        <f t="shared" si="4"/>
        <v>0.0534*(5.5^2.403)+0.0115*(5.5^2.3484)+0.007*(5.5^2.5406)+0.084*(5.5^1.6695)</v>
      </c>
      <c r="O136" cm="1">
        <f t="array" ref="O136">eval_tr_dbh*1000</f>
        <v>5819.6547415251471</v>
      </c>
      <c r="P136" t="str">
        <f t="shared" si="5"/>
        <v>GM_18_NA_B4</v>
      </c>
    </row>
    <row r="137" spans="1:16" x14ac:dyDescent="0.15">
      <c r="A137" s="5" t="s">
        <v>18</v>
      </c>
      <c r="B137" s="5">
        <v>18</v>
      </c>
      <c r="C137" s="5" t="s">
        <v>21</v>
      </c>
      <c r="D137" s="5" t="s">
        <v>32</v>
      </c>
      <c r="E137" s="7">
        <v>44742</v>
      </c>
      <c r="F137" s="5" t="s">
        <v>5</v>
      </c>
      <c r="G137" s="5" t="s">
        <v>35</v>
      </c>
      <c r="H137" s="3" t="s">
        <v>10</v>
      </c>
      <c r="I137" s="4">
        <v>8.5</v>
      </c>
      <c r="J137" s="4">
        <v>5.5</v>
      </c>
      <c r="K137" t="s">
        <v>147</v>
      </c>
      <c r="L137">
        <v>1</v>
      </c>
      <c r="M137" t="str">
        <f>VLOOKUP(H137,eq!$A$3:$T$13,20,)</f>
        <v>0.0534*(X4^2.403)+0.0115*(X4^2.3484)+0.007*(X4^2.5406)+0.084*(X4^1.6695)</v>
      </c>
      <c r="N137" t="str">
        <f t="shared" si="4"/>
        <v>0.0534*(5.5^2.403)+0.0115*(5.5^2.3484)+0.007*(5.5^2.5406)+0.084*(5.5^1.6695)</v>
      </c>
      <c r="O137" cm="1">
        <f t="array" ref="O137">eval_tr_dbh*1000</f>
        <v>5819.6547415251471</v>
      </c>
      <c r="P137" t="str">
        <f t="shared" si="5"/>
        <v>GM_18_NA_B1</v>
      </c>
    </row>
    <row r="138" spans="1:16" x14ac:dyDescent="0.15">
      <c r="A138" s="5" t="s">
        <v>18</v>
      </c>
      <c r="B138" s="5">
        <v>18</v>
      </c>
      <c r="C138" s="5" t="s">
        <v>21</v>
      </c>
      <c r="D138" s="5" t="s">
        <v>32</v>
      </c>
      <c r="E138" s="7">
        <v>44742</v>
      </c>
      <c r="F138" s="5" t="s">
        <v>9</v>
      </c>
      <c r="G138" s="5" t="s">
        <v>37</v>
      </c>
      <c r="H138" s="3" t="s">
        <v>10</v>
      </c>
      <c r="I138" s="4">
        <v>5</v>
      </c>
      <c r="J138" s="4">
        <v>6.5</v>
      </c>
      <c r="K138" t="s">
        <v>147</v>
      </c>
      <c r="L138">
        <v>1</v>
      </c>
      <c r="M138" t="str">
        <f>VLOOKUP(H138,eq!$A$3:$T$13,20,)</f>
        <v>0.0534*(X4^2.403)+0.0115*(X4^2.3484)+0.007*(X4^2.5406)+0.084*(X4^1.6695)</v>
      </c>
      <c r="N138" t="str">
        <f t="shared" si="4"/>
        <v>0.0534*(6.5^2.403)+0.0115*(6.5^2.3484)+0.007*(6.5^2.5406)+0.084*(6.5^1.6695)</v>
      </c>
      <c r="O138" cm="1">
        <f t="array" ref="O138">eval_tr_dbh*1000</f>
        <v>8455.062918442316</v>
      </c>
      <c r="P138" t="str">
        <f t="shared" si="5"/>
        <v>GM_18_NA_B4</v>
      </c>
    </row>
    <row r="139" spans="1:16" x14ac:dyDescent="0.15">
      <c r="A139" s="5" t="s">
        <v>18</v>
      </c>
      <c r="B139" s="5">
        <v>18</v>
      </c>
      <c r="C139" s="5" t="s">
        <v>21</v>
      </c>
      <c r="D139" s="5" t="s">
        <v>32</v>
      </c>
      <c r="E139" s="7">
        <v>44742</v>
      </c>
      <c r="F139" s="5" t="s">
        <v>7</v>
      </c>
      <c r="G139" s="5" t="s">
        <v>34</v>
      </c>
      <c r="H139" s="3" t="s">
        <v>10</v>
      </c>
      <c r="I139" s="4">
        <v>6</v>
      </c>
      <c r="J139" s="4">
        <v>7.75</v>
      </c>
      <c r="K139" t="s">
        <v>147</v>
      </c>
      <c r="L139">
        <v>1</v>
      </c>
      <c r="M139" t="str">
        <f>VLOOKUP(H139,eq!$A$3:$T$13,20,)</f>
        <v>0.0534*(X4^2.403)+0.0115*(X4^2.3484)+0.007*(X4^2.5406)+0.084*(X4^1.6695)</v>
      </c>
      <c r="N139" t="str">
        <f t="shared" si="4"/>
        <v>0.0534*(7.75^2.403)+0.0115*(7.75^2.3484)+0.007*(7.75^2.5406)+0.084*(7.75^1.6695)</v>
      </c>
      <c r="O139" cm="1">
        <f t="array" ref="O139">eval_tr_dbh*1000</f>
        <v>12566.309685212867</v>
      </c>
      <c r="P139" t="str">
        <f t="shared" si="5"/>
        <v>GM_18_NA_B3</v>
      </c>
    </row>
    <row r="140" spans="1:16" x14ac:dyDescent="0.15">
      <c r="A140" s="5" t="s">
        <v>18</v>
      </c>
      <c r="B140" s="5">
        <v>18</v>
      </c>
      <c r="C140" s="5" t="s">
        <v>21</v>
      </c>
      <c r="D140" s="5" t="s">
        <v>32</v>
      </c>
      <c r="E140" s="7">
        <v>44742</v>
      </c>
      <c r="F140" s="5" t="s">
        <v>7</v>
      </c>
      <c r="G140" s="5" t="s">
        <v>34</v>
      </c>
      <c r="H140" s="3" t="s">
        <v>10</v>
      </c>
      <c r="I140" s="4">
        <v>6.5</v>
      </c>
      <c r="J140" s="4">
        <v>7.75</v>
      </c>
      <c r="K140" t="s">
        <v>147</v>
      </c>
      <c r="L140">
        <v>1</v>
      </c>
      <c r="M140" t="str">
        <f>VLOOKUP(H140,eq!$A$3:$T$13,20,)</f>
        <v>0.0534*(X4^2.403)+0.0115*(X4^2.3484)+0.007*(X4^2.5406)+0.084*(X4^1.6695)</v>
      </c>
      <c r="N140" t="str">
        <f t="shared" si="4"/>
        <v>0.0534*(7.75^2.403)+0.0115*(7.75^2.3484)+0.007*(7.75^2.5406)+0.084*(7.75^1.6695)</v>
      </c>
      <c r="O140" cm="1">
        <f t="array" ref="O140">eval_tr_dbh*1000</f>
        <v>12566.309685212867</v>
      </c>
      <c r="P140" t="str">
        <f t="shared" si="5"/>
        <v>GM_18_NA_B3</v>
      </c>
    </row>
    <row r="141" spans="1:16" x14ac:dyDescent="0.15">
      <c r="A141" s="5" t="s">
        <v>18</v>
      </c>
      <c r="B141" s="5">
        <v>18</v>
      </c>
      <c r="C141" s="5" t="s">
        <v>21</v>
      </c>
      <c r="D141" s="5" t="s">
        <v>32</v>
      </c>
      <c r="E141" s="7">
        <v>44742</v>
      </c>
      <c r="F141" s="5" t="s">
        <v>5</v>
      </c>
      <c r="G141" s="5" t="s">
        <v>35</v>
      </c>
      <c r="H141" s="3" t="s">
        <v>10</v>
      </c>
      <c r="I141" s="4">
        <v>10</v>
      </c>
      <c r="J141" s="4">
        <v>8.25</v>
      </c>
      <c r="K141" t="s">
        <v>147</v>
      </c>
      <c r="L141">
        <v>1</v>
      </c>
      <c r="M141" t="str">
        <f>VLOOKUP(H141,eq!$A$3:$T$13,20,)</f>
        <v>0.0534*(X4^2.403)+0.0115*(X4^2.3484)+0.007*(X4^2.5406)+0.084*(X4^1.6695)</v>
      </c>
      <c r="N141" t="str">
        <f t="shared" si="4"/>
        <v>0.0534*(8.25^2.403)+0.0115*(8.25^2.3484)+0.007*(8.25^2.5406)+0.084*(8.25^1.6695)</v>
      </c>
      <c r="O141" cm="1">
        <f t="array" ref="O141">eval_tr_dbh*1000</f>
        <v>14477.036416401441</v>
      </c>
      <c r="P141" t="str">
        <f t="shared" si="5"/>
        <v>GM_18_NA_B1</v>
      </c>
    </row>
    <row r="142" spans="1:16" x14ac:dyDescent="0.15">
      <c r="A142" s="5" t="s">
        <v>18</v>
      </c>
      <c r="B142" s="5">
        <v>18</v>
      </c>
      <c r="C142" s="5" t="s">
        <v>21</v>
      </c>
      <c r="D142" s="5" t="s">
        <v>32</v>
      </c>
      <c r="E142" s="7">
        <v>44742</v>
      </c>
      <c r="F142" s="5" t="s">
        <v>7</v>
      </c>
      <c r="G142" s="5" t="s">
        <v>34</v>
      </c>
      <c r="H142" s="5" t="s">
        <v>15</v>
      </c>
      <c r="I142" s="4">
        <v>7.5</v>
      </c>
      <c r="J142" s="4">
        <v>7.25</v>
      </c>
      <c r="K142" t="s">
        <v>147</v>
      </c>
      <c r="L142">
        <v>1</v>
      </c>
      <c r="M142" t="str">
        <f>VLOOKUP(H142,eq!$A$3:$T$13,20,)</f>
        <v>0.0593*(X4^2.5026)+0.0135*(X4^2.4053)+0.0135*(X4^2.5532)+0.0546*(X4^1.6251)</v>
      </c>
      <c r="N142" t="str">
        <f t="shared" si="4"/>
        <v>0.0593*(7.25^2.5026)+0.0135*(7.25^2.4053)+0.0135*(7.25^2.5532)+0.0546*(7.25^1.6251)</v>
      </c>
      <c r="O142" cm="1">
        <f t="array" ref="O142">eval_tr_dbh*1000</f>
        <v>13508.424449502627</v>
      </c>
      <c r="P142" t="str">
        <f t="shared" si="5"/>
        <v>GM_18_NA_B3</v>
      </c>
    </row>
    <row r="143" spans="1:16" x14ac:dyDescent="0.15">
      <c r="A143" s="5" t="s">
        <v>18</v>
      </c>
      <c r="B143" s="5">
        <v>18</v>
      </c>
      <c r="C143" s="5" t="s">
        <v>21</v>
      </c>
      <c r="D143" s="5" t="s">
        <v>32</v>
      </c>
      <c r="E143" s="7">
        <v>44742</v>
      </c>
      <c r="F143" s="5" t="s">
        <v>9</v>
      </c>
      <c r="G143" s="5" t="s">
        <v>37</v>
      </c>
      <c r="H143" s="3" t="s">
        <v>10</v>
      </c>
      <c r="I143" s="4">
        <v>8</v>
      </c>
      <c r="J143" s="4">
        <v>9.5</v>
      </c>
      <c r="K143" t="s">
        <v>147</v>
      </c>
      <c r="L143">
        <v>1</v>
      </c>
      <c r="M143" t="str">
        <f>VLOOKUP(H143,eq!$A$3:$T$13,20,)</f>
        <v>0.0534*(X4^2.403)+0.0115*(X4^2.3484)+0.007*(X4^2.5406)+0.084*(X4^1.6695)</v>
      </c>
      <c r="N143" t="str">
        <f t="shared" si="4"/>
        <v>0.0534*(9.5^2.403)+0.0115*(9.5^2.3484)+0.007*(9.5^2.5406)+0.084*(9.5^1.6695)</v>
      </c>
      <c r="O143" cm="1">
        <f t="array" ref="O143">eval_tr_dbh*1000</f>
        <v>19950.075047172792</v>
      </c>
      <c r="P143" t="str">
        <f t="shared" si="5"/>
        <v>GM_18_NA_B4</v>
      </c>
    </row>
    <row r="144" spans="1:16" x14ac:dyDescent="0.15">
      <c r="A144" s="5" t="s">
        <v>18</v>
      </c>
      <c r="B144" s="5">
        <v>18</v>
      </c>
      <c r="C144" s="5" t="s">
        <v>21</v>
      </c>
      <c r="D144" s="5" t="s">
        <v>32</v>
      </c>
      <c r="E144" s="7">
        <v>44742</v>
      </c>
      <c r="F144" s="5" t="s">
        <v>7</v>
      </c>
      <c r="G144" s="5" t="s">
        <v>34</v>
      </c>
      <c r="H144" s="5" t="s">
        <v>15</v>
      </c>
      <c r="I144" s="4">
        <v>9</v>
      </c>
      <c r="J144" s="4">
        <v>9.5</v>
      </c>
      <c r="K144" t="s">
        <v>147</v>
      </c>
      <c r="L144">
        <v>1</v>
      </c>
      <c r="M144" t="str">
        <f>VLOOKUP(H144,eq!$A$3:$T$13,20,)</f>
        <v>0.0593*(X4^2.5026)+0.0135*(X4^2.4053)+0.0135*(X4^2.5532)+0.0546*(X4^1.6251)</v>
      </c>
      <c r="N144" t="str">
        <f t="shared" si="4"/>
        <v>0.0593*(9.5^2.5026)+0.0135*(9.5^2.4053)+0.0135*(9.5^2.5532)+0.0546*(9.5^1.6251)</v>
      </c>
      <c r="O144" cm="1">
        <f t="array" ref="O144">eval_tr_dbh*1000</f>
        <v>25978.424356530006</v>
      </c>
      <c r="P144" t="str">
        <f t="shared" si="5"/>
        <v>GM_18_NA_B3</v>
      </c>
    </row>
    <row r="145" spans="1:16" x14ac:dyDescent="0.15">
      <c r="A145" s="5" t="s">
        <v>18</v>
      </c>
      <c r="B145" s="5">
        <v>18</v>
      </c>
      <c r="C145" s="5" t="s">
        <v>21</v>
      </c>
      <c r="D145" s="5" t="s">
        <v>32</v>
      </c>
      <c r="E145" s="7">
        <v>44742</v>
      </c>
      <c r="F145" s="5" t="s">
        <v>7</v>
      </c>
      <c r="G145" s="5" t="s">
        <v>34</v>
      </c>
      <c r="H145" s="5" t="s">
        <v>15</v>
      </c>
      <c r="I145" s="4">
        <v>7</v>
      </c>
      <c r="J145" s="4">
        <v>10.25</v>
      </c>
      <c r="K145" t="s">
        <v>147</v>
      </c>
      <c r="L145">
        <v>1</v>
      </c>
      <c r="M145" t="str">
        <f>VLOOKUP(H145,eq!$A$3:$T$13,20,)</f>
        <v>0.0593*(X4^2.5026)+0.0135*(X4^2.4053)+0.0135*(X4^2.5532)+0.0546*(X4^1.6251)</v>
      </c>
      <c r="N145" t="str">
        <f t="shared" si="4"/>
        <v>0.0593*(10.25^2.5026)+0.0135*(10.25^2.4053)+0.0135*(10.25^2.5532)+0.0546*(10.25^1.6251)</v>
      </c>
      <c r="O145" cm="1">
        <f t="array" ref="O145">eval_tr_dbh*1000</f>
        <v>31246.894641221501</v>
      </c>
      <c r="P145" t="str">
        <f t="shared" si="5"/>
        <v>GM_18_NA_B3</v>
      </c>
    </row>
    <row r="146" spans="1:16" x14ac:dyDescent="0.15">
      <c r="A146" s="5" t="s">
        <v>18</v>
      </c>
      <c r="B146" s="5">
        <v>18</v>
      </c>
      <c r="C146" s="5" t="s">
        <v>21</v>
      </c>
      <c r="D146" s="5" t="s">
        <v>32</v>
      </c>
      <c r="E146" s="7">
        <v>44742</v>
      </c>
      <c r="F146" s="5" t="s">
        <v>9</v>
      </c>
      <c r="G146" s="5" t="s">
        <v>37</v>
      </c>
      <c r="H146" s="5" t="s">
        <v>15</v>
      </c>
      <c r="I146" s="4">
        <v>9.5</v>
      </c>
      <c r="J146" s="4">
        <v>11.25</v>
      </c>
      <c r="K146" t="s">
        <v>147</v>
      </c>
      <c r="L146">
        <v>1</v>
      </c>
      <c r="M146" t="str">
        <f>VLOOKUP(H146,eq!$A$3:$T$13,20,)</f>
        <v>0.0593*(X4^2.5026)+0.0135*(X4^2.4053)+0.0135*(X4^2.5532)+0.0546*(X4^1.6251)</v>
      </c>
      <c r="N146" t="str">
        <f t="shared" si="4"/>
        <v>0.0593*(11.25^2.5026)+0.0135*(11.25^2.4053)+0.0135*(11.25^2.5532)+0.0546*(11.25^1.6251)</v>
      </c>
      <c r="O146" cm="1">
        <f t="array" ref="O146">eval_tr_dbh*1000</f>
        <v>39196.038307532595</v>
      </c>
      <c r="P146" t="str">
        <f t="shared" si="5"/>
        <v>GM_18_NA_B4</v>
      </c>
    </row>
    <row r="147" spans="1:16" x14ac:dyDescent="0.15">
      <c r="A147" s="5" t="s">
        <v>18</v>
      </c>
      <c r="B147" s="5">
        <v>18</v>
      </c>
      <c r="C147" s="5" t="s">
        <v>21</v>
      </c>
      <c r="D147" s="5" t="s">
        <v>32</v>
      </c>
      <c r="E147" s="7">
        <v>44742</v>
      </c>
      <c r="F147" s="5" t="s">
        <v>7</v>
      </c>
      <c r="G147" s="5" t="s">
        <v>34</v>
      </c>
      <c r="H147" s="5" t="s">
        <v>11</v>
      </c>
      <c r="I147" s="4">
        <v>10</v>
      </c>
      <c r="J147" s="4">
        <v>12</v>
      </c>
      <c r="K147" t="s">
        <v>147</v>
      </c>
      <c r="L147">
        <v>1</v>
      </c>
      <c r="M147" t="str">
        <f>VLOOKUP(H147,eq!$A$3:$T$13,20,)</f>
        <v>0.1932*(X4^2.1569)+0.0192*(X4^2.2475)+0.0305*(X4^2.4044)+0.1119*(X4^1.3973)</v>
      </c>
      <c r="N147" t="str">
        <f t="shared" si="4"/>
        <v>0.1932*(12^2.1569)+0.0192*(12^2.2475)+0.0305*(12^2.4044)+0.1119*(12^1.3973)</v>
      </c>
      <c r="O147" cm="1">
        <f t="array" ref="O147">eval_tr_dbh*1000</f>
        <v>61801.106629719434</v>
      </c>
      <c r="P147" t="str">
        <f t="shared" si="5"/>
        <v>GM_18_NA_B3</v>
      </c>
    </row>
    <row r="148" spans="1:16" x14ac:dyDescent="0.15">
      <c r="A148" s="5" t="s">
        <v>18</v>
      </c>
      <c r="B148" s="5">
        <v>18</v>
      </c>
      <c r="C148" s="5" t="s">
        <v>21</v>
      </c>
      <c r="D148" s="5" t="s">
        <v>32</v>
      </c>
      <c r="E148" s="7">
        <v>44742</v>
      </c>
      <c r="F148" s="5" t="s">
        <v>7</v>
      </c>
      <c r="G148" s="5" t="s">
        <v>34</v>
      </c>
      <c r="H148" s="5" t="s">
        <v>15</v>
      </c>
      <c r="I148" s="4">
        <v>10</v>
      </c>
      <c r="J148" s="4">
        <v>12</v>
      </c>
      <c r="K148" t="s">
        <v>147</v>
      </c>
      <c r="L148">
        <v>1</v>
      </c>
      <c r="M148" t="str">
        <f>VLOOKUP(H148,eq!$A$3:$T$13,20,)</f>
        <v>0.0593*(X4^2.5026)+0.0135*(X4^2.4053)+0.0135*(X4^2.5532)+0.0546*(X4^1.6251)</v>
      </c>
      <c r="N148" t="str">
        <f t="shared" si="4"/>
        <v>0.0593*(12^2.5026)+0.0135*(12^2.4053)+0.0135*(12^2.5532)+0.0546*(12^1.6251)</v>
      </c>
      <c r="O148" cm="1">
        <f t="array" ref="O148">eval_tr_dbh*1000</f>
        <v>45877.74199445689</v>
      </c>
      <c r="P148" t="str">
        <f t="shared" si="5"/>
        <v>GM_18_NA_B3</v>
      </c>
    </row>
    <row r="149" spans="1:16" x14ac:dyDescent="0.15">
      <c r="A149" s="5" t="s">
        <v>18</v>
      </c>
      <c r="B149" s="5">
        <v>18</v>
      </c>
      <c r="C149" s="5" t="s">
        <v>21</v>
      </c>
      <c r="D149" s="5" t="s">
        <v>32</v>
      </c>
      <c r="E149" s="7">
        <v>44742</v>
      </c>
      <c r="F149" s="5" t="s">
        <v>7</v>
      </c>
      <c r="G149" s="5" t="s">
        <v>34</v>
      </c>
      <c r="H149" s="5" t="s">
        <v>11</v>
      </c>
      <c r="I149" s="4">
        <v>11</v>
      </c>
      <c r="J149" s="4">
        <v>12.5</v>
      </c>
      <c r="K149" t="s">
        <v>147</v>
      </c>
      <c r="L149">
        <v>1</v>
      </c>
      <c r="M149" t="str">
        <f>VLOOKUP(H149,eq!$A$3:$T$13,20,)</f>
        <v>0.1932*(X4^2.1569)+0.0192*(X4^2.2475)+0.0305*(X4^2.4044)+0.1119*(X4^1.3973)</v>
      </c>
      <c r="N149" t="str">
        <f t="shared" si="4"/>
        <v>0.1932*(12.5^2.1569)+0.0192*(12.5^2.2475)+0.0305*(12.5^2.4044)+0.1119*(12.5^1.3973)</v>
      </c>
      <c r="O149" cm="1">
        <f t="array" ref="O149">eval_tr_dbh*1000</f>
        <v>67522.949879216947</v>
      </c>
      <c r="P149" t="str">
        <f t="shared" si="5"/>
        <v>GM_18_NA_B3</v>
      </c>
    </row>
    <row r="150" spans="1:16" x14ac:dyDescent="0.15">
      <c r="A150" s="5" t="s">
        <v>18</v>
      </c>
      <c r="B150" s="5">
        <v>18</v>
      </c>
      <c r="C150" s="5" t="s">
        <v>21</v>
      </c>
      <c r="D150" s="5" t="s">
        <v>32</v>
      </c>
      <c r="E150" s="7">
        <v>44742</v>
      </c>
      <c r="F150" s="5" t="s">
        <v>9</v>
      </c>
      <c r="G150" s="5" t="s">
        <v>37</v>
      </c>
      <c r="H150" s="5" t="s">
        <v>15</v>
      </c>
      <c r="I150" s="4">
        <v>11</v>
      </c>
      <c r="J150" s="4">
        <v>12.5</v>
      </c>
      <c r="K150" t="s">
        <v>147</v>
      </c>
      <c r="L150">
        <v>1</v>
      </c>
      <c r="M150" t="str">
        <f>VLOOKUP(H150,eq!$A$3:$T$13,20,)</f>
        <v>0.0593*(X4^2.5026)+0.0135*(X4^2.4053)+0.0135*(X4^2.5532)+0.0546*(X4^1.6251)</v>
      </c>
      <c r="N150" t="str">
        <f t="shared" si="4"/>
        <v>0.0593*(12.5^2.5026)+0.0135*(12.5^2.4053)+0.0135*(12.5^2.5532)+0.0546*(12.5^1.6251)</v>
      </c>
      <c r="O150" cm="1">
        <f t="array" ref="O150">eval_tr_dbh*1000</f>
        <v>50685.969963843687</v>
      </c>
      <c r="P150" t="str">
        <f t="shared" si="5"/>
        <v>GM_18_NA_B4</v>
      </c>
    </row>
    <row r="151" spans="1:16" x14ac:dyDescent="0.15">
      <c r="A151" s="5" t="s">
        <v>18</v>
      </c>
      <c r="B151" s="5">
        <v>18</v>
      </c>
      <c r="C151" s="5" t="s">
        <v>21</v>
      </c>
      <c r="D151" s="5" t="s">
        <v>32</v>
      </c>
      <c r="E151" s="7">
        <v>44742</v>
      </c>
      <c r="F151" s="5" t="s">
        <v>5</v>
      </c>
      <c r="G151" s="5" t="s">
        <v>35</v>
      </c>
      <c r="H151" s="3" t="s">
        <v>10</v>
      </c>
      <c r="I151" s="4">
        <v>11.5</v>
      </c>
      <c r="J151" s="4">
        <v>15.5</v>
      </c>
      <c r="K151" t="s">
        <v>147</v>
      </c>
      <c r="L151">
        <v>1</v>
      </c>
      <c r="M151" t="str">
        <f>VLOOKUP(H151,eq!$A$3:$T$13,20,)</f>
        <v>0.0534*(X4^2.403)+0.0115*(X4^2.3484)+0.007*(X4^2.5406)+0.084*(X4^1.6695)</v>
      </c>
      <c r="N151" t="str">
        <f t="shared" si="4"/>
        <v>0.0534*(15.5^2.403)+0.0115*(15.5^2.3484)+0.007*(15.5^2.5406)+0.084*(15.5^1.6695)</v>
      </c>
      <c r="O151" cm="1">
        <f t="array" ref="O151">eval_tr_dbh*1000</f>
        <v>61454.272338509683</v>
      </c>
      <c r="P151" t="str">
        <f t="shared" si="5"/>
        <v>GM_18_NA_B1</v>
      </c>
    </row>
    <row r="152" spans="1:16" x14ac:dyDescent="0.15">
      <c r="A152" s="5" t="s">
        <v>18</v>
      </c>
      <c r="B152" s="5">
        <v>18</v>
      </c>
      <c r="C152" s="5" t="s">
        <v>21</v>
      </c>
      <c r="D152" s="5" t="s">
        <v>32</v>
      </c>
      <c r="E152" s="7">
        <v>44742</v>
      </c>
      <c r="F152" s="5" t="s">
        <v>6</v>
      </c>
      <c r="G152" s="5" t="s">
        <v>36</v>
      </c>
      <c r="H152" s="3" t="s">
        <v>10</v>
      </c>
      <c r="I152" s="4">
        <v>13</v>
      </c>
      <c r="J152" s="4">
        <v>26</v>
      </c>
      <c r="K152" t="s">
        <v>147</v>
      </c>
      <c r="L152">
        <v>1</v>
      </c>
      <c r="M152" t="str">
        <f>VLOOKUP(H152,eq!$A$3:$T$13,20,)</f>
        <v>0.0534*(X4^2.403)+0.0115*(X4^2.3484)+0.007*(X4^2.5406)+0.084*(X4^1.6695)</v>
      </c>
      <c r="N152" t="str">
        <f t="shared" si="4"/>
        <v>0.0534*(26^2.403)+0.0115*(26^2.3484)+0.007*(26^2.5406)+0.084*(26^1.6695)</v>
      </c>
      <c r="O152" cm="1">
        <f t="array" ref="O152">eval_tr_dbh*1000</f>
        <v>205266.17932106816</v>
      </c>
      <c r="P152" t="str">
        <f t="shared" si="5"/>
        <v>GM_18_NA_B2</v>
      </c>
    </row>
    <row r="153" spans="1:16" x14ac:dyDescent="0.15">
      <c r="A153" s="5" t="s">
        <v>18</v>
      </c>
      <c r="B153" s="5">
        <v>18</v>
      </c>
      <c r="C153" s="5" t="s">
        <v>21</v>
      </c>
      <c r="D153" s="5" t="s">
        <v>32</v>
      </c>
      <c r="E153" s="7">
        <v>44742</v>
      </c>
      <c r="F153" s="5" t="s">
        <v>7</v>
      </c>
      <c r="G153" s="5" t="s">
        <v>34</v>
      </c>
      <c r="H153" s="5" t="s">
        <v>11</v>
      </c>
      <c r="I153" s="4">
        <v>13</v>
      </c>
      <c r="J153" s="4">
        <v>26</v>
      </c>
      <c r="K153" t="s">
        <v>147</v>
      </c>
      <c r="L153">
        <v>1</v>
      </c>
      <c r="M153" t="str">
        <f>VLOOKUP(H153,eq!$A$3:$T$13,20,)</f>
        <v>0.1932*(X4^2.1569)+0.0192*(X4^2.2475)+0.0305*(X4^2.4044)+0.1119*(X4^1.3973)</v>
      </c>
      <c r="N153" t="str">
        <f t="shared" si="4"/>
        <v>0.1932*(26^2.1569)+0.0192*(26^2.2475)+0.0305*(26^2.4044)+0.1119*(26^1.3973)</v>
      </c>
      <c r="O153" cm="1">
        <f t="array" ref="O153">eval_tr_dbh*1000</f>
        <v>334434.22576602321</v>
      </c>
      <c r="P153" t="str">
        <f t="shared" si="5"/>
        <v>GM_18_NA_B3</v>
      </c>
    </row>
    <row r="154" spans="1:16" x14ac:dyDescent="0.15">
      <c r="A154" s="5" t="s">
        <v>3</v>
      </c>
      <c r="B154" s="5">
        <v>19</v>
      </c>
      <c r="C154" s="5" t="s">
        <v>22</v>
      </c>
      <c r="D154" s="5" t="s">
        <v>30</v>
      </c>
      <c r="E154" s="7">
        <v>44726</v>
      </c>
      <c r="F154" s="5" t="s">
        <v>7</v>
      </c>
      <c r="G154" s="5" t="s">
        <v>34</v>
      </c>
      <c r="H154" s="3" t="s">
        <v>8</v>
      </c>
      <c r="I154" s="4">
        <v>6</v>
      </c>
      <c r="J154" s="4">
        <v>21</v>
      </c>
      <c r="K154" t="s">
        <v>176</v>
      </c>
      <c r="L154">
        <v>1</v>
      </c>
      <c r="M154" t="str">
        <f>VLOOKUP(H154,eq!$A$3:$T$13,20,)</f>
        <v>0.0477*(X4^2.5147)+0.0153*(X4^2.2429)+0.0278*(X4^2.0839)+0.1648*(X4^1.4143)</v>
      </c>
      <c r="N154" t="str">
        <f t="shared" si="4"/>
        <v>0.0477*(21^2.5147)+0.0153*(21^2.2429)+0.0278*(21^2.0839)+0.1648*(21^1.4143)</v>
      </c>
      <c r="O154" cm="1">
        <f t="array" ref="O154">eval_tr_dbh*1000</f>
        <v>142989.85380333508</v>
      </c>
      <c r="P154" t="str">
        <f t="shared" si="5"/>
        <v>TN_19_CTRL_B3</v>
      </c>
    </row>
    <row r="155" spans="1:16" x14ac:dyDescent="0.15">
      <c r="A155" s="5" t="s">
        <v>3</v>
      </c>
      <c r="B155" s="5">
        <v>19</v>
      </c>
      <c r="C155" s="5" t="s">
        <v>22</v>
      </c>
      <c r="D155" s="5" t="s">
        <v>30</v>
      </c>
      <c r="E155" s="7">
        <v>44726</v>
      </c>
      <c r="F155" s="5" t="s">
        <v>5</v>
      </c>
      <c r="G155" s="5" t="s">
        <v>35</v>
      </c>
      <c r="H155" s="5" t="s">
        <v>21</v>
      </c>
      <c r="I155" s="4" t="s">
        <v>21</v>
      </c>
      <c r="J155" s="4" t="s">
        <v>21</v>
      </c>
      <c r="K155" t="s">
        <v>176</v>
      </c>
      <c r="L155">
        <v>1</v>
      </c>
      <c r="M155" t="e">
        <f>VLOOKUP(H155,eq!$A$3:$T$13,20,)</f>
        <v>#N/A</v>
      </c>
      <c r="N155" t="e">
        <f t="shared" si="4"/>
        <v>#N/A</v>
      </c>
      <c r="O155" t="e" cm="1">
        <f t="array" ref="O155">eval_tr_dbh*1000</f>
        <v>#N/A</v>
      </c>
      <c r="P155" t="str">
        <f t="shared" si="5"/>
        <v>TN_19_CTRL_B1</v>
      </c>
    </row>
    <row r="156" spans="1:16" x14ac:dyDescent="0.15">
      <c r="A156" s="5" t="s">
        <v>3</v>
      </c>
      <c r="B156" s="5">
        <v>19</v>
      </c>
      <c r="C156" s="5" t="s">
        <v>22</v>
      </c>
      <c r="D156" s="5" t="s">
        <v>30</v>
      </c>
      <c r="E156" s="7">
        <v>44726</v>
      </c>
      <c r="F156" s="5" t="s">
        <v>6</v>
      </c>
      <c r="G156" s="5" t="s">
        <v>36</v>
      </c>
      <c r="H156" s="5" t="s">
        <v>21</v>
      </c>
      <c r="I156" s="4" t="s">
        <v>21</v>
      </c>
      <c r="J156" s="4" t="s">
        <v>21</v>
      </c>
      <c r="K156" t="s">
        <v>176</v>
      </c>
      <c r="L156">
        <v>1</v>
      </c>
      <c r="M156" t="e">
        <f>VLOOKUP(H156,eq!$A$3:$T$13,20,)</f>
        <v>#N/A</v>
      </c>
      <c r="N156" t="e">
        <f t="shared" si="4"/>
        <v>#N/A</v>
      </c>
      <c r="O156" t="e" cm="1">
        <f t="array" ref="O156">eval_tr_dbh*1000</f>
        <v>#N/A</v>
      </c>
      <c r="P156" t="str">
        <f t="shared" si="5"/>
        <v>TN_19_CTRL_B2</v>
      </c>
    </row>
    <row r="157" spans="1:16" x14ac:dyDescent="0.15">
      <c r="A157" s="5" t="s">
        <v>3</v>
      </c>
      <c r="B157" s="5">
        <v>19</v>
      </c>
      <c r="C157" s="5" t="s">
        <v>22</v>
      </c>
      <c r="D157" s="5" t="s">
        <v>30</v>
      </c>
      <c r="E157" s="7">
        <v>44726</v>
      </c>
      <c r="F157" s="5" t="s">
        <v>9</v>
      </c>
      <c r="G157" s="5" t="s">
        <v>37</v>
      </c>
      <c r="H157" s="5" t="s">
        <v>21</v>
      </c>
      <c r="I157" s="4" t="s">
        <v>21</v>
      </c>
      <c r="J157" s="4" t="s">
        <v>21</v>
      </c>
      <c r="K157" t="s">
        <v>176</v>
      </c>
      <c r="L157">
        <v>1</v>
      </c>
      <c r="M157" t="e">
        <f>VLOOKUP(H157,eq!$A$3:$T$13,20,)</f>
        <v>#N/A</v>
      </c>
      <c r="N157" t="e">
        <f t="shared" si="4"/>
        <v>#N/A</v>
      </c>
      <c r="O157" t="e" cm="1">
        <f t="array" ref="O157">eval_tr_dbh*1000</f>
        <v>#N/A</v>
      </c>
      <c r="P157" t="str">
        <f t="shared" si="5"/>
        <v>TN_19_CTRL_B4</v>
      </c>
    </row>
    <row r="158" spans="1:16" x14ac:dyDescent="0.15">
      <c r="A158" s="6" t="s">
        <v>3</v>
      </c>
      <c r="B158" s="6">
        <v>19</v>
      </c>
      <c r="C158" s="5" t="s">
        <v>23</v>
      </c>
      <c r="D158" s="5" t="s">
        <v>30</v>
      </c>
      <c r="E158" s="7">
        <v>44726</v>
      </c>
      <c r="F158" s="6" t="s">
        <v>7</v>
      </c>
      <c r="G158" s="6" t="s">
        <v>34</v>
      </c>
      <c r="H158" s="3" t="s">
        <v>15</v>
      </c>
      <c r="I158" s="2">
        <v>3.5</v>
      </c>
      <c r="J158" s="2">
        <v>3</v>
      </c>
      <c r="K158" t="s">
        <v>253</v>
      </c>
      <c r="L158">
        <v>1</v>
      </c>
      <c r="M158" t="str">
        <f>VLOOKUP(H158,eq!$A$3:$T$13,20,)</f>
        <v>0.0593*(X4^2.5026)+0.0135*(X4^2.4053)+0.0135*(X4^2.5532)+0.0546*(X4^1.6251)</v>
      </c>
      <c r="N158" t="str">
        <f t="shared" si="4"/>
        <v>0.0593*(3^2.5026)+0.0135*(3^2.4053)+0.0135*(3^2.5532)+0.0546*(3^1.6251)</v>
      </c>
      <c r="O158" cm="1">
        <f t="array" ref="O158">eval_tr_dbh*1000</f>
        <v>1665.3089362664957</v>
      </c>
      <c r="P158" t="str">
        <f t="shared" si="5"/>
        <v>TN_19_EX_B3</v>
      </c>
    </row>
    <row r="159" spans="1:16" x14ac:dyDescent="0.15">
      <c r="A159" s="6" t="s">
        <v>3</v>
      </c>
      <c r="B159" s="6">
        <v>19</v>
      </c>
      <c r="C159" s="5" t="s">
        <v>23</v>
      </c>
      <c r="D159" s="5" t="s">
        <v>30</v>
      </c>
      <c r="E159" s="7">
        <v>44726</v>
      </c>
      <c r="F159" s="6" t="s">
        <v>9</v>
      </c>
      <c r="G159" s="6" t="s">
        <v>37</v>
      </c>
      <c r="H159" s="6" t="s">
        <v>15</v>
      </c>
      <c r="I159" s="2">
        <v>5</v>
      </c>
      <c r="J159" s="2">
        <v>3</v>
      </c>
      <c r="K159" t="s">
        <v>253</v>
      </c>
      <c r="L159">
        <v>1</v>
      </c>
      <c r="M159" t="str">
        <f>VLOOKUP(H159,eq!$A$3:$T$13,20,)</f>
        <v>0.0593*(X4^2.5026)+0.0135*(X4^2.4053)+0.0135*(X4^2.5532)+0.0546*(X4^1.6251)</v>
      </c>
      <c r="N159" t="str">
        <f t="shared" si="4"/>
        <v>0.0593*(3^2.5026)+0.0135*(3^2.4053)+0.0135*(3^2.5532)+0.0546*(3^1.6251)</v>
      </c>
      <c r="O159" cm="1">
        <f t="array" ref="O159">eval_tr_dbh*1000</f>
        <v>1665.3089362664957</v>
      </c>
      <c r="P159" t="str">
        <f t="shared" si="5"/>
        <v>TN_19_EX_B4</v>
      </c>
    </row>
    <row r="160" spans="1:16" x14ac:dyDescent="0.15">
      <c r="A160" s="6" t="s">
        <v>3</v>
      </c>
      <c r="B160" s="6">
        <v>19</v>
      </c>
      <c r="C160" s="5" t="s">
        <v>23</v>
      </c>
      <c r="D160" s="5" t="s">
        <v>30</v>
      </c>
      <c r="E160" s="7">
        <v>44726</v>
      </c>
      <c r="F160" s="6" t="s">
        <v>9</v>
      </c>
      <c r="G160" s="6" t="s">
        <v>37</v>
      </c>
      <c r="H160" s="3" t="s">
        <v>15</v>
      </c>
      <c r="I160" s="2">
        <v>5</v>
      </c>
      <c r="J160" s="2">
        <v>3.25</v>
      </c>
      <c r="K160" t="s">
        <v>253</v>
      </c>
      <c r="L160">
        <v>1</v>
      </c>
      <c r="M160" t="str">
        <f>VLOOKUP(H160,eq!$A$3:$T$13,20,)</f>
        <v>0.0593*(X4^2.5026)+0.0135*(X4^2.4053)+0.0135*(X4^2.5532)+0.0546*(X4^1.6251)</v>
      </c>
      <c r="N160" t="str">
        <f t="shared" si="4"/>
        <v>0.0593*(3.25^2.5026)+0.0135*(3.25^2.4053)+0.0135*(3.25^2.5532)+0.0546*(3.25^1.6251)</v>
      </c>
      <c r="O160" cm="1">
        <f t="array" ref="O160">eval_tr_dbh*1000</f>
        <v>2006.9870039866942</v>
      </c>
      <c r="P160" t="str">
        <f t="shared" si="5"/>
        <v>TN_19_EX_B4</v>
      </c>
    </row>
    <row r="161" spans="1:16" x14ac:dyDescent="0.15">
      <c r="A161" s="6" t="s">
        <v>3</v>
      </c>
      <c r="B161" s="6">
        <v>19</v>
      </c>
      <c r="C161" s="5" t="s">
        <v>23</v>
      </c>
      <c r="D161" s="5" t="s">
        <v>30</v>
      </c>
      <c r="E161" s="7">
        <v>44726</v>
      </c>
      <c r="F161" s="6" t="s">
        <v>7</v>
      </c>
      <c r="G161" s="6" t="s">
        <v>34</v>
      </c>
      <c r="H161" s="3" t="s">
        <v>10</v>
      </c>
      <c r="I161" s="2">
        <v>4.5</v>
      </c>
      <c r="J161" s="2">
        <v>4.5</v>
      </c>
      <c r="K161" t="s">
        <v>253</v>
      </c>
      <c r="L161">
        <v>1</v>
      </c>
      <c r="M161" t="str">
        <f>VLOOKUP(H161,eq!$A$3:$T$13,20,)</f>
        <v>0.0534*(X4^2.403)+0.0115*(X4^2.3484)+0.007*(X4^2.5406)+0.084*(X4^1.6695)</v>
      </c>
      <c r="N161" t="str">
        <f t="shared" si="4"/>
        <v>0.0534*(4.5^2.403)+0.0115*(4.5^2.3484)+0.007*(4.5^2.5406)+0.084*(4.5^1.6695)</v>
      </c>
      <c r="O161" cm="1">
        <f t="array" ref="O161">eval_tr_dbh*1000</f>
        <v>3730.1089548214127</v>
      </c>
      <c r="P161" t="str">
        <f t="shared" si="5"/>
        <v>TN_19_EX_B3</v>
      </c>
    </row>
    <row r="162" spans="1:16" x14ac:dyDescent="0.15">
      <c r="A162" s="6" t="s">
        <v>3</v>
      </c>
      <c r="B162" s="6">
        <v>19</v>
      </c>
      <c r="C162" s="5" t="s">
        <v>23</v>
      </c>
      <c r="D162" s="5" t="s">
        <v>30</v>
      </c>
      <c r="E162" s="7">
        <v>44726</v>
      </c>
      <c r="F162" s="6" t="s">
        <v>7</v>
      </c>
      <c r="G162" s="6" t="s">
        <v>34</v>
      </c>
      <c r="H162" s="3" t="s">
        <v>10</v>
      </c>
      <c r="I162" s="2">
        <v>4</v>
      </c>
      <c r="J162" s="2">
        <v>4.5</v>
      </c>
      <c r="K162" t="s">
        <v>253</v>
      </c>
      <c r="L162">
        <v>1</v>
      </c>
      <c r="M162" t="str">
        <f>VLOOKUP(H162,eq!$A$3:$T$13,20,)</f>
        <v>0.0534*(X4^2.403)+0.0115*(X4^2.3484)+0.007*(X4^2.5406)+0.084*(X4^1.6695)</v>
      </c>
      <c r="N162" t="str">
        <f t="shared" si="4"/>
        <v>0.0534*(4.5^2.403)+0.0115*(4.5^2.3484)+0.007*(4.5^2.5406)+0.084*(4.5^1.6695)</v>
      </c>
      <c r="O162" cm="1">
        <f t="array" ref="O162">eval_tr_dbh*1000</f>
        <v>3730.1089548214127</v>
      </c>
      <c r="P162" t="str">
        <f t="shared" si="5"/>
        <v>TN_19_EX_B3</v>
      </c>
    </row>
    <row r="163" spans="1:16" x14ac:dyDescent="0.15">
      <c r="A163" s="6" t="s">
        <v>3</v>
      </c>
      <c r="B163" s="6">
        <v>19</v>
      </c>
      <c r="C163" s="5" t="s">
        <v>23</v>
      </c>
      <c r="D163" s="5" t="s">
        <v>30</v>
      </c>
      <c r="E163" s="7">
        <v>44726</v>
      </c>
      <c r="F163" s="6" t="s">
        <v>7</v>
      </c>
      <c r="G163" s="6" t="s">
        <v>34</v>
      </c>
      <c r="H163" s="3" t="s">
        <v>10</v>
      </c>
      <c r="I163" s="2">
        <v>3.5</v>
      </c>
      <c r="J163" s="2">
        <v>4.5</v>
      </c>
      <c r="K163" t="s">
        <v>253</v>
      </c>
      <c r="L163">
        <v>1</v>
      </c>
      <c r="M163" t="str">
        <f>VLOOKUP(H163,eq!$A$3:$T$13,20,)</f>
        <v>0.0534*(X4^2.403)+0.0115*(X4^2.3484)+0.007*(X4^2.5406)+0.084*(X4^1.6695)</v>
      </c>
      <c r="N163" t="str">
        <f t="shared" si="4"/>
        <v>0.0534*(4.5^2.403)+0.0115*(4.5^2.3484)+0.007*(4.5^2.5406)+0.084*(4.5^1.6695)</v>
      </c>
      <c r="O163" cm="1">
        <f t="array" ref="O163">eval_tr_dbh*1000</f>
        <v>3730.1089548214127</v>
      </c>
      <c r="P163" t="str">
        <f t="shared" si="5"/>
        <v>TN_19_EX_B3</v>
      </c>
    </row>
    <row r="164" spans="1:16" x14ac:dyDescent="0.15">
      <c r="A164" s="6" t="s">
        <v>3</v>
      </c>
      <c r="B164" s="6">
        <v>19</v>
      </c>
      <c r="C164" s="5" t="s">
        <v>23</v>
      </c>
      <c r="D164" s="5" t="s">
        <v>30</v>
      </c>
      <c r="E164" s="7">
        <v>44726</v>
      </c>
      <c r="F164" s="6" t="s">
        <v>9</v>
      </c>
      <c r="G164" s="6" t="s">
        <v>37</v>
      </c>
      <c r="H164" s="3" t="s">
        <v>15</v>
      </c>
      <c r="I164" s="2">
        <v>5</v>
      </c>
      <c r="J164" s="2">
        <v>4</v>
      </c>
      <c r="K164" t="s">
        <v>253</v>
      </c>
      <c r="L164">
        <v>1</v>
      </c>
      <c r="M164" t="str">
        <f>VLOOKUP(H164,eq!$A$3:$T$13,20,)</f>
        <v>0.0593*(X4^2.5026)+0.0135*(X4^2.4053)+0.0135*(X4^2.5532)+0.0546*(X4^1.6251)</v>
      </c>
      <c r="N164" t="str">
        <f t="shared" si="4"/>
        <v>0.0593*(4^2.5026)+0.0135*(4^2.4053)+0.0135*(4^2.5532)+0.0546*(4^1.6251)</v>
      </c>
      <c r="O164" cm="1">
        <f t="array" ref="O164">eval_tr_dbh*1000</f>
        <v>3267.8855260314795</v>
      </c>
      <c r="P164" t="str">
        <f t="shared" si="5"/>
        <v>TN_19_EX_B4</v>
      </c>
    </row>
    <row r="165" spans="1:16" x14ac:dyDescent="0.15">
      <c r="A165" s="6" t="s">
        <v>3</v>
      </c>
      <c r="B165" s="6">
        <v>19</v>
      </c>
      <c r="C165" s="5" t="s">
        <v>23</v>
      </c>
      <c r="D165" s="5" t="s">
        <v>30</v>
      </c>
      <c r="E165" s="7">
        <v>44726</v>
      </c>
      <c r="F165" s="6" t="s">
        <v>6</v>
      </c>
      <c r="G165" s="6" t="s">
        <v>36</v>
      </c>
      <c r="H165" s="3" t="s">
        <v>10</v>
      </c>
      <c r="I165" s="2">
        <v>3</v>
      </c>
      <c r="J165" s="2">
        <v>4.75</v>
      </c>
      <c r="K165" t="s">
        <v>253</v>
      </c>
      <c r="L165">
        <v>1</v>
      </c>
      <c r="M165" t="str">
        <f>VLOOKUP(H165,eq!$A$3:$T$13,20,)</f>
        <v>0.0534*(X4^2.403)+0.0115*(X4^2.3484)+0.007*(X4^2.5406)+0.084*(X4^1.6695)</v>
      </c>
      <c r="N165" t="str">
        <f t="shared" si="4"/>
        <v>0.0534*(4.75^2.403)+0.0115*(4.75^2.3484)+0.007*(4.75^2.5406)+0.084*(4.75^1.6695)</v>
      </c>
      <c r="O165" cm="1">
        <f t="array" ref="O165">eval_tr_dbh*1000</f>
        <v>4203.2134672808215</v>
      </c>
      <c r="P165" t="str">
        <f t="shared" si="5"/>
        <v>TN_19_EX_B2</v>
      </c>
    </row>
    <row r="166" spans="1:16" x14ac:dyDescent="0.15">
      <c r="A166" s="6" t="s">
        <v>3</v>
      </c>
      <c r="B166" s="6">
        <v>19</v>
      </c>
      <c r="C166" s="5" t="s">
        <v>23</v>
      </c>
      <c r="D166" s="5" t="s">
        <v>30</v>
      </c>
      <c r="E166" s="7">
        <v>44726</v>
      </c>
      <c r="F166" s="6" t="s">
        <v>5</v>
      </c>
      <c r="G166" s="6" t="s">
        <v>35</v>
      </c>
      <c r="H166" s="3" t="s">
        <v>10</v>
      </c>
      <c r="I166" s="2">
        <v>4.5</v>
      </c>
      <c r="J166" s="2">
        <v>5</v>
      </c>
      <c r="K166" t="s">
        <v>253</v>
      </c>
      <c r="L166">
        <v>1</v>
      </c>
      <c r="M166" t="str">
        <f>VLOOKUP(H166,eq!$A$3:$T$13,20,)</f>
        <v>0.0534*(X4^2.403)+0.0115*(X4^2.3484)+0.007*(X4^2.5406)+0.084*(X4^1.6695)</v>
      </c>
      <c r="N166" t="str">
        <f t="shared" si="4"/>
        <v>0.0534*(5^2.403)+0.0115*(5^2.3484)+0.007*(5^2.5406)+0.084*(5^1.6695)</v>
      </c>
      <c r="O166" cm="1">
        <f t="array" ref="O166">eval_tr_dbh*1000</f>
        <v>4708.7989898844462</v>
      </c>
      <c r="P166" t="str">
        <f t="shared" si="5"/>
        <v>TN_19_EX_B1</v>
      </c>
    </row>
    <row r="167" spans="1:16" x14ac:dyDescent="0.15">
      <c r="A167" s="6" t="s">
        <v>3</v>
      </c>
      <c r="B167" s="6">
        <v>19</v>
      </c>
      <c r="C167" s="5" t="s">
        <v>23</v>
      </c>
      <c r="D167" s="5" t="s">
        <v>30</v>
      </c>
      <c r="E167" s="7">
        <v>44726</v>
      </c>
      <c r="F167" s="6" t="s">
        <v>9</v>
      </c>
      <c r="G167" s="6" t="s">
        <v>37</v>
      </c>
      <c r="H167" s="3" t="s">
        <v>15</v>
      </c>
      <c r="I167" s="2">
        <v>5.5</v>
      </c>
      <c r="J167" s="2">
        <v>4.5</v>
      </c>
      <c r="K167" t="s">
        <v>253</v>
      </c>
      <c r="L167">
        <v>1</v>
      </c>
      <c r="M167" t="str">
        <f>VLOOKUP(H167,eq!$A$3:$T$13,20,)</f>
        <v>0.0593*(X4^2.5026)+0.0135*(X4^2.4053)+0.0135*(X4^2.5532)+0.0546*(X4^1.6251)</v>
      </c>
      <c r="N167" t="str">
        <f t="shared" si="4"/>
        <v>0.0593*(4.5^2.5026)+0.0135*(4.5^2.4053)+0.0135*(4.5^2.5532)+0.0546*(4.5^1.6251)</v>
      </c>
      <c r="O167" cm="1">
        <f t="array" ref="O167">eval_tr_dbh*1000</f>
        <v>4317.58218226395</v>
      </c>
      <c r="P167" t="str">
        <f t="shared" si="5"/>
        <v>TN_19_EX_B4</v>
      </c>
    </row>
    <row r="168" spans="1:16" x14ac:dyDescent="0.15">
      <c r="A168" s="6" t="s">
        <v>3</v>
      </c>
      <c r="B168" s="6">
        <v>19</v>
      </c>
      <c r="C168" s="5" t="s">
        <v>23</v>
      </c>
      <c r="D168" s="5" t="s">
        <v>30</v>
      </c>
      <c r="E168" s="7">
        <v>44726</v>
      </c>
      <c r="F168" s="6" t="s">
        <v>6</v>
      </c>
      <c r="G168" s="6" t="s">
        <v>36</v>
      </c>
      <c r="H168" s="3" t="s">
        <v>10</v>
      </c>
      <c r="I168" s="2">
        <v>5.5</v>
      </c>
      <c r="J168" s="2">
        <v>5.5</v>
      </c>
      <c r="K168" t="s">
        <v>253</v>
      </c>
      <c r="L168">
        <v>1</v>
      </c>
      <c r="M168" t="str">
        <f>VLOOKUP(H168,eq!$A$3:$T$13,20,)</f>
        <v>0.0534*(X4^2.403)+0.0115*(X4^2.3484)+0.007*(X4^2.5406)+0.084*(X4^1.6695)</v>
      </c>
      <c r="N168" t="str">
        <f t="shared" si="4"/>
        <v>0.0534*(5.5^2.403)+0.0115*(5.5^2.3484)+0.007*(5.5^2.5406)+0.084*(5.5^1.6695)</v>
      </c>
      <c r="O168" cm="1">
        <f t="array" ref="O168">eval_tr_dbh*1000</f>
        <v>5819.6547415251471</v>
      </c>
      <c r="P168" t="str">
        <f t="shared" si="5"/>
        <v>TN_19_EX_B2</v>
      </c>
    </row>
    <row r="169" spans="1:16" x14ac:dyDescent="0.15">
      <c r="A169" s="6" t="s">
        <v>3</v>
      </c>
      <c r="B169" s="6">
        <v>19</v>
      </c>
      <c r="C169" s="5" t="s">
        <v>23</v>
      </c>
      <c r="D169" s="5" t="s">
        <v>30</v>
      </c>
      <c r="E169" s="7">
        <v>44726</v>
      </c>
      <c r="F169" s="6" t="s">
        <v>7</v>
      </c>
      <c r="G169" s="6" t="s">
        <v>34</v>
      </c>
      <c r="H169" s="3" t="s">
        <v>10</v>
      </c>
      <c r="I169" s="2">
        <v>4.5</v>
      </c>
      <c r="J169" s="2">
        <v>5.75</v>
      </c>
      <c r="K169" t="s">
        <v>253</v>
      </c>
      <c r="L169">
        <v>1</v>
      </c>
      <c r="M169" t="str">
        <f>VLOOKUP(H169,eq!$A$3:$T$13,20,)</f>
        <v>0.0534*(X4^2.403)+0.0115*(X4^2.3484)+0.007*(X4^2.5406)+0.084*(X4^1.6695)</v>
      </c>
      <c r="N169" t="str">
        <f t="shared" si="4"/>
        <v>0.0534*(5.75^2.403)+0.0115*(5.75^2.3484)+0.007*(5.75^2.5406)+0.084*(5.75^1.6695)</v>
      </c>
      <c r="O169" cm="1">
        <f t="array" ref="O169">eval_tr_dbh*1000</f>
        <v>6426.0117856541538</v>
      </c>
      <c r="P169" t="str">
        <f t="shared" si="5"/>
        <v>TN_19_EX_B3</v>
      </c>
    </row>
    <row r="170" spans="1:16" x14ac:dyDescent="0.15">
      <c r="A170" s="6" t="s">
        <v>3</v>
      </c>
      <c r="B170" s="6">
        <v>19</v>
      </c>
      <c r="C170" s="5" t="s">
        <v>23</v>
      </c>
      <c r="D170" s="5" t="s">
        <v>30</v>
      </c>
      <c r="E170" s="7">
        <v>44726</v>
      </c>
      <c r="F170" s="6" t="s">
        <v>6</v>
      </c>
      <c r="G170" s="6" t="s">
        <v>36</v>
      </c>
      <c r="H170" s="3" t="s">
        <v>15</v>
      </c>
      <c r="I170" s="2">
        <v>5</v>
      </c>
      <c r="J170" s="2">
        <v>5</v>
      </c>
      <c r="K170" t="s">
        <v>253</v>
      </c>
      <c r="L170">
        <v>1</v>
      </c>
      <c r="M170" t="str">
        <f>VLOOKUP(H170,eq!$A$3:$T$13,20,)</f>
        <v>0.0593*(X4^2.5026)+0.0135*(X4^2.4053)+0.0135*(X4^2.5532)+0.0546*(X4^1.6251)</v>
      </c>
      <c r="N170" t="str">
        <f t="shared" si="4"/>
        <v>0.0593*(5^2.5026)+0.0135*(5^2.4053)+0.0135*(5^2.5532)+0.0546*(5^1.6251)</v>
      </c>
      <c r="O170" cm="1">
        <f t="array" ref="O170">eval_tr_dbh*1000</f>
        <v>5545.5964997282672</v>
      </c>
      <c r="P170" t="str">
        <f t="shared" si="5"/>
        <v>TN_19_EX_B2</v>
      </c>
    </row>
    <row r="171" spans="1:16" x14ac:dyDescent="0.15">
      <c r="A171" s="6" t="s">
        <v>3</v>
      </c>
      <c r="B171" s="6">
        <v>19</v>
      </c>
      <c r="C171" s="5" t="s">
        <v>23</v>
      </c>
      <c r="D171" s="5" t="s">
        <v>30</v>
      </c>
      <c r="E171" s="7">
        <v>44726</v>
      </c>
      <c r="F171" s="6" t="s">
        <v>9</v>
      </c>
      <c r="G171" s="6" t="s">
        <v>37</v>
      </c>
      <c r="H171" s="3" t="s">
        <v>15</v>
      </c>
      <c r="I171" s="2">
        <v>6</v>
      </c>
      <c r="J171" s="2">
        <v>5</v>
      </c>
      <c r="K171" t="s">
        <v>253</v>
      </c>
      <c r="L171">
        <v>1</v>
      </c>
      <c r="M171" t="str">
        <f>VLOOKUP(H171,eq!$A$3:$T$13,20,)</f>
        <v>0.0593*(X4^2.5026)+0.0135*(X4^2.4053)+0.0135*(X4^2.5532)+0.0546*(X4^1.6251)</v>
      </c>
      <c r="N171" t="str">
        <f t="shared" si="4"/>
        <v>0.0593*(5^2.5026)+0.0135*(5^2.4053)+0.0135*(5^2.5532)+0.0546*(5^1.6251)</v>
      </c>
      <c r="O171" cm="1">
        <f t="array" ref="O171">eval_tr_dbh*1000</f>
        <v>5545.5964997282672</v>
      </c>
      <c r="P171" t="str">
        <f t="shared" si="5"/>
        <v>TN_19_EX_B4</v>
      </c>
    </row>
    <row r="172" spans="1:16" x14ac:dyDescent="0.15">
      <c r="A172" s="6" t="s">
        <v>3</v>
      </c>
      <c r="B172" s="6">
        <v>19</v>
      </c>
      <c r="C172" s="5" t="s">
        <v>23</v>
      </c>
      <c r="D172" s="5" t="s">
        <v>30</v>
      </c>
      <c r="E172" s="7">
        <v>44726</v>
      </c>
      <c r="F172" s="6" t="s">
        <v>6</v>
      </c>
      <c r="G172" s="6" t="s">
        <v>36</v>
      </c>
      <c r="H172" s="3" t="s">
        <v>15</v>
      </c>
      <c r="I172" s="2">
        <v>5.5</v>
      </c>
      <c r="J172" s="2">
        <v>5.25</v>
      </c>
      <c r="K172" t="s">
        <v>253</v>
      </c>
      <c r="L172">
        <v>1</v>
      </c>
      <c r="M172" t="str">
        <f>VLOOKUP(H172,eq!$A$3:$T$13,20,)</f>
        <v>0.0593*(X4^2.5026)+0.0135*(X4^2.4053)+0.0135*(X4^2.5532)+0.0546*(X4^1.6251)</v>
      </c>
      <c r="N172" t="str">
        <f t="shared" si="4"/>
        <v>0.0593*(5.25^2.5026)+0.0135*(5.25^2.4053)+0.0135*(5.25^2.5532)+0.0546*(5.25^1.6251)</v>
      </c>
      <c r="O172" cm="1">
        <f t="array" ref="O172">eval_tr_dbh*1000</f>
        <v>6229.2762507899752</v>
      </c>
      <c r="P172" t="str">
        <f t="shared" si="5"/>
        <v>TN_19_EX_B2</v>
      </c>
    </row>
    <row r="173" spans="1:16" x14ac:dyDescent="0.15">
      <c r="A173" s="6" t="s">
        <v>3</v>
      </c>
      <c r="B173" s="6">
        <v>19</v>
      </c>
      <c r="C173" s="5" t="s">
        <v>23</v>
      </c>
      <c r="D173" s="5" t="s">
        <v>30</v>
      </c>
      <c r="E173" s="7">
        <v>44726</v>
      </c>
      <c r="F173" s="6" t="s">
        <v>5</v>
      </c>
      <c r="G173" s="6" t="s">
        <v>35</v>
      </c>
      <c r="H173" s="3" t="s">
        <v>10</v>
      </c>
      <c r="I173" s="2">
        <v>5</v>
      </c>
      <c r="J173" s="2">
        <v>6.5</v>
      </c>
      <c r="K173" t="s">
        <v>253</v>
      </c>
      <c r="L173">
        <v>1</v>
      </c>
      <c r="M173" t="str">
        <f>VLOOKUP(H173,eq!$A$3:$T$13,20,)</f>
        <v>0.0534*(X4^2.403)+0.0115*(X4^2.3484)+0.007*(X4^2.5406)+0.084*(X4^1.6695)</v>
      </c>
      <c r="N173" t="str">
        <f t="shared" si="4"/>
        <v>0.0534*(6.5^2.403)+0.0115*(6.5^2.3484)+0.007*(6.5^2.5406)+0.084*(6.5^1.6695)</v>
      </c>
      <c r="O173" cm="1">
        <f t="array" ref="O173">eval_tr_dbh*1000</f>
        <v>8455.062918442316</v>
      </c>
      <c r="P173" t="str">
        <f t="shared" si="5"/>
        <v>TN_19_EX_B1</v>
      </c>
    </row>
    <row r="174" spans="1:16" x14ac:dyDescent="0.15">
      <c r="A174" s="6" t="s">
        <v>3</v>
      </c>
      <c r="B174" s="6">
        <v>19</v>
      </c>
      <c r="C174" s="5" t="s">
        <v>23</v>
      </c>
      <c r="D174" s="5" t="s">
        <v>30</v>
      </c>
      <c r="E174" s="7">
        <v>44726</v>
      </c>
      <c r="F174" s="6" t="s">
        <v>6</v>
      </c>
      <c r="G174" s="6" t="s">
        <v>36</v>
      </c>
      <c r="H174" s="3" t="s">
        <v>15</v>
      </c>
      <c r="I174" s="2">
        <v>6.5</v>
      </c>
      <c r="J174" s="2">
        <v>6</v>
      </c>
      <c r="K174" t="s">
        <v>253</v>
      </c>
      <c r="L174">
        <v>1</v>
      </c>
      <c r="M174" t="str">
        <f>VLOOKUP(H174,eq!$A$3:$T$13,20,)</f>
        <v>0.0593*(X4^2.5026)+0.0135*(X4^2.4053)+0.0135*(X4^2.5532)+0.0546*(X4^1.6251)</v>
      </c>
      <c r="N174" t="str">
        <f t="shared" si="4"/>
        <v>0.0593*(6^2.5026)+0.0135*(6^2.4053)+0.0135*(6^2.5532)+0.0546*(6^1.6251)</v>
      </c>
      <c r="O174" cm="1">
        <f t="array" ref="O174">eval_tr_dbh*1000</f>
        <v>8571.8396920973228</v>
      </c>
      <c r="P174" t="str">
        <f t="shared" si="5"/>
        <v>TN_19_EX_B2</v>
      </c>
    </row>
    <row r="175" spans="1:16" x14ac:dyDescent="0.15">
      <c r="A175" s="6" t="s">
        <v>3</v>
      </c>
      <c r="B175" s="6">
        <v>19</v>
      </c>
      <c r="C175" s="5" t="s">
        <v>23</v>
      </c>
      <c r="D175" s="5" t="s">
        <v>30</v>
      </c>
      <c r="E175" s="7">
        <v>44726</v>
      </c>
      <c r="F175" s="6" t="s">
        <v>6</v>
      </c>
      <c r="G175" s="6" t="s">
        <v>36</v>
      </c>
      <c r="H175" s="3" t="s">
        <v>10</v>
      </c>
      <c r="I175" s="2">
        <v>6</v>
      </c>
      <c r="J175" s="2">
        <v>7.25</v>
      </c>
      <c r="K175" t="s">
        <v>253</v>
      </c>
      <c r="L175">
        <v>1</v>
      </c>
      <c r="M175" t="str">
        <f>VLOOKUP(H175,eq!$A$3:$T$13,20,)</f>
        <v>0.0534*(X4^2.403)+0.0115*(X4^2.3484)+0.007*(X4^2.5406)+0.084*(X4^1.6695)</v>
      </c>
      <c r="N175" t="str">
        <f t="shared" si="4"/>
        <v>0.0534*(7.25^2.403)+0.0115*(7.25^2.3484)+0.007*(7.25^2.5406)+0.084*(7.25^1.6695)</v>
      </c>
      <c r="O175" cm="1">
        <f t="array" ref="O175">eval_tr_dbh*1000</f>
        <v>10809.531358577111</v>
      </c>
      <c r="P175" t="str">
        <f t="shared" si="5"/>
        <v>TN_19_EX_B2</v>
      </c>
    </row>
    <row r="176" spans="1:16" x14ac:dyDescent="0.15">
      <c r="A176" s="5" t="s">
        <v>3</v>
      </c>
      <c r="B176" s="5">
        <v>19</v>
      </c>
      <c r="C176" s="5" t="s">
        <v>23</v>
      </c>
      <c r="D176" s="5" t="s">
        <v>30</v>
      </c>
      <c r="E176" s="7">
        <v>44726</v>
      </c>
      <c r="F176" s="5" t="s">
        <v>5</v>
      </c>
      <c r="G176" s="5" t="s">
        <v>35</v>
      </c>
      <c r="H176" s="3" t="s">
        <v>10</v>
      </c>
      <c r="I176" s="4">
        <v>5.5</v>
      </c>
      <c r="J176" s="4">
        <v>7.5</v>
      </c>
      <c r="K176" t="s">
        <v>253</v>
      </c>
      <c r="L176">
        <v>1</v>
      </c>
      <c r="M176" t="str">
        <f>VLOOKUP(H176,eq!$A$3:$T$13,20,)</f>
        <v>0.0534*(X4^2.403)+0.0115*(X4^2.3484)+0.007*(X4^2.5406)+0.084*(X4^1.6695)</v>
      </c>
      <c r="N176" t="str">
        <f t="shared" si="4"/>
        <v>0.0534*(7.5^2.403)+0.0115*(7.5^2.3484)+0.007*(7.5^2.5406)+0.084*(7.5^1.6695)</v>
      </c>
      <c r="O176" cm="1">
        <f t="array" ref="O176">eval_tr_dbh*1000</f>
        <v>11668.900257010284</v>
      </c>
      <c r="P176" t="str">
        <f t="shared" si="5"/>
        <v>TN_19_EX_B1</v>
      </c>
    </row>
    <row r="177" spans="1:16" x14ac:dyDescent="0.15">
      <c r="A177" s="6" t="s">
        <v>3</v>
      </c>
      <c r="B177" s="6">
        <v>19</v>
      </c>
      <c r="C177" s="5" t="s">
        <v>23</v>
      </c>
      <c r="D177" s="5" t="s">
        <v>30</v>
      </c>
      <c r="E177" s="7">
        <v>44726</v>
      </c>
      <c r="F177" s="6" t="s">
        <v>7</v>
      </c>
      <c r="G177" s="6" t="s">
        <v>34</v>
      </c>
      <c r="H177" s="3" t="s">
        <v>10</v>
      </c>
      <c r="I177" s="2">
        <v>5.5</v>
      </c>
      <c r="J177" s="2">
        <v>7.75</v>
      </c>
      <c r="K177" t="s">
        <v>253</v>
      </c>
      <c r="L177">
        <v>1</v>
      </c>
      <c r="M177" t="str">
        <f>VLOOKUP(H177,eq!$A$3:$T$13,20,)</f>
        <v>0.0534*(X4^2.403)+0.0115*(X4^2.3484)+0.007*(X4^2.5406)+0.084*(X4^1.6695)</v>
      </c>
      <c r="N177" t="str">
        <f t="shared" si="4"/>
        <v>0.0534*(7.75^2.403)+0.0115*(7.75^2.3484)+0.007*(7.75^2.5406)+0.084*(7.75^1.6695)</v>
      </c>
      <c r="O177" cm="1">
        <f t="array" ref="O177">eval_tr_dbh*1000</f>
        <v>12566.309685212867</v>
      </c>
      <c r="P177" t="str">
        <f t="shared" si="5"/>
        <v>TN_19_EX_B3</v>
      </c>
    </row>
    <row r="178" spans="1:16" x14ac:dyDescent="0.15">
      <c r="A178" s="6" t="s">
        <v>3</v>
      </c>
      <c r="B178" s="6">
        <v>19</v>
      </c>
      <c r="C178" s="5" t="s">
        <v>23</v>
      </c>
      <c r="D178" s="5" t="s">
        <v>30</v>
      </c>
      <c r="E178" s="7">
        <v>44726</v>
      </c>
      <c r="F178" s="6" t="s">
        <v>9</v>
      </c>
      <c r="G178" s="6" t="s">
        <v>37</v>
      </c>
      <c r="H178" s="3" t="s">
        <v>15</v>
      </c>
      <c r="I178" s="2">
        <v>6.5</v>
      </c>
      <c r="J178" s="2">
        <v>6.75</v>
      </c>
      <c r="K178" t="s">
        <v>253</v>
      </c>
      <c r="L178">
        <v>1</v>
      </c>
      <c r="M178" t="str">
        <f>VLOOKUP(H178,eq!$A$3:$T$13,20,)</f>
        <v>0.0593*(X4^2.5026)+0.0135*(X4^2.4053)+0.0135*(X4^2.5532)+0.0546*(X4^1.6251)</v>
      </c>
      <c r="N178" t="str">
        <f t="shared" si="4"/>
        <v>0.0593*(6.75^2.5026)+0.0135*(6.75^2.4053)+0.0135*(6.75^2.5532)+0.0546*(6.75^1.6251)</v>
      </c>
      <c r="O178" cm="1">
        <f t="array" ref="O178">eval_tr_dbh*1000</f>
        <v>11373.092112548948</v>
      </c>
      <c r="P178" t="str">
        <f t="shared" si="5"/>
        <v>TN_19_EX_B4</v>
      </c>
    </row>
    <row r="179" spans="1:16" x14ac:dyDescent="0.15">
      <c r="A179" s="6" t="s">
        <v>3</v>
      </c>
      <c r="B179" s="6">
        <v>19</v>
      </c>
      <c r="C179" s="5" t="s">
        <v>23</v>
      </c>
      <c r="D179" s="5" t="s">
        <v>30</v>
      </c>
      <c r="E179" s="7">
        <v>44726</v>
      </c>
      <c r="F179" s="6" t="s">
        <v>9</v>
      </c>
      <c r="G179" s="6" t="s">
        <v>37</v>
      </c>
      <c r="H179" s="3" t="s">
        <v>15</v>
      </c>
      <c r="I179" s="2">
        <v>7</v>
      </c>
      <c r="J179" s="2">
        <v>7</v>
      </c>
      <c r="K179" t="s">
        <v>253</v>
      </c>
      <c r="L179">
        <v>1</v>
      </c>
      <c r="M179" t="str">
        <f>VLOOKUP(H179,eq!$A$3:$T$13,20,)</f>
        <v>0.0593*(X4^2.5026)+0.0135*(X4^2.4053)+0.0135*(X4^2.5532)+0.0546*(X4^1.6251)</v>
      </c>
      <c r="N179" t="str">
        <f t="shared" si="4"/>
        <v>0.0593*(7^2.5026)+0.0135*(7^2.4053)+0.0135*(7^2.5532)+0.0546*(7^1.6251)</v>
      </c>
      <c r="O179" cm="1">
        <f t="array" ref="O179">eval_tr_dbh*1000</f>
        <v>12413.345768382282</v>
      </c>
      <c r="P179" t="str">
        <f t="shared" si="5"/>
        <v>TN_19_EX_B4</v>
      </c>
    </row>
    <row r="180" spans="1:16" x14ac:dyDescent="0.15">
      <c r="A180" s="5" t="s">
        <v>3</v>
      </c>
      <c r="B180" s="5">
        <v>20</v>
      </c>
      <c r="C180" s="5" t="s">
        <v>22</v>
      </c>
      <c r="D180" s="5" t="s">
        <v>30</v>
      </c>
      <c r="E180" s="7">
        <v>44726</v>
      </c>
      <c r="F180" s="5" t="s">
        <v>5</v>
      </c>
      <c r="G180" s="5" t="s">
        <v>35</v>
      </c>
      <c r="H180" s="5" t="s">
        <v>15</v>
      </c>
      <c r="I180" s="4">
        <v>7</v>
      </c>
      <c r="J180" s="4">
        <v>26.5</v>
      </c>
      <c r="K180" t="s">
        <v>177</v>
      </c>
      <c r="L180">
        <v>2</v>
      </c>
      <c r="M180" t="str">
        <f>VLOOKUP(H180,eq!$A$3:$T$13,20,)</f>
        <v>0.0593*(X4^2.5026)+0.0135*(X4^2.4053)+0.0135*(X4^2.5532)+0.0546*(X4^1.6251)</v>
      </c>
      <c r="N180" t="str">
        <f t="shared" si="4"/>
        <v>0.0593*(26.5^2.5026)+0.0135*(26.5^2.4053)+0.0135*(26.5^2.5532)+0.0546*(26.5^1.6251)</v>
      </c>
      <c r="O180" cm="1">
        <f t="array" ref="O180">eval_tr_dbh*1000</f>
        <v>321310.77855363145</v>
      </c>
      <c r="P180" t="str">
        <f t="shared" si="5"/>
        <v>TN_20_CTRL_B1</v>
      </c>
    </row>
    <row r="181" spans="1:16" x14ac:dyDescent="0.15">
      <c r="A181" s="5" t="s">
        <v>3</v>
      </c>
      <c r="B181" s="5">
        <v>20</v>
      </c>
      <c r="C181" s="5" t="s">
        <v>22</v>
      </c>
      <c r="D181" s="5" t="s">
        <v>30</v>
      </c>
      <c r="E181" s="7">
        <v>44726</v>
      </c>
      <c r="F181" s="5" t="s">
        <v>6</v>
      </c>
      <c r="G181" s="5" t="s">
        <v>36</v>
      </c>
      <c r="H181" s="5" t="s">
        <v>21</v>
      </c>
      <c r="I181" s="4" t="s">
        <v>4</v>
      </c>
      <c r="J181" s="4" t="s">
        <v>4</v>
      </c>
      <c r="K181" t="s">
        <v>177</v>
      </c>
      <c r="L181">
        <v>2</v>
      </c>
      <c r="M181" t="e">
        <f>VLOOKUP(H181,eq!$A$3:$T$13,20,)</f>
        <v>#N/A</v>
      </c>
      <c r="N181" t="e">
        <f t="shared" si="4"/>
        <v>#N/A</v>
      </c>
      <c r="O181" t="e" cm="1">
        <f t="array" ref="O181">eval_tr_dbh*1000</f>
        <v>#N/A</v>
      </c>
      <c r="P181" t="str">
        <f t="shared" si="5"/>
        <v>TN_20_CTRL_B2</v>
      </c>
    </row>
    <row r="182" spans="1:16" x14ac:dyDescent="0.15">
      <c r="A182" s="5" t="s">
        <v>3</v>
      </c>
      <c r="B182" s="5">
        <v>20</v>
      </c>
      <c r="C182" s="5" t="s">
        <v>22</v>
      </c>
      <c r="D182" s="5" t="s">
        <v>30</v>
      </c>
      <c r="E182" s="7">
        <v>44726</v>
      </c>
      <c r="F182" s="5" t="s">
        <v>7</v>
      </c>
      <c r="G182" s="5" t="s">
        <v>34</v>
      </c>
      <c r="H182" s="5" t="s">
        <v>21</v>
      </c>
      <c r="I182" s="4" t="s">
        <v>4</v>
      </c>
      <c r="J182" s="4" t="s">
        <v>4</v>
      </c>
      <c r="K182" t="s">
        <v>177</v>
      </c>
      <c r="L182">
        <v>2</v>
      </c>
      <c r="M182" t="e">
        <f>VLOOKUP(H182,eq!$A$3:$T$13,20,)</f>
        <v>#N/A</v>
      </c>
      <c r="N182" t="e">
        <f t="shared" si="4"/>
        <v>#N/A</v>
      </c>
      <c r="O182" t="e" cm="1">
        <f t="array" ref="O182">eval_tr_dbh*1000</f>
        <v>#N/A</v>
      </c>
      <c r="P182" t="str">
        <f t="shared" si="5"/>
        <v>TN_20_CTRL_B3</v>
      </c>
    </row>
    <row r="183" spans="1:16" x14ac:dyDescent="0.15">
      <c r="A183" s="5" t="s">
        <v>3</v>
      </c>
      <c r="B183" s="5">
        <v>20</v>
      </c>
      <c r="C183" s="5" t="s">
        <v>22</v>
      </c>
      <c r="D183" s="5" t="s">
        <v>30</v>
      </c>
      <c r="E183" s="7">
        <v>44726</v>
      </c>
      <c r="F183" s="5" t="s">
        <v>9</v>
      </c>
      <c r="G183" s="5" t="s">
        <v>37</v>
      </c>
      <c r="H183" s="5" t="s">
        <v>21</v>
      </c>
      <c r="I183" s="4" t="s">
        <v>4</v>
      </c>
      <c r="J183" s="4" t="s">
        <v>4</v>
      </c>
      <c r="K183" t="s">
        <v>177</v>
      </c>
      <c r="L183">
        <v>2</v>
      </c>
      <c r="M183" t="e">
        <f>VLOOKUP(H183,eq!$A$3:$T$13,20,)</f>
        <v>#N/A</v>
      </c>
      <c r="N183" t="e">
        <f t="shared" si="4"/>
        <v>#N/A</v>
      </c>
      <c r="O183" t="e" cm="1">
        <f t="array" ref="O183">eval_tr_dbh*1000</f>
        <v>#N/A</v>
      </c>
      <c r="P183" t="str">
        <f t="shared" si="5"/>
        <v>TN_20_CTRL_B4</v>
      </c>
    </row>
    <row r="184" spans="1:16" x14ac:dyDescent="0.15">
      <c r="A184" s="5" t="s">
        <v>3</v>
      </c>
      <c r="B184" s="5">
        <v>20</v>
      </c>
      <c r="C184" s="5" t="s">
        <v>23</v>
      </c>
      <c r="D184" s="5" t="s">
        <v>30</v>
      </c>
      <c r="E184" s="7">
        <v>44726</v>
      </c>
      <c r="F184" s="5" t="s">
        <v>9</v>
      </c>
      <c r="G184" s="5" t="s">
        <v>37</v>
      </c>
      <c r="H184" s="3" t="s">
        <v>10</v>
      </c>
      <c r="I184" s="4">
        <v>4</v>
      </c>
      <c r="J184" s="4">
        <v>3.6</v>
      </c>
      <c r="K184" t="s">
        <v>257</v>
      </c>
      <c r="L184">
        <v>2</v>
      </c>
      <c r="M184" t="str">
        <f>VLOOKUP(H184,eq!$A$3:$T$13,20,)</f>
        <v>0.0534*(X4^2.403)+0.0115*(X4^2.3484)+0.007*(X4^2.5406)+0.084*(X4^1.6695)</v>
      </c>
      <c r="N184" t="str">
        <f t="shared" si="4"/>
        <v>0.0534*(3.6^2.403)+0.0115*(3.6^2.3484)+0.007*(3.6^2.5406)+0.084*(3.6^1.6695)</v>
      </c>
      <c r="O184" cm="1">
        <f t="array" ref="O184">eval_tr_dbh*1000</f>
        <v>2286.761293133959</v>
      </c>
      <c r="P184" t="str">
        <f t="shared" si="5"/>
        <v>TN_20_EX_B4</v>
      </c>
    </row>
    <row r="185" spans="1:16" x14ac:dyDescent="0.15">
      <c r="A185" s="5" t="s">
        <v>3</v>
      </c>
      <c r="B185" s="5">
        <v>20</v>
      </c>
      <c r="C185" s="5" t="s">
        <v>23</v>
      </c>
      <c r="D185" s="5" t="s">
        <v>30</v>
      </c>
      <c r="E185" s="7">
        <v>44726</v>
      </c>
      <c r="F185" s="5" t="s">
        <v>5</v>
      </c>
      <c r="G185" s="5" t="s">
        <v>35</v>
      </c>
      <c r="H185" s="5" t="s">
        <v>17</v>
      </c>
      <c r="I185" s="4">
        <v>4</v>
      </c>
      <c r="J185" s="4">
        <v>4.3</v>
      </c>
      <c r="K185" t="s">
        <v>257</v>
      </c>
      <c r="L185">
        <v>2</v>
      </c>
      <c r="M185" t="str">
        <f>VLOOKUP(H185,eq!$A$3:$T$13,20,)</f>
        <v>0.1014*(X4^2.3448)+0.0291*(X4^2.0893)+0.0175*(X4^2.4846)+0.0515*(X4^1.5198)</v>
      </c>
      <c r="N185" t="str">
        <f t="shared" si="4"/>
        <v>0.1014*(4.3^2.3448)+0.0291*(4.3^2.0893)+0.0175*(4.3^2.4846)+0.0515*(4.3^1.5198)</v>
      </c>
      <c r="O185" cm="1">
        <f t="array" ref="O185">eval_tr_dbh*1000</f>
        <v>4841.8884623631375</v>
      </c>
      <c r="P185" t="str">
        <f t="shared" si="5"/>
        <v>TN_20_EX_B1</v>
      </c>
    </row>
    <row r="186" spans="1:16" x14ac:dyDescent="0.15">
      <c r="A186" s="5" t="s">
        <v>3</v>
      </c>
      <c r="B186" s="5">
        <v>20</v>
      </c>
      <c r="C186" s="5" t="s">
        <v>23</v>
      </c>
      <c r="D186" s="5" t="s">
        <v>30</v>
      </c>
      <c r="E186" s="7">
        <v>44726</v>
      </c>
      <c r="F186" s="5" t="s">
        <v>7</v>
      </c>
      <c r="G186" s="5" t="s">
        <v>34</v>
      </c>
      <c r="H186" s="3" t="s">
        <v>8</v>
      </c>
      <c r="I186" s="4">
        <v>3.5</v>
      </c>
      <c r="J186" s="4">
        <v>5.2</v>
      </c>
      <c r="K186" t="s">
        <v>257</v>
      </c>
      <c r="L186">
        <v>2</v>
      </c>
      <c r="M186" t="str">
        <f>VLOOKUP(H186,eq!$A$3:$T$13,20,)</f>
        <v>0.0477*(X4^2.5147)+0.0153*(X4^2.2429)+0.0278*(X4^2.0839)+0.1648*(X4^1.4143)</v>
      </c>
      <c r="N186" t="str">
        <f t="shared" si="4"/>
        <v>0.0477*(5.2^2.5147)+0.0153*(5.2^2.2429)+0.0278*(5.2^2.0839)+0.1648*(5.2^1.4143)</v>
      </c>
      <c r="O186" cm="1">
        <f t="array" ref="O186">eval_tr_dbh*1000</f>
        <v>6190.7443771281978</v>
      </c>
      <c r="P186" t="str">
        <f t="shared" si="5"/>
        <v>TN_20_EX_B3</v>
      </c>
    </row>
    <row r="187" spans="1:16" x14ac:dyDescent="0.15">
      <c r="A187" s="5" t="s">
        <v>3</v>
      </c>
      <c r="B187" s="5">
        <v>20</v>
      </c>
      <c r="C187" s="5" t="s">
        <v>23</v>
      </c>
      <c r="D187" s="5" t="s">
        <v>30</v>
      </c>
      <c r="E187" s="7">
        <v>44726</v>
      </c>
      <c r="F187" s="5" t="s">
        <v>6</v>
      </c>
      <c r="G187" s="5" t="s">
        <v>36</v>
      </c>
      <c r="H187" s="3" t="s">
        <v>10</v>
      </c>
      <c r="I187" s="4">
        <v>4.5</v>
      </c>
      <c r="J187" s="4">
        <v>6</v>
      </c>
      <c r="K187" t="s">
        <v>257</v>
      </c>
      <c r="L187">
        <v>2</v>
      </c>
      <c r="M187" t="str">
        <f>VLOOKUP(H187,eq!$A$3:$T$13,20,)</f>
        <v>0.0534*(X4^2.403)+0.0115*(X4^2.3484)+0.007*(X4^2.5406)+0.084*(X4^1.6695)</v>
      </c>
      <c r="N187" t="str">
        <f t="shared" si="4"/>
        <v>0.0534*(6^2.403)+0.0115*(6^2.3484)+0.007*(6^2.5406)+0.084*(6^1.6695)</v>
      </c>
      <c r="O187" cm="1">
        <f t="array" ref="O187">eval_tr_dbh*1000</f>
        <v>7067.0252069550461</v>
      </c>
      <c r="P187" t="str">
        <f t="shared" si="5"/>
        <v>TN_20_EX_B2</v>
      </c>
    </row>
    <row r="188" spans="1:16" x14ac:dyDescent="0.15">
      <c r="A188" s="5" t="s">
        <v>3</v>
      </c>
      <c r="B188" s="5">
        <v>20</v>
      </c>
      <c r="C188" s="5" t="s">
        <v>23</v>
      </c>
      <c r="D188" s="5" t="s">
        <v>30</v>
      </c>
      <c r="E188" s="7">
        <v>44726</v>
      </c>
      <c r="F188" s="5" t="s">
        <v>9</v>
      </c>
      <c r="G188" s="5" t="s">
        <v>37</v>
      </c>
      <c r="H188" s="3" t="s">
        <v>10</v>
      </c>
      <c r="I188" s="4">
        <v>3.9</v>
      </c>
      <c r="J188" s="4">
        <v>6</v>
      </c>
      <c r="K188" t="s">
        <v>257</v>
      </c>
      <c r="L188">
        <v>2</v>
      </c>
      <c r="M188" t="str">
        <f>VLOOKUP(H188,eq!$A$3:$T$13,20,)</f>
        <v>0.0534*(X4^2.403)+0.0115*(X4^2.3484)+0.007*(X4^2.5406)+0.084*(X4^1.6695)</v>
      </c>
      <c r="N188" t="str">
        <f t="shared" si="4"/>
        <v>0.0534*(6^2.403)+0.0115*(6^2.3484)+0.007*(6^2.5406)+0.084*(6^1.6695)</v>
      </c>
      <c r="O188" cm="1">
        <f t="array" ref="O188">eval_tr_dbh*1000</f>
        <v>7067.0252069550461</v>
      </c>
      <c r="P188" t="str">
        <f t="shared" si="5"/>
        <v>TN_20_EX_B4</v>
      </c>
    </row>
    <row r="189" spans="1:16" x14ac:dyDescent="0.15">
      <c r="A189" s="5" t="s">
        <v>3</v>
      </c>
      <c r="B189" s="5">
        <v>20</v>
      </c>
      <c r="C189" s="5" t="s">
        <v>23</v>
      </c>
      <c r="D189" s="5" t="s">
        <v>30</v>
      </c>
      <c r="E189" s="7">
        <v>44726</v>
      </c>
      <c r="F189" s="5" t="s">
        <v>9</v>
      </c>
      <c r="G189" s="5" t="s">
        <v>37</v>
      </c>
      <c r="H189" s="3" t="s">
        <v>10</v>
      </c>
      <c r="I189" s="4">
        <v>3.8</v>
      </c>
      <c r="J189" s="4">
        <v>6.1</v>
      </c>
      <c r="K189" t="s">
        <v>257</v>
      </c>
      <c r="L189">
        <v>2</v>
      </c>
      <c r="M189" t="str">
        <f>VLOOKUP(H189,eq!$A$3:$T$13,20,)</f>
        <v>0.0534*(X4^2.403)+0.0115*(X4^2.3484)+0.007*(X4^2.5406)+0.084*(X4^1.6695)</v>
      </c>
      <c r="N189" t="str">
        <f t="shared" si="4"/>
        <v>0.0534*(6.1^2.403)+0.0115*(6.1^2.3484)+0.007*(6.1^2.5406)+0.084*(6.1^1.6695)</v>
      </c>
      <c r="O189" cm="1">
        <f t="array" ref="O189">eval_tr_dbh*1000</f>
        <v>7333.2496753482665</v>
      </c>
      <c r="P189" t="str">
        <f t="shared" si="5"/>
        <v>TN_20_EX_B4</v>
      </c>
    </row>
    <row r="190" spans="1:16" x14ac:dyDescent="0.15">
      <c r="A190" s="5" t="s">
        <v>3</v>
      </c>
      <c r="B190" s="5">
        <v>20</v>
      </c>
      <c r="C190" s="5" t="s">
        <v>23</v>
      </c>
      <c r="D190" s="5" t="s">
        <v>30</v>
      </c>
      <c r="E190" s="7">
        <v>44726</v>
      </c>
      <c r="F190" s="5" t="s">
        <v>6</v>
      </c>
      <c r="G190" s="5" t="s">
        <v>36</v>
      </c>
      <c r="H190" s="5" t="s">
        <v>15</v>
      </c>
      <c r="I190" s="4">
        <v>6.5</v>
      </c>
      <c r="J190" s="4">
        <v>8</v>
      </c>
      <c r="K190" t="s">
        <v>257</v>
      </c>
      <c r="L190">
        <v>2</v>
      </c>
      <c r="M190" t="str">
        <f>VLOOKUP(H190,eq!$A$3:$T$13,20,)</f>
        <v>0.0593*(X4^2.5026)+0.0135*(X4^2.4053)+0.0135*(X4^2.5532)+0.0546*(X4^1.6251)</v>
      </c>
      <c r="N190" t="str">
        <f t="shared" si="4"/>
        <v>0.0593*(8^2.5026)+0.0135*(8^2.4053)+0.0135*(8^2.5532)+0.0546*(8^1.6251)</v>
      </c>
      <c r="O190" cm="1">
        <f t="array" ref="O190">eval_tr_dbh*1000</f>
        <v>17131.736589662174</v>
      </c>
      <c r="P190" t="str">
        <f t="shared" si="5"/>
        <v>TN_20_EX_B2</v>
      </c>
    </row>
    <row r="191" spans="1:16" x14ac:dyDescent="0.15">
      <c r="A191" s="5" t="s">
        <v>3</v>
      </c>
      <c r="B191" s="5">
        <v>21</v>
      </c>
      <c r="C191" s="5" t="s">
        <v>22</v>
      </c>
      <c r="D191" s="5" t="s">
        <v>30</v>
      </c>
      <c r="E191" s="7">
        <v>44728</v>
      </c>
      <c r="F191" s="5" t="s">
        <v>9</v>
      </c>
      <c r="G191" s="5" t="s">
        <v>37</v>
      </c>
      <c r="H191" s="3" t="s">
        <v>8</v>
      </c>
      <c r="I191" s="4">
        <v>4</v>
      </c>
      <c r="J191" s="4">
        <v>4</v>
      </c>
      <c r="K191" t="s">
        <v>172</v>
      </c>
      <c r="L191">
        <v>1</v>
      </c>
      <c r="M191" t="str">
        <f>VLOOKUP(H191,eq!$A$3:$T$13,20,)</f>
        <v>0.0477*(X4^2.5147)+0.0153*(X4^2.2429)+0.0278*(X4^2.0839)+0.1648*(X4^1.4143)</v>
      </c>
      <c r="N191" t="str">
        <f t="shared" si="4"/>
        <v>0.0477*(4^2.5147)+0.0153*(4^2.2429)+0.0278*(4^2.0839)+0.1648*(4^1.4143)</v>
      </c>
      <c r="O191" cm="1">
        <f t="array" ref="O191">eval_tr_dbh*1000</f>
        <v>3571.0106093778986</v>
      </c>
      <c r="P191" t="str">
        <f t="shared" si="5"/>
        <v>TN_21_CTRL_B4</v>
      </c>
    </row>
    <row r="192" spans="1:16" x14ac:dyDescent="0.15">
      <c r="A192" s="5" t="s">
        <v>3</v>
      </c>
      <c r="B192" s="5">
        <v>21</v>
      </c>
      <c r="C192" s="5" t="s">
        <v>22</v>
      </c>
      <c r="D192" s="5" t="s">
        <v>30</v>
      </c>
      <c r="E192" s="7">
        <v>44728</v>
      </c>
      <c r="F192" s="5" t="s">
        <v>5</v>
      </c>
      <c r="G192" s="5" t="s">
        <v>35</v>
      </c>
      <c r="H192" s="5" t="s">
        <v>21</v>
      </c>
      <c r="I192" s="4" t="s">
        <v>4</v>
      </c>
      <c r="J192" s="4" t="s">
        <v>4</v>
      </c>
      <c r="K192" t="s">
        <v>172</v>
      </c>
      <c r="L192">
        <v>1</v>
      </c>
      <c r="M192" t="e">
        <f>VLOOKUP(H192,eq!$A$3:$T$13,20,)</f>
        <v>#N/A</v>
      </c>
      <c r="N192" t="e">
        <f t="shared" si="4"/>
        <v>#N/A</v>
      </c>
      <c r="O192" t="e" cm="1">
        <f t="array" ref="O192">eval_tr_dbh*1000</f>
        <v>#N/A</v>
      </c>
      <c r="P192" t="str">
        <f t="shared" si="5"/>
        <v>TN_21_CTRL_B1</v>
      </c>
    </row>
    <row r="193" spans="1:16" x14ac:dyDescent="0.15">
      <c r="A193" s="5" t="s">
        <v>3</v>
      </c>
      <c r="B193" s="5">
        <v>21</v>
      </c>
      <c r="C193" s="5" t="s">
        <v>22</v>
      </c>
      <c r="D193" s="5" t="s">
        <v>30</v>
      </c>
      <c r="E193" s="7">
        <v>44728</v>
      </c>
      <c r="F193" s="5" t="s">
        <v>6</v>
      </c>
      <c r="G193" s="5" t="s">
        <v>36</v>
      </c>
      <c r="H193" s="5" t="s">
        <v>21</v>
      </c>
      <c r="I193" s="4" t="s">
        <v>4</v>
      </c>
      <c r="J193" s="4" t="s">
        <v>4</v>
      </c>
      <c r="K193" t="s">
        <v>172</v>
      </c>
      <c r="L193">
        <v>1</v>
      </c>
      <c r="M193" t="e">
        <f>VLOOKUP(H193,eq!$A$3:$T$13,20,)</f>
        <v>#N/A</v>
      </c>
      <c r="N193" t="e">
        <f t="shared" si="4"/>
        <v>#N/A</v>
      </c>
      <c r="O193" t="e" cm="1">
        <f t="array" ref="O193">eval_tr_dbh*1000</f>
        <v>#N/A</v>
      </c>
      <c r="P193" t="str">
        <f t="shared" si="5"/>
        <v>TN_21_CTRL_B2</v>
      </c>
    </row>
    <row r="194" spans="1:16" x14ac:dyDescent="0.15">
      <c r="A194" s="5" t="s">
        <v>3</v>
      </c>
      <c r="B194" s="5">
        <v>21</v>
      </c>
      <c r="C194" s="5" t="s">
        <v>22</v>
      </c>
      <c r="D194" s="5" t="s">
        <v>30</v>
      </c>
      <c r="E194" s="7">
        <v>44728</v>
      </c>
      <c r="F194" s="5" t="s">
        <v>7</v>
      </c>
      <c r="G194" s="5" t="s">
        <v>34</v>
      </c>
      <c r="H194" s="5" t="s">
        <v>21</v>
      </c>
      <c r="I194" s="4" t="s">
        <v>4</v>
      </c>
      <c r="J194" s="4" t="s">
        <v>4</v>
      </c>
      <c r="K194" t="s">
        <v>172</v>
      </c>
      <c r="L194">
        <v>1</v>
      </c>
      <c r="M194" t="e">
        <f>VLOOKUP(H194,eq!$A$3:$T$13,20,)</f>
        <v>#N/A</v>
      </c>
      <c r="N194" t="e">
        <f t="shared" ref="N194:N257" si="6">SUBSTITUTE(M194, "X4", J194)</f>
        <v>#N/A</v>
      </c>
      <c r="O194" t="e" cm="1">
        <f t="array" ref="O194">eval_tr_dbh*1000</f>
        <v>#N/A</v>
      </c>
      <c r="P194" t="str">
        <f t="shared" si="5"/>
        <v>TN_21_CTRL_B3</v>
      </c>
    </row>
    <row r="195" spans="1:16" x14ac:dyDescent="0.15">
      <c r="A195" s="5" t="s">
        <v>3</v>
      </c>
      <c r="B195" s="5">
        <v>21</v>
      </c>
      <c r="C195" s="5" t="s">
        <v>23</v>
      </c>
      <c r="D195" s="5" t="s">
        <v>30</v>
      </c>
      <c r="E195" s="7">
        <v>44728</v>
      </c>
      <c r="F195" s="5" t="s">
        <v>6</v>
      </c>
      <c r="G195" s="5" t="s">
        <v>36</v>
      </c>
      <c r="H195" s="3" t="s">
        <v>12</v>
      </c>
      <c r="I195" s="4">
        <v>3</v>
      </c>
      <c r="J195" s="4">
        <v>1.5</v>
      </c>
      <c r="K195" t="s">
        <v>254</v>
      </c>
      <c r="L195">
        <v>1</v>
      </c>
      <c r="M195" t="str">
        <f>VLOOKUP(H195,eq!$A$3:$T$13,20,)</f>
        <v>0.1014*(X4^2.3448)+0.0291*(X4^2.0893)+0.0175*(X4^2.4846)+0.0515*(X4^1.5198)</v>
      </c>
      <c r="N195" t="str">
        <f t="shared" si="6"/>
        <v>0.1014*(1.5^2.3448)+0.0291*(1.5^2.0893)+0.0175*(1.5^2.4846)+0.0515*(1.5^1.5198)</v>
      </c>
      <c r="O195" cm="1">
        <f t="array" ref="O195">eval_tr_dbh*1000</f>
        <v>473.5711018460479</v>
      </c>
      <c r="P195" t="str">
        <f t="shared" ref="P195:P258" si="7">A195&amp;"_"&amp;B195&amp;"_"&amp;C195&amp;"_"&amp;G195</f>
        <v>TN_21_EX_B2</v>
      </c>
    </row>
    <row r="196" spans="1:16" x14ac:dyDescent="0.15">
      <c r="A196" s="5" t="s">
        <v>3</v>
      </c>
      <c r="B196" s="5">
        <v>21</v>
      </c>
      <c r="C196" s="5" t="s">
        <v>23</v>
      </c>
      <c r="D196" s="5" t="s">
        <v>30</v>
      </c>
      <c r="E196" s="7">
        <v>44728</v>
      </c>
      <c r="F196" s="5" t="s">
        <v>9</v>
      </c>
      <c r="G196" s="5" t="s">
        <v>37</v>
      </c>
      <c r="H196" s="5" t="s">
        <v>14</v>
      </c>
      <c r="I196" s="4">
        <v>4</v>
      </c>
      <c r="J196" s="4">
        <v>2.25</v>
      </c>
      <c r="K196" t="s">
        <v>254</v>
      </c>
      <c r="L196">
        <v>1</v>
      </c>
      <c r="M196" t="str">
        <f>VLOOKUP(H196,eq!$A$3:$T$13,20,)</f>
        <v>0.0941*(X4^2.3491)+0.0323*(X4^2.0761)+0.0448*(X4^1.9771)+0.0538*(X4^1.3584)</v>
      </c>
      <c r="N196" t="str">
        <f t="shared" si="6"/>
        <v>0.0941*(2.25^2.3491)+0.0323*(2.25^2.0761)+0.0448*(2.25^1.9771)+0.0538*(2.25^1.3584)</v>
      </c>
      <c r="O196" cm="1">
        <f t="array" ref="O196">eval_tr_dbh*1000</f>
        <v>1190.7010179849788</v>
      </c>
      <c r="P196" t="str">
        <f t="shared" si="7"/>
        <v>TN_21_EX_B4</v>
      </c>
    </row>
    <row r="197" spans="1:16" x14ac:dyDescent="0.15">
      <c r="A197" s="5" t="s">
        <v>3</v>
      </c>
      <c r="B197" s="5">
        <v>21</v>
      </c>
      <c r="C197" s="5" t="s">
        <v>23</v>
      </c>
      <c r="D197" s="5" t="s">
        <v>30</v>
      </c>
      <c r="E197" s="7">
        <v>44728</v>
      </c>
      <c r="F197" s="5" t="s">
        <v>5</v>
      </c>
      <c r="G197" s="5" t="s">
        <v>35</v>
      </c>
      <c r="H197" s="3" t="s">
        <v>12</v>
      </c>
      <c r="I197" s="4">
        <v>3</v>
      </c>
      <c r="J197" s="4">
        <v>2.5</v>
      </c>
      <c r="K197" t="s">
        <v>254</v>
      </c>
      <c r="L197">
        <v>1</v>
      </c>
      <c r="M197" t="str">
        <f>VLOOKUP(H197,eq!$A$3:$T$13,20,)</f>
        <v>0.1014*(X4^2.3448)+0.0291*(X4^2.0893)+0.0175*(X4^2.4846)+0.0515*(X4^1.5198)</v>
      </c>
      <c r="N197" t="str">
        <f t="shared" si="6"/>
        <v>0.1014*(2.5^2.3448)+0.0291*(2.5^2.0893)+0.0175*(2.5^2.4846)+0.0515*(2.5^1.5198)</v>
      </c>
      <c r="O197" cm="1">
        <f t="array" ref="O197">eval_tr_dbh*1000</f>
        <v>1444.4111774325797</v>
      </c>
      <c r="P197" t="str">
        <f t="shared" si="7"/>
        <v>TN_21_EX_B1</v>
      </c>
    </row>
    <row r="198" spans="1:16" x14ac:dyDescent="0.15">
      <c r="A198" s="5" t="s">
        <v>3</v>
      </c>
      <c r="B198" s="5">
        <v>21</v>
      </c>
      <c r="C198" s="5" t="s">
        <v>23</v>
      </c>
      <c r="D198" s="5" t="s">
        <v>30</v>
      </c>
      <c r="E198" s="7">
        <v>44728</v>
      </c>
      <c r="F198" s="5" t="s">
        <v>5</v>
      </c>
      <c r="G198" s="5" t="s">
        <v>35</v>
      </c>
      <c r="H198" s="3" t="s">
        <v>12</v>
      </c>
      <c r="I198" s="4">
        <v>3.5</v>
      </c>
      <c r="J198" s="4">
        <v>2.5</v>
      </c>
      <c r="K198" t="s">
        <v>254</v>
      </c>
      <c r="L198">
        <v>1</v>
      </c>
      <c r="M198" t="str">
        <f>VLOOKUP(H198,eq!$A$3:$T$13,20,)</f>
        <v>0.1014*(X4^2.3448)+0.0291*(X4^2.0893)+0.0175*(X4^2.4846)+0.0515*(X4^1.5198)</v>
      </c>
      <c r="N198" t="str">
        <f t="shared" si="6"/>
        <v>0.1014*(2.5^2.3448)+0.0291*(2.5^2.0893)+0.0175*(2.5^2.4846)+0.0515*(2.5^1.5198)</v>
      </c>
      <c r="O198" cm="1">
        <f t="array" ref="O198">eval_tr_dbh*1000</f>
        <v>1444.4111774325797</v>
      </c>
      <c r="P198" t="str">
        <f t="shared" si="7"/>
        <v>TN_21_EX_B1</v>
      </c>
    </row>
    <row r="199" spans="1:16" x14ac:dyDescent="0.15">
      <c r="A199" s="5" t="s">
        <v>3</v>
      </c>
      <c r="B199" s="5">
        <v>21</v>
      </c>
      <c r="C199" s="5" t="s">
        <v>23</v>
      </c>
      <c r="D199" s="5" t="s">
        <v>30</v>
      </c>
      <c r="E199" s="7">
        <v>44728</v>
      </c>
      <c r="F199" s="5" t="s">
        <v>7</v>
      </c>
      <c r="G199" s="5" t="s">
        <v>34</v>
      </c>
      <c r="H199" s="3" t="s">
        <v>12</v>
      </c>
      <c r="I199" s="4">
        <v>4</v>
      </c>
      <c r="J199" s="4">
        <v>2.5</v>
      </c>
      <c r="K199" t="s">
        <v>254</v>
      </c>
      <c r="L199">
        <v>1</v>
      </c>
      <c r="M199" t="str">
        <f>VLOOKUP(H199,eq!$A$3:$T$13,20,)</f>
        <v>0.1014*(X4^2.3448)+0.0291*(X4^2.0893)+0.0175*(X4^2.4846)+0.0515*(X4^1.5198)</v>
      </c>
      <c r="N199" t="str">
        <f t="shared" si="6"/>
        <v>0.1014*(2.5^2.3448)+0.0291*(2.5^2.0893)+0.0175*(2.5^2.4846)+0.0515*(2.5^1.5198)</v>
      </c>
      <c r="O199" cm="1">
        <f t="array" ref="O199">eval_tr_dbh*1000</f>
        <v>1444.4111774325797</v>
      </c>
      <c r="P199" t="str">
        <f t="shared" si="7"/>
        <v>TN_21_EX_B3</v>
      </c>
    </row>
    <row r="200" spans="1:16" x14ac:dyDescent="0.15">
      <c r="A200" s="5" t="s">
        <v>3</v>
      </c>
      <c r="B200" s="5">
        <v>21</v>
      </c>
      <c r="C200" s="5" t="s">
        <v>23</v>
      </c>
      <c r="D200" s="5" t="s">
        <v>30</v>
      </c>
      <c r="E200" s="7">
        <v>44728</v>
      </c>
      <c r="F200" s="5" t="s">
        <v>5</v>
      </c>
      <c r="G200" s="5" t="s">
        <v>35</v>
      </c>
      <c r="H200" s="3" t="s">
        <v>12</v>
      </c>
      <c r="I200" s="4">
        <v>4.5</v>
      </c>
      <c r="J200" s="4">
        <v>2.5</v>
      </c>
      <c r="K200" t="s">
        <v>254</v>
      </c>
      <c r="L200">
        <v>1</v>
      </c>
      <c r="M200" t="str">
        <f>VLOOKUP(H200,eq!$A$3:$T$13,20,)</f>
        <v>0.1014*(X4^2.3448)+0.0291*(X4^2.0893)+0.0175*(X4^2.4846)+0.0515*(X4^1.5198)</v>
      </c>
      <c r="N200" t="str">
        <f t="shared" si="6"/>
        <v>0.1014*(2.5^2.3448)+0.0291*(2.5^2.0893)+0.0175*(2.5^2.4846)+0.0515*(2.5^1.5198)</v>
      </c>
      <c r="O200" cm="1">
        <f t="array" ref="O200">eval_tr_dbh*1000</f>
        <v>1444.4111774325797</v>
      </c>
      <c r="P200" t="str">
        <f t="shared" si="7"/>
        <v>TN_21_EX_B1</v>
      </c>
    </row>
    <row r="201" spans="1:16" x14ac:dyDescent="0.15">
      <c r="A201" s="5" t="s">
        <v>3</v>
      </c>
      <c r="B201" s="5">
        <v>21</v>
      </c>
      <c r="C201" s="5" t="s">
        <v>23</v>
      </c>
      <c r="D201" s="5" t="s">
        <v>30</v>
      </c>
      <c r="E201" s="7">
        <v>44728</v>
      </c>
      <c r="F201" s="5" t="s">
        <v>9</v>
      </c>
      <c r="G201" s="5" t="s">
        <v>37</v>
      </c>
      <c r="H201" s="5" t="s">
        <v>12</v>
      </c>
      <c r="I201" s="4">
        <v>5.5</v>
      </c>
      <c r="J201" s="4">
        <v>2.5</v>
      </c>
      <c r="K201" t="s">
        <v>254</v>
      </c>
      <c r="L201">
        <v>1</v>
      </c>
      <c r="M201" t="str">
        <f>VLOOKUP(H201,eq!$A$3:$T$13,20,)</f>
        <v>0.1014*(X4^2.3448)+0.0291*(X4^2.0893)+0.0175*(X4^2.4846)+0.0515*(X4^1.5198)</v>
      </c>
      <c r="N201" t="str">
        <f t="shared" si="6"/>
        <v>0.1014*(2.5^2.3448)+0.0291*(2.5^2.0893)+0.0175*(2.5^2.4846)+0.0515*(2.5^1.5198)</v>
      </c>
      <c r="O201" cm="1">
        <f t="array" ref="O201">eval_tr_dbh*1000</f>
        <v>1444.4111774325797</v>
      </c>
      <c r="P201" t="str">
        <f t="shared" si="7"/>
        <v>TN_21_EX_B4</v>
      </c>
    </row>
    <row r="202" spans="1:16" x14ac:dyDescent="0.15">
      <c r="A202" s="5" t="s">
        <v>3</v>
      </c>
      <c r="B202" s="5">
        <v>21</v>
      </c>
      <c r="C202" s="5" t="s">
        <v>23</v>
      </c>
      <c r="D202" s="5" t="s">
        <v>30</v>
      </c>
      <c r="E202" s="7">
        <v>44728</v>
      </c>
      <c r="F202" s="5" t="s">
        <v>5</v>
      </c>
      <c r="G202" s="5" t="s">
        <v>35</v>
      </c>
      <c r="H202" s="5" t="s">
        <v>12</v>
      </c>
      <c r="I202" s="4">
        <v>4</v>
      </c>
      <c r="J202" s="4">
        <v>3</v>
      </c>
      <c r="K202" t="s">
        <v>254</v>
      </c>
      <c r="L202">
        <v>1</v>
      </c>
      <c r="M202" t="str">
        <f>VLOOKUP(H202,eq!$A$3:$T$13,20,)</f>
        <v>0.1014*(X4^2.3448)+0.0291*(X4^2.0893)+0.0175*(X4^2.4846)+0.0515*(X4^1.5198)</v>
      </c>
      <c r="N202" t="str">
        <f t="shared" si="6"/>
        <v>0.1014*(3^2.3448)+0.0291*(3^2.0893)+0.0175*(3^2.4846)+0.0515*(3^1.5198)</v>
      </c>
      <c r="O202" cm="1">
        <f t="array" ref="O202">eval_tr_dbh*1000</f>
        <v>2163.4872142348395</v>
      </c>
      <c r="P202" t="str">
        <f t="shared" si="7"/>
        <v>TN_21_EX_B1</v>
      </c>
    </row>
    <row r="203" spans="1:16" x14ac:dyDescent="0.15">
      <c r="A203" s="5" t="s">
        <v>3</v>
      </c>
      <c r="B203" s="5">
        <v>21</v>
      </c>
      <c r="C203" s="5" t="s">
        <v>23</v>
      </c>
      <c r="D203" s="5" t="s">
        <v>30</v>
      </c>
      <c r="E203" s="7">
        <v>44728</v>
      </c>
      <c r="F203" s="5" t="s">
        <v>5</v>
      </c>
      <c r="G203" s="5" t="s">
        <v>35</v>
      </c>
      <c r="H203" s="3" t="s">
        <v>12</v>
      </c>
      <c r="I203" s="4">
        <v>5</v>
      </c>
      <c r="J203" s="4">
        <v>3</v>
      </c>
      <c r="K203" t="s">
        <v>254</v>
      </c>
      <c r="L203">
        <v>1</v>
      </c>
      <c r="M203" t="str">
        <f>VLOOKUP(H203,eq!$A$3:$T$13,20,)</f>
        <v>0.1014*(X4^2.3448)+0.0291*(X4^2.0893)+0.0175*(X4^2.4846)+0.0515*(X4^1.5198)</v>
      </c>
      <c r="N203" t="str">
        <f t="shared" si="6"/>
        <v>0.1014*(3^2.3448)+0.0291*(3^2.0893)+0.0175*(3^2.4846)+0.0515*(3^1.5198)</v>
      </c>
      <c r="O203" cm="1">
        <f t="array" ref="O203">eval_tr_dbh*1000</f>
        <v>2163.4872142348395</v>
      </c>
      <c r="P203" t="str">
        <f t="shared" si="7"/>
        <v>TN_21_EX_B1</v>
      </c>
    </row>
    <row r="204" spans="1:16" x14ac:dyDescent="0.15">
      <c r="A204" s="5" t="s">
        <v>3</v>
      </c>
      <c r="B204" s="5">
        <v>21</v>
      </c>
      <c r="C204" s="5" t="s">
        <v>23</v>
      </c>
      <c r="D204" s="5" t="s">
        <v>30</v>
      </c>
      <c r="E204" s="7">
        <v>44728</v>
      </c>
      <c r="F204" s="5" t="s">
        <v>7</v>
      </c>
      <c r="G204" s="5" t="s">
        <v>34</v>
      </c>
      <c r="H204" s="3" t="s">
        <v>12</v>
      </c>
      <c r="I204" s="4">
        <v>6</v>
      </c>
      <c r="J204" s="4">
        <v>3</v>
      </c>
      <c r="K204" t="s">
        <v>254</v>
      </c>
      <c r="L204">
        <v>1</v>
      </c>
      <c r="M204" t="str">
        <f>VLOOKUP(H204,eq!$A$3:$T$13,20,)</f>
        <v>0.1014*(X4^2.3448)+0.0291*(X4^2.0893)+0.0175*(X4^2.4846)+0.0515*(X4^1.5198)</v>
      </c>
      <c r="N204" t="str">
        <f t="shared" si="6"/>
        <v>0.1014*(3^2.3448)+0.0291*(3^2.0893)+0.0175*(3^2.4846)+0.0515*(3^1.5198)</v>
      </c>
      <c r="O204" cm="1">
        <f t="array" ref="O204">eval_tr_dbh*1000</f>
        <v>2163.4872142348395</v>
      </c>
      <c r="P204" t="str">
        <f t="shared" si="7"/>
        <v>TN_21_EX_B3</v>
      </c>
    </row>
    <row r="205" spans="1:16" x14ac:dyDescent="0.15">
      <c r="A205" s="5" t="s">
        <v>3</v>
      </c>
      <c r="B205" s="5">
        <v>21</v>
      </c>
      <c r="C205" s="5" t="s">
        <v>23</v>
      </c>
      <c r="D205" s="5" t="s">
        <v>30</v>
      </c>
      <c r="E205" s="7">
        <v>44728</v>
      </c>
      <c r="F205" s="5" t="s">
        <v>5</v>
      </c>
      <c r="G205" s="5" t="s">
        <v>35</v>
      </c>
      <c r="H205" s="3" t="s">
        <v>12</v>
      </c>
      <c r="I205" s="4">
        <v>3.5</v>
      </c>
      <c r="J205" s="4">
        <v>3.5</v>
      </c>
      <c r="K205" t="s">
        <v>254</v>
      </c>
      <c r="L205">
        <v>1</v>
      </c>
      <c r="M205" t="str">
        <f>VLOOKUP(H205,eq!$A$3:$T$13,20,)</f>
        <v>0.1014*(X4^2.3448)+0.0291*(X4^2.0893)+0.0175*(X4^2.4846)+0.0515*(X4^1.5198)</v>
      </c>
      <c r="N205" t="str">
        <f t="shared" si="6"/>
        <v>0.1014*(3.5^2.3448)+0.0291*(3.5^2.0893)+0.0175*(3.5^2.4846)+0.0515*(3.5^1.5198)</v>
      </c>
      <c r="O205" cm="1">
        <f t="array" ref="O205">eval_tr_dbh*1000</f>
        <v>3050.9890962995396</v>
      </c>
      <c r="P205" t="str">
        <f t="shared" si="7"/>
        <v>TN_21_EX_B1</v>
      </c>
    </row>
    <row r="206" spans="1:16" x14ac:dyDescent="0.15">
      <c r="A206" s="5" t="s">
        <v>3</v>
      </c>
      <c r="B206" s="5">
        <v>21</v>
      </c>
      <c r="C206" s="5" t="s">
        <v>23</v>
      </c>
      <c r="D206" s="5" t="s">
        <v>30</v>
      </c>
      <c r="E206" s="7">
        <v>44728</v>
      </c>
      <c r="F206" s="5" t="s">
        <v>7</v>
      </c>
      <c r="G206" s="5" t="s">
        <v>34</v>
      </c>
      <c r="H206" s="3" t="s">
        <v>12</v>
      </c>
      <c r="I206" s="4">
        <v>6</v>
      </c>
      <c r="J206" s="4">
        <v>3.5</v>
      </c>
      <c r="K206" t="s">
        <v>254</v>
      </c>
      <c r="L206">
        <v>1</v>
      </c>
      <c r="M206" t="str">
        <f>VLOOKUP(H206,eq!$A$3:$T$13,20,)</f>
        <v>0.1014*(X4^2.3448)+0.0291*(X4^2.0893)+0.0175*(X4^2.4846)+0.0515*(X4^1.5198)</v>
      </c>
      <c r="N206" t="str">
        <f t="shared" si="6"/>
        <v>0.1014*(3.5^2.3448)+0.0291*(3.5^2.0893)+0.0175*(3.5^2.4846)+0.0515*(3.5^1.5198)</v>
      </c>
      <c r="O206" cm="1">
        <f t="array" ref="O206">eval_tr_dbh*1000</f>
        <v>3050.9890962995396</v>
      </c>
      <c r="P206" t="str">
        <f t="shared" si="7"/>
        <v>TN_21_EX_B3</v>
      </c>
    </row>
    <row r="207" spans="1:16" x14ac:dyDescent="0.15">
      <c r="A207" s="5" t="s">
        <v>3</v>
      </c>
      <c r="B207" s="5">
        <v>21</v>
      </c>
      <c r="C207" s="5" t="s">
        <v>23</v>
      </c>
      <c r="D207" s="5" t="s">
        <v>30</v>
      </c>
      <c r="E207" s="7">
        <v>44728</v>
      </c>
      <c r="F207" s="5" t="s">
        <v>6</v>
      </c>
      <c r="G207" s="5" t="s">
        <v>36</v>
      </c>
      <c r="H207" s="5" t="s">
        <v>13</v>
      </c>
      <c r="I207" s="4">
        <v>5.5</v>
      </c>
      <c r="J207" s="4">
        <v>4</v>
      </c>
      <c r="K207" t="s">
        <v>254</v>
      </c>
      <c r="L207">
        <v>1</v>
      </c>
      <c r="M207" t="str">
        <f>VLOOKUP(H207,eq!$A$3:$T$13,20,)</f>
        <v>0.3743*(X4^1.9406)+0.0679*(X4^1.8377)+0.0796*(X4^2.0103)+0.084*(X4^1.2319)</v>
      </c>
      <c r="N207" t="str">
        <f t="shared" si="6"/>
        <v>0.3743*(4^1.9406)+0.0679*(4^1.8377)+0.0796*(4^2.0103)+0.084*(4^1.2319)</v>
      </c>
      <c r="O207" cm="1">
        <f t="array" ref="O207">eval_tr_dbh*1000</f>
        <v>8138.2343376909339</v>
      </c>
      <c r="P207" t="str">
        <f t="shared" si="7"/>
        <v>TN_21_EX_B2</v>
      </c>
    </row>
    <row r="208" spans="1:16" x14ac:dyDescent="0.15">
      <c r="A208" s="5" t="s">
        <v>3</v>
      </c>
      <c r="B208" s="5">
        <v>21</v>
      </c>
      <c r="C208" s="5" t="s">
        <v>23</v>
      </c>
      <c r="D208" s="5" t="s">
        <v>30</v>
      </c>
      <c r="E208" s="7">
        <v>44728</v>
      </c>
      <c r="F208" s="5" t="s">
        <v>6</v>
      </c>
      <c r="G208" s="5" t="s">
        <v>36</v>
      </c>
      <c r="H208" s="3" t="s">
        <v>12</v>
      </c>
      <c r="I208" s="4">
        <v>5</v>
      </c>
      <c r="J208" s="4">
        <v>4</v>
      </c>
      <c r="K208" t="s">
        <v>254</v>
      </c>
      <c r="L208">
        <v>1</v>
      </c>
      <c r="M208" t="str">
        <f>VLOOKUP(H208,eq!$A$3:$T$13,20,)</f>
        <v>0.1014*(X4^2.3448)+0.0291*(X4^2.0893)+0.0175*(X4^2.4846)+0.0515*(X4^1.5198)</v>
      </c>
      <c r="N208" t="str">
        <f t="shared" si="6"/>
        <v>0.1014*(4^2.3448)+0.0291*(4^2.0893)+0.0175*(4^2.4846)+0.0515*(4^1.5198)</v>
      </c>
      <c r="O208" cm="1">
        <f t="array" ref="O208">eval_tr_dbh*1000</f>
        <v>4115.2614928452322</v>
      </c>
      <c r="P208" t="str">
        <f t="shared" si="7"/>
        <v>TN_21_EX_B2</v>
      </c>
    </row>
    <row r="209" spans="1:16" x14ac:dyDescent="0.15">
      <c r="A209" s="5" t="s">
        <v>3</v>
      </c>
      <c r="B209" s="5">
        <v>21</v>
      </c>
      <c r="C209" s="5" t="s">
        <v>23</v>
      </c>
      <c r="D209" s="5" t="s">
        <v>30</v>
      </c>
      <c r="E209" s="7">
        <v>44728</v>
      </c>
      <c r="F209" s="5" t="s">
        <v>5</v>
      </c>
      <c r="G209" s="5" t="s">
        <v>35</v>
      </c>
      <c r="H209" s="3" t="s">
        <v>12</v>
      </c>
      <c r="I209" s="4">
        <v>4</v>
      </c>
      <c r="J209" s="4">
        <v>4.5</v>
      </c>
      <c r="K209" t="s">
        <v>254</v>
      </c>
      <c r="L209">
        <v>1</v>
      </c>
      <c r="M209" t="str">
        <f>VLOOKUP(H209,eq!$A$3:$T$13,20,)</f>
        <v>0.1014*(X4^2.3448)+0.0291*(X4^2.0893)+0.0175*(X4^2.4846)+0.0515*(X4^1.5198)</v>
      </c>
      <c r="N209" t="str">
        <f t="shared" si="6"/>
        <v>0.1014*(4.5^2.3448)+0.0291*(4.5^2.0893)+0.0175*(4.5^2.4846)+0.0515*(4.5^1.5198)</v>
      </c>
      <c r="O209" cm="1">
        <f t="array" ref="O209">eval_tr_dbh*1000</f>
        <v>5363.9717328989755</v>
      </c>
      <c r="P209" t="str">
        <f t="shared" si="7"/>
        <v>TN_21_EX_B1</v>
      </c>
    </row>
    <row r="210" spans="1:16" x14ac:dyDescent="0.15">
      <c r="A210" s="5" t="s">
        <v>3</v>
      </c>
      <c r="B210" s="5">
        <v>21</v>
      </c>
      <c r="C210" s="5" t="s">
        <v>23</v>
      </c>
      <c r="D210" s="5" t="s">
        <v>30</v>
      </c>
      <c r="E210" s="7">
        <v>44728</v>
      </c>
      <c r="F210" s="5" t="s">
        <v>5</v>
      </c>
      <c r="G210" s="5" t="s">
        <v>35</v>
      </c>
      <c r="H210" s="3" t="s">
        <v>12</v>
      </c>
      <c r="I210" s="4">
        <v>5</v>
      </c>
      <c r="J210" s="4">
        <v>4.75</v>
      </c>
      <c r="K210" t="s">
        <v>254</v>
      </c>
      <c r="L210">
        <v>1</v>
      </c>
      <c r="M210" t="str">
        <f>VLOOKUP(H210,eq!$A$3:$T$13,20,)</f>
        <v>0.1014*(X4^2.3448)+0.0291*(X4^2.0893)+0.0175*(X4^2.4846)+0.0515*(X4^1.5198)</v>
      </c>
      <c r="N210" t="str">
        <f t="shared" si="6"/>
        <v>0.1014*(4.75^2.3448)+0.0291*(4.75^2.0893)+0.0175*(4.75^2.4846)+0.0515*(4.75^1.5198)</v>
      </c>
      <c r="O210" cm="1">
        <f t="array" ref="O210">eval_tr_dbh*1000</f>
        <v>6059.7340590354224</v>
      </c>
      <c r="P210" t="str">
        <f t="shared" si="7"/>
        <v>TN_21_EX_B1</v>
      </c>
    </row>
    <row r="211" spans="1:16" x14ac:dyDescent="0.15">
      <c r="A211" s="5" t="s">
        <v>3</v>
      </c>
      <c r="B211" s="5">
        <v>21</v>
      </c>
      <c r="C211" s="5" t="s">
        <v>23</v>
      </c>
      <c r="D211" s="5" t="s">
        <v>30</v>
      </c>
      <c r="E211" s="7">
        <v>44728</v>
      </c>
      <c r="F211" s="5" t="s">
        <v>6</v>
      </c>
      <c r="G211" s="5" t="s">
        <v>36</v>
      </c>
      <c r="H211" s="3" t="s">
        <v>12</v>
      </c>
      <c r="I211" s="4">
        <v>6</v>
      </c>
      <c r="J211" s="4">
        <v>4.75</v>
      </c>
      <c r="K211" t="s">
        <v>254</v>
      </c>
      <c r="L211">
        <v>1</v>
      </c>
      <c r="M211" t="str">
        <f>VLOOKUP(H211,eq!$A$3:$T$13,20,)</f>
        <v>0.1014*(X4^2.3448)+0.0291*(X4^2.0893)+0.0175*(X4^2.4846)+0.0515*(X4^1.5198)</v>
      </c>
      <c r="N211" t="str">
        <f t="shared" si="6"/>
        <v>0.1014*(4.75^2.3448)+0.0291*(4.75^2.0893)+0.0175*(4.75^2.4846)+0.0515*(4.75^1.5198)</v>
      </c>
      <c r="O211" cm="1">
        <f t="array" ref="O211">eval_tr_dbh*1000</f>
        <v>6059.7340590354224</v>
      </c>
      <c r="P211" t="str">
        <f t="shared" si="7"/>
        <v>TN_21_EX_B2</v>
      </c>
    </row>
    <row r="212" spans="1:16" x14ac:dyDescent="0.15">
      <c r="A212" s="5" t="s">
        <v>3</v>
      </c>
      <c r="B212" s="5">
        <v>21</v>
      </c>
      <c r="C212" s="5" t="s">
        <v>23</v>
      </c>
      <c r="D212" s="5" t="s">
        <v>30</v>
      </c>
      <c r="E212" s="7">
        <v>44728</v>
      </c>
      <c r="F212" s="5" t="s">
        <v>9</v>
      </c>
      <c r="G212" s="5" t="s">
        <v>37</v>
      </c>
      <c r="H212" s="3" t="s">
        <v>12</v>
      </c>
      <c r="I212" s="4">
        <v>8</v>
      </c>
      <c r="J212" s="4">
        <v>5</v>
      </c>
      <c r="K212" t="s">
        <v>254</v>
      </c>
      <c r="L212">
        <v>1</v>
      </c>
      <c r="M212" t="str">
        <f>VLOOKUP(H212,eq!$A$3:$T$13,20,)</f>
        <v>0.1014*(X4^2.3448)+0.0291*(X4^2.0893)+0.0175*(X4^2.4846)+0.0515*(X4^1.5198)</v>
      </c>
      <c r="N212" t="str">
        <f t="shared" si="6"/>
        <v>0.1014*(5^2.3448)+0.0291*(5^2.0893)+0.0175*(5^2.4846)+0.0515*(5^1.5198)</v>
      </c>
      <c r="O212" cm="1">
        <f t="array" ref="O212">eval_tr_dbh*1000</f>
        <v>6804.2374332695908</v>
      </c>
      <c r="P212" t="str">
        <f t="shared" si="7"/>
        <v>TN_21_EX_B4</v>
      </c>
    </row>
    <row r="213" spans="1:16" x14ac:dyDescent="0.15">
      <c r="A213" s="5" t="s">
        <v>3</v>
      </c>
      <c r="B213" s="5">
        <v>21</v>
      </c>
      <c r="C213" s="5" t="s">
        <v>23</v>
      </c>
      <c r="D213" s="5" t="s">
        <v>30</v>
      </c>
      <c r="E213" s="7">
        <v>44728</v>
      </c>
      <c r="F213" s="5" t="s">
        <v>9</v>
      </c>
      <c r="G213" s="5" t="s">
        <v>37</v>
      </c>
      <c r="H213" s="3" t="s">
        <v>12</v>
      </c>
      <c r="I213" s="4">
        <v>7.5</v>
      </c>
      <c r="J213" s="4">
        <v>5.5</v>
      </c>
      <c r="K213" t="s">
        <v>254</v>
      </c>
      <c r="L213">
        <v>1</v>
      </c>
      <c r="M213" t="str">
        <f>VLOOKUP(H213,eq!$A$3:$T$13,20,)</f>
        <v>0.1014*(X4^2.3448)+0.0291*(X4^2.0893)+0.0175*(X4^2.4846)+0.0515*(X4^1.5198)</v>
      </c>
      <c r="N213" t="str">
        <f t="shared" si="6"/>
        <v>0.1014*(5.5^2.3448)+0.0291*(5.5^2.0893)+0.0175*(5.5^2.4846)+0.0515*(5.5^1.5198)</v>
      </c>
      <c r="O213" cm="1">
        <f t="array" ref="O213">eval_tr_dbh*1000</f>
        <v>8442.7192298415775</v>
      </c>
      <c r="P213" t="str">
        <f t="shared" si="7"/>
        <v>TN_21_EX_B4</v>
      </c>
    </row>
    <row r="214" spans="1:16" x14ac:dyDescent="0.15">
      <c r="A214" s="5" t="s">
        <v>3</v>
      </c>
      <c r="B214" s="5">
        <v>21</v>
      </c>
      <c r="C214" s="5" t="s">
        <v>23</v>
      </c>
      <c r="D214" s="5" t="s">
        <v>30</v>
      </c>
      <c r="E214" s="7">
        <v>44728</v>
      </c>
      <c r="F214" s="5" t="s">
        <v>6</v>
      </c>
      <c r="G214" s="5" t="s">
        <v>36</v>
      </c>
      <c r="H214" s="3" t="s">
        <v>12</v>
      </c>
      <c r="I214" s="4">
        <v>6.5</v>
      </c>
      <c r="J214" s="4">
        <v>6.5</v>
      </c>
      <c r="K214" t="s">
        <v>254</v>
      </c>
      <c r="L214">
        <v>1</v>
      </c>
      <c r="M214" t="str">
        <f>VLOOKUP(H214,eq!$A$3:$T$13,20,)</f>
        <v>0.1014*(X4^2.3448)+0.0291*(X4^2.0893)+0.0175*(X4^2.4846)+0.0515*(X4^1.5198)</v>
      </c>
      <c r="N214" t="str">
        <f t="shared" si="6"/>
        <v>0.1014*(6.5^2.3448)+0.0291*(6.5^2.0893)+0.0175*(6.5^2.4846)+0.0515*(6.5^1.5198)</v>
      </c>
      <c r="O214" cm="1">
        <f t="array" ref="O214">eval_tr_dbh*1000</f>
        <v>12339.091706589967</v>
      </c>
      <c r="P214" t="str">
        <f t="shared" si="7"/>
        <v>TN_21_EX_B2</v>
      </c>
    </row>
    <row r="215" spans="1:16" x14ac:dyDescent="0.15">
      <c r="A215" s="5" t="s">
        <v>3</v>
      </c>
      <c r="B215" s="5">
        <v>21</v>
      </c>
      <c r="C215" s="5" t="s">
        <v>23</v>
      </c>
      <c r="D215" s="5" t="s">
        <v>30</v>
      </c>
      <c r="E215" s="7">
        <v>44728</v>
      </c>
      <c r="F215" s="5" t="s">
        <v>5</v>
      </c>
      <c r="G215" s="5" t="s">
        <v>35</v>
      </c>
      <c r="H215" s="5" t="s">
        <v>12</v>
      </c>
      <c r="I215" s="4">
        <v>8</v>
      </c>
      <c r="J215" s="4">
        <v>6.5</v>
      </c>
      <c r="K215" t="s">
        <v>254</v>
      </c>
      <c r="L215">
        <v>1</v>
      </c>
      <c r="M215" t="str">
        <f>VLOOKUP(H215,eq!$A$3:$T$13,20,)</f>
        <v>0.1014*(X4^2.3448)+0.0291*(X4^2.0893)+0.0175*(X4^2.4846)+0.0515*(X4^1.5198)</v>
      </c>
      <c r="N215" t="str">
        <f t="shared" si="6"/>
        <v>0.1014*(6.5^2.3448)+0.0291*(6.5^2.0893)+0.0175*(6.5^2.4846)+0.0515*(6.5^1.5198)</v>
      </c>
      <c r="O215" cm="1">
        <f t="array" ref="O215">eval_tr_dbh*1000</f>
        <v>12339.091706589967</v>
      </c>
      <c r="P215" t="str">
        <f t="shared" si="7"/>
        <v>TN_21_EX_B1</v>
      </c>
    </row>
    <row r="216" spans="1:16" x14ac:dyDescent="0.15">
      <c r="A216" s="5" t="s">
        <v>3</v>
      </c>
      <c r="B216" s="5">
        <v>21</v>
      </c>
      <c r="C216" s="5" t="s">
        <v>23</v>
      </c>
      <c r="D216" s="5" t="s">
        <v>30</v>
      </c>
      <c r="E216" s="7">
        <v>44728</v>
      </c>
      <c r="F216" s="5" t="s">
        <v>6</v>
      </c>
      <c r="G216" s="5" t="s">
        <v>36</v>
      </c>
      <c r="H216" s="3" t="s">
        <v>12</v>
      </c>
      <c r="I216" s="4">
        <v>6.5</v>
      </c>
      <c r="J216" s="4">
        <v>7</v>
      </c>
      <c r="K216" t="s">
        <v>254</v>
      </c>
      <c r="L216">
        <v>1</v>
      </c>
      <c r="M216" t="str">
        <f>VLOOKUP(H216,eq!$A$3:$T$13,20,)</f>
        <v>0.1014*(X4^2.3448)+0.0291*(X4^2.0893)+0.0175*(X4^2.4846)+0.0515*(X4^1.5198)</v>
      </c>
      <c r="N216" t="str">
        <f t="shared" si="6"/>
        <v>0.1014*(7^2.3448)+0.0291*(7^2.0893)+0.0175*(7^2.4846)+0.0515*(7^1.5198)</v>
      </c>
      <c r="O216" cm="1">
        <f t="array" ref="O216">eval_tr_dbh*1000</f>
        <v>14608.57253270478</v>
      </c>
      <c r="P216" t="str">
        <f t="shared" si="7"/>
        <v>TN_21_EX_B2</v>
      </c>
    </row>
    <row r="217" spans="1:16" x14ac:dyDescent="0.15">
      <c r="A217" s="6" t="s">
        <v>3</v>
      </c>
      <c r="B217" s="5">
        <v>22</v>
      </c>
      <c r="C217" s="5" t="s">
        <v>22</v>
      </c>
      <c r="D217" s="5" t="s">
        <v>30</v>
      </c>
      <c r="E217" s="7">
        <v>44732</v>
      </c>
      <c r="F217" s="5" t="s">
        <v>6</v>
      </c>
      <c r="G217" s="5" t="s">
        <v>36</v>
      </c>
      <c r="H217" s="3" t="s">
        <v>8</v>
      </c>
      <c r="I217" s="4">
        <v>5.5</v>
      </c>
      <c r="J217" s="4">
        <v>4.75</v>
      </c>
      <c r="K217" t="s">
        <v>173</v>
      </c>
      <c r="L217">
        <v>1</v>
      </c>
      <c r="M217" t="str">
        <f>VLOOKUP(H217,eq!$A$3:$T$13,20,)</f>
        <v>0.0477*(X4^2.5147)+0.0153*(X4^2.2429)+0.0278*(X4^2.0839)+0.1648*(X4^1.4143)</v>
      </c>
      <c r="N217" t="str">
        <f t="shared" si="6"/>
        <v>0.0477*(4.75^2.5147)+0.0153*(4.75^2.2429)+0.0278*(4.75^2.0839)+0.1648*(4.75^1.4143)</v>
      </c>
      <c r="O217" cm="1">
        <f t="array" ref="O217">eval_tr_dbh*1000</f>
        <v>5111.6043291513379</v>
      </c>
      <c r="P217" t="str">
        <f t="shared" si="7"/>
        <v>TN_22_CTRL_B2</v>
      </c>
    </row>
    <row r="218" spans="1:16" x14ac:dyDescent="0.15">
      <c r="A218" s="6" t="s">
        <v>3</v>
      </c>
      <c r="B218" s="5">
        <v>22</v>
      </c>
      <c r="C218" s="5" t="s">
        <v>22</v>
      </c>
      <c r="D218" s="5" t="s">
        <v>30</v>
      </c>
      <c r="E218" s="7">
        <v>44732</v>
      </c>
      <c r="F218" s="5" t="s">
        <v>6</v>
      </c>
      <c r="G218" s="5" t="s">
        <v>36</v>
      </c>
      <c r="H218" s="3" t="s">
        <v>8</v>
      </c>
      <c r="I218" s="4">
        <v>7</v>
      </c>
      <c r="J218" s="4">
        <v>6.5</v>
      </c>
      <c r="K218" t="s">
        <v>173</v>
      </c>
      <c r="L218">
        <v>1</v>
      </c>
      <c r="M218" t="str">
        <f>VLOOKUP(H218,eq!$A$3:$T$13,20,)</f>
        <v>0.0477*(X4^2.5147)+0.0153*(X4^2.2429)+0.0278*(X4^2.0839)+0.1648*(X4^1.4143)</v>
      </c>
      <c r="N218" t="str">
        <f t="shared" si="6"/>
        <v>0.0477*(6.5^2.5147)+0.0153*(6.5^2.2429)+0.0278*(6.5^2.0839)+0.1648*(6.5^1.4143)</v>
      </c>
      <c r="O218" cm="1">
        <f t="array" ref="O218">eval_tr_dbh*1000</f>
        <v>10000.514612481991</v>
      </c>
      <c r="P218" t="str">
        <f t="shared" si="7"/>
        <v>TN_22_CTRL_B2</v>
      </c>
    </row>
    <row r="219" spans="1:16" x14ac:dyDescent="0.15">
      <c r="A219" s="6" t="s">
        <v>3</v>
      </c>
      <c r="B219" s="5">
        <v>22</v>
      </c>
      <c r="C219" s="5" t="s">
        <v>22</v>
      </c>
      <c r="D219" s="5" t="s">
        <v>30</v>
      </c>
      <c r="E219" s="7">
        <v>44732</v>
      </c>
      <c r="F219" s="5" t="s">
        <v>6</v>
      </c>
      <c r="G219" s="5" t="s">
        <v>36</v>
      </c>
      <c r="H219" s="3" t="s">
        <v>8</v>
      </c>
      <c r="I219" s="4">
        <v>7</v>
      </c>
      <c r="J219" s="4">
        <v>7</v>
      </c>
      <c r="K219" t="s">
        <v>173</v>
      </c>
      <c r="L219">
        <v>1</v>
      </c>
      <c r="M219" t="str">
        <f>VLOOKUP(H219,eq!$A$3:$T$13,20,)</f>
        <v>0.0477*(X4^2.5147)+0.0153*(X4^2.2429)+0.0278*(X4^2.0839)+0.1648*(X4^1.4143)</v>
      </c>
      <c r="N219" t="str">
        <f t="shared" si="6"/>
        <v>0.0477*(7^2.5147)+0.0153*(7^2.2429)+0.0278*(7^2.0839)+0.1648*(7^1.4143)</v>
      </c>
      <c r="O219" cm="1">
        <f t="array" ref="O219">eval_tr_dbh*1000</f>
        <v>11753.177611255282</v>
      </c>
      <c r="P219" t="str">
        <f t="shared" si="7"/>
        <v>TN_22_CTRL_B2</v>
      </c>
    </row>
    <row r="220" spans="1:16" x14ac:dyDescent="0.15">
      <c r="A220" s="6" t="s">
        <v>3</v>
      </c>
      <c r="B220" s="5">
        <v>22</v>
      </c>
      <c r="C220" s="5" t="s">
        <v>22</v>
      </c>
      <c r="D220" s="5" t="s">
        <v>30</v>
      </c>
      <c r="E220" s="7">
        <v>44732</v>
      </c>
      <c r="F220" s="5" t="s">
        <v>6</v>
      </c>
      <c r="G220" s="5" t="s">
        <v>36</v>
      </c>
      <c r="H220" s="3" t="s">
        <v>8</v>
      </c>
      <c r="I220" s="4">
        <v>8</v>
      </c>
      <c r="J220" s="4">
        <v>8</v>
      </c>
      <c r="K220" t="s">
        <v>173</v>
      </c>
      <c r="L220">
        <v>1</v>
      </c>
      <c r="M220" t="str">
        <f>VLOOKUP(H220,eq!$A$3:$T$13,20,)</f>
        <v>0.0477*(X4^2.5147)+0.0153*(X4^2.2429)+0.0278*(X4^2.0839)+0.1648*(X4^1.4143)</v>
      </c>
      <c r="N220" t="str">
        <f t="shared" si="6"/>
        <v>0.0477*(8^2.5147)+0.0153*(8^2.2429)+0.0278*(8^2.0839)+0.1648*(8^1.4143)</v>
      </c>
      <c r="O220" cm="1">
        <f t="array" ref="O220">eval_tr_dbh*1000</f>
        <v>15763.955014871697</v>
      </c>
      <c r="P220" t="str">
        <f t="shared" si="7"/>
        <v>TN_22_CTRL_B2</v>
      </c>
    </row>
    <row r="221" spans="1:16" x14ac:dyDescent="0.15">
      <c r="A221" s="6" t="s">
        <v>3</v>
      </c>
      <c r="B221" s="5">
        <v>22</v>
      </c>
      <c r="C221" s="5" t="s">
        <v>22</v>
      </c>
      <c r="D221" s="5" t="s">
        <v>30</v>
      </c>
      <c r="E221" s="7">
        <v>44732</v>
      </c>
      <c r="F221" s="5" t="s">
        <v>6</v>
      </c>
      <c r="G221" s="5" t="s">
        <v>36</v>
      </c>
      <c r="H221" s="3" t="s">
        <v>10</v>
      </c>
      <c r="I221" s="4">
        <v>10</v>
      </c>
      <c r="J221" s="4">
        <v>16.5</v>
      </c>
      <c r="K221" t="s">
        <v>173</v>
      </c>
      <c r="L221">
        <v>1</v>
      </c>
      <c r="M221" t="str">
        <f>VLOOKUP(H221,eq!$A$3:$T$13,20,)</f>
        <v>0.0534*(X4^2.403)+0.0115*(X4^2.3484)+0.007*(X4^2.5406)+0.084*(X4^1.6695)</v>
      </c>
      <c r="N221" t="str">
        <f t="shared" si="6"/>
        <v>0.0534*(16.5^2.403)+0.0115*(16.5^2.3484)+0.007*(16.5^2.5406)+0.084*(16.5^1.6695)</v>
      </c>
      <c r="O221" cm="1">
        <f t="array" ref="O221">eval_tr_dbh*1000</f>
        <v>71037.533144092828</v>
      </c>
      <c r="P221" t="str">
        <f t="shared" si="7"/>
        <v>TN_22_CTRL_B2</v>
      </c>
    </row>
    <row r="222" spans="1:16" x14ac:dyDescent="0.15">
      <c r="A222" s="6" t="s">
        <v>3</v>
      </c>
      <c r="B222" s="5">
        <v>22</v>
      </c>
      <c r="C222" s="5" t="s">
        <v>22</v>
      </c>
      <c r="D222" s="5" t="s">
        <v>30</v>
      </c>
      <c r="E222" s="7">
        <v>44732</v>
      </c>
      <c r="F222" s="5" t="s">
        <v>5</v>
      </c>
      <c r="G222" s="5" t="s">
        <v>35</v>
      </c>
      <c r="H222" s="5" t="s">
        <v>21</v>
      </c>
      <c r="I222" s="4" t="s">
        <v>4</v>
      </c>
      <c r="J222" s="4" t="s">
        <v>4</v>
      </c>
      <c r="K222" t="s">
        <v>173</v>
      </c>
      <c r="L222">
        <v>1</v>
      </c>
      <c r="M222" t="e">
        <f>VLOOKUP(H222,eq!$A$3:$T$13,20,)</f>
        <v>#N/A</v>
      </c>
      <c r="N222" t="e">
        <f t="shared" si="6"/>
        <v>#N/A</v>
      </c>
      <c r="O222" t="e" cm="1">
        <f t="array" ref="O222">eval_tr_dbh*1000</f>
        <v>#N/A</v>
      </c>
      <c r="P222" t="str">
        <f t="shared" si="7"/>
        <v>TN_22_CTRL_B1</v>
      </c>
    </row>
    <row r="223" spans="1:16" x14ac:dyDescent="0.15">
      <c r="A223" s="6" t="s">
        <v>3</v>
      </c>
      <c r="B223" s="5">
        <v>22</v>
      </c>
      <c r="C223" s="5" t="s">
        <v>22</v>
      </c>
      <c r="D223" s="5" t="s">
        <v>30</v>
      </c>
      <c r="E223" s="7">
        <v>44732</v>
      </c>
      <c r="F223" s="5" t="s">
        <v>7</v>
      </c>
      <c r="G223" s="5" t="s">
        <v>34</v>
      </c>
      <c r="H223" s="5" t="s">
        <v>21</v>
      </c>
      <c r="I223" s="4" t="s">
        <v>4</v>
      </c>
      <c r="J223" s="4" t="s">
        <v>4</v>
      </c>
      <c r="K223" t="s">
        <v>173</v>
      </c>
      <c r="L223">
        <v>1</v>
      </c>
      <c r="M223" t="e">
        <f>VLOOKUP(H223,eq!$A$3:$T$13,20,)</f>
        <v>#N/A</v>
      </c>
      <c r="N223" t="e">
        <f t="shared" si="6"/>
        <v>#N/A</v>
      </c>
      <c r="O223" t="e" cm="1">
        <f t="array" ref="O223">eval_tr_dbh*1000</f>
        <v>#N/A</v>
      </c>
      <c r="P223" t="str">
        <f t="shared" si="7"/>
        <v>TN_22_CTRL_B3</v>
      </c>
    </row>
    <row r="224" spans="1:16" x14ac:dyDescent="0.15">
      <c r="A224" s="6" t="s">
        <v>3</v>
      </c>
      <c r="B224" s="5">
        <v>22</v>
      </c>
      <c r="C224" s="5" t="s">
        <v>22</v>
      </c>
      <c r="D224" s="5" t="s">
        <v>30</v>
      </c>
      <c r="E224" s="7">
        <v>44732</v>
      </c>
      <c r="F224" s="5" t="s">
        <v>9</v>
      </c>
      <c r="G224" s="5" t="s">
        <v>37</v>
      </c>
      <c r="H224" s="5" t="s">
        <v>21</v>
      </c>
      <c r="I224" s="4" t="s">
        <v>4</v>
      </c>
      <c r="J224" s="4" t="s">
        <v>4</v>
      </c>
      <c r="K224" t="s">
        <v>173</v>
      </c>
      <c r="L224">
        <v>1</v>
      </c>
      <c r="M224" t="e">
        <f>VLOOKUP(H224,eq!$A$3:$T$13,20,)</f>
        <v>#N/A</v>
      </c>
      <c r="N224" t="e">
        <f t="shared" si="6"/>
        <v>#N/A</v>
      </c>
      <c r="O224" t="e" cm="1">
        <f t="array" ref="O224">eval_tr_dbh*1000</f>
        <v>#N/A</v>
      </c>
      <c r="P224" t="str">
        <f t="shared" si="7"/>
        <v>TN_22_CTRL_B4</v>
      </c>
    </row>
    <row r="225" spans="1:16" x14ac:dyDescent="0.15">
      <c r="A225" s="6" t="s">
        <v>3</v>
      </c>
      <c r="B225" s="5">
        <v>22</v>
      </c>
      <c r="C225" s="5" t="s">
        <v>23</v>
      </c>
      <c r="D225" s="5" t="s">
        <v>30</v>
      </c>
      <c r="E225" s="7">
        <v>44732</v>
      </c>
      <c r="F225" s="5" t="s">
        <v>6</v>
      </c>
      <c r="G225" s="5" t="s">
        <v>36</v>
      </c>
      <c r="H225" s="3" t="s">
        <v>8</v>
      </c>
      <c r="I225" s="4">
        <v>5.5</v>
      </c>
      <c r="J225" s="4">
        <v>6</v>
      </c>
      <c r="K225" t="s">
        <v>256</v>
      </c>
      <c r="L225">
        <v>1</v>
      </c>
      <c r="M225" t="str">
        <f>VLOOKUP(H225,eq!$A$3:$T$13,20,)</f>
        <v>0.0477*(X4^2.5147)+0.0153*(X4^2.2429)+0.0278*(X4^2.0839)+0.1648*(X4^1.4143)</v>
      </c>
      <c r="N225" t="str">
        <f t="shared" si="6"/>
        <v>0.0477*(6^2.5147)+0.0153*(6^2.2429)+0.0278*(6^2.0839)+0.1648*(6^1.4143)</v>
      </c>
      <c r="O225" cm="1">
        <f t="array" ref="O225">eval_tr_dbh*1000</f>
        <v>8410.1083756831194</v>
      </c>
      <c r="P225" t="str">
        <f t="shared" si="7"/>
        <v>TN_22_EX_B2</v>
      </c>
    </row>
    <row r="226" spans="1:16" x14ac:dyDescent="0.15">
      <c r="A226" s="6" t="s">
        <v>3</v>
      </c>
      <c r="B226" s="5">
        <v>22</v>
      </c>
      <c r="C226" s="5" t="s">
        <v>23</v>
      </c>
      <c r="D226" s="5" t="s">
        <v>30</v>
      </c>
      <c r="E226" s="7">
        <v>44732</v>
      </c>
      <c r="F226" s="5" t="s">
        <v>9</v>
      </c>
      <c r="G226" s="5" t="s">
        <v>37</v>
      </c>
      <c r="H226" s="3" t="s">
        <v>10</v>
      </c>
      <c r="I226" s="4">
        <v>11.2</v>
      </c>
      <c r="J226" s="4">
        <v>24</v>
      </c>
      <c r="K226" t="s">
        <v>256</v>
      </c>
      <c r="L226">
        <v>1</v>
      </c>
      <c r="M226" t="str">
        <f>VLOOKUP(H226,eq!$A$3:$T$13,20,)</f>
        <v>0.0534*(X4^2.403)+0.0115*(X4^2.3484)+0.007*(X4^2.5406)+0.084*(X4^1.6695)</v>
      </c>
      <c r="N226" t="str">
        <f t="shared" si="6"/>
        <v>0.0534*(24^2.403)+0.0115*(24^2.3484)+0.007*(24^2.5406)+0.084*(24^1.6695)</v>
      </c>
      <c r="O226" cm="1">
        <f t="array" ref="O226">eval_tr_dbh*1000</f>
        <v>170153.18918539115</v>
      </c>
      <c r="P226" t="str">
        <f t="shared" si="7"/>
        <v>TN_22_EX_B4</v>
      </c>
    </row>
    <row r="227" spans="1:16" x14ac:dyDescent="0.15">
      <c r="A227" s="6" t="s">
        <v>3</v>
      </c>
      <c r="B227" s="5">
        <v>22</v>
      </c>
      <c r="C227" s="5" t="s">
        <v>23</v>
      </c>
      <c r="D227" s="5" t="s">
        <v>30</v>
      </c>
      <c r="E227" s="7">
        <v>44732</v>
      </c>
      <c r="F227" s="5" t="s">
        <v>7</v>
      </c>
      <c r="G227" s="5" t="s">
        <v>34</v>
      </c>
      <c r="H227" s="3" t="s">
        <v>10</v>
      </c>
      <c r="I227" s="4">
        <v>12.4</v>
      </c>
      <c r="J227" s="4">
        <v>26.75</v>
      </c>
      <c r="K227" t="s">
        <v>256</v>
      </c>
      <c r="L227">
        <v>1</v>
      </c>
      <c r="M227" t="str">
        <f>VLOOKUP(H227,eq!$A$3:$T$13,20,)</f>
        <v>0.0534*(X4^2.403)+0.0115*(X4^2.3484)+0.007*(X4^2.5406)+0.084*(X4^1.6695)</v>
      </c>
      <c r="N227" t="str">
        <f t="shared" si="6"/>
        <v>0.0534*(26.75^2.403)+0.0115*(26.75^2.3484)+0.007*(26.75^2.5406)+0.084*(26.75^1.6695)</v>
      </c>
      <c r="O227" cm="1">
        <f t="array" ref="O227">eval_tr_dbh*1000</f>
        <v>219431.55034857721</v>
      </c>
      <c r="P227" t="str">
        <f t="shared" si="7"/>
        <v>TN_22_EX_B3</v>
      </c>
    </row>
    <row r="228" spans="1:16" x14ac:dyDescent="0.15">
      <c r="A228" s="6" t="s">
        <v>3</v>
      </c>
      <c r="B228" s="5">
        <v>22</v>
      </c>
      <c r="C228" s="5" t="s">
        <v>23</v>
      </c>
      <c r="D228" s="5" t="s">
        <v>30</v>
      </c>
      <c r="E228" s="7">
        <v>44732</v>
      </c>
      <c r="F228" s="5" t="s">
        <v>6</v>
      </c>
      <c r="G228" s="5" t="s">
        <v>36</v>
      </c>
      <c r="H228" s="3" t="s">
        <v>10</v>
      </c>
      <c r="I228" s="4">
        <v>14.8</v>
      </c>
      <c r="J228" s="4">
        <v>40</v>
      </c>
      <c r="K228" t="s">
        <v>256</v>
      </c>
      <c r="L228">
        <v>1</v>
      </c>
      <c r="M228" t="str">
        <f>VLOOKUP(H228,eq!$A$3:$T$13,20,)</f>
        <v>0.0534*(X4^2.403)+0.0115*(X4^2.3484)+0.007*(X4^2.5406)+0.084*(X4^1.6695)</v>
      </c>
      <c r="N228" t="str">
        <f t="shared" si="6"/>
        <v>0.0534*(40^2.403)+0.0115*(40^2.3484)+0.007*(40^2.5406)+0.084*(40^1.6695)</v>
      </c>
      <c r="O228" cm="1">
        <f t="array" ref="O228">eval_tr_dbh*1000</f>
        <v>566340.39574475179</v>
      </c>
      <c r="P228" t="str">
        <f t="shared" si="7"/>
        <v>TN_22_EX_B2</v>
      </c>
    </row>
    <row r="229" spans="1:16" x14ac:dyDescent="0.15">
      <c r="A229" s="6" t="s">
        <v>3</v>
      </c>
      <c r="B229" s="5">
        <v>22</v>
      </c>
      <c r="C229" s="5" t="s">
        <v>23</v>
      </c>
      <c r="D229" s="5" t="s">
        <v>30</v>
      </c>
      <c r="E229" s="7">
        <v>44732</v>
      </c>
      <c r="F229" s="5" t="s">
        <v>5</v>
      </c>
      <c r="G229" s="5" t="s">
        <v>35</v>
      </c>
      <c r="H229" s="5" t="s">
        <v>21</v>
      </c>
      <c r="I229" s="4" t="s">
        <v>4</v>
      </c>
      <c r="J229" s="4" t="s">
        <v>4</v>
      </c>
      <c r="K229" t="s">
        <v>256</v>
      </c>
      <c r="L229">
        <v>1</v>
      </c>
      <c r="M229" t="e">
        <f>VLOOKUP(H229,eq!$A$3:$T$13,20,)</f>
        <v>#N/A</v>
      </c>
      <c r="N229" t="e">
        <f t="shared" si="6"/>
        <v>#N/A</v>
      </c>
      <c r="O229" t="e" cm="1">
        <f t="array" ref="O229">eval_tr_dbh*1000</f>
        <v>#N/A</v>
      </c>
      <c r="P229" t="str">
        <f t="shared" si="7"/>
        <v>TN_22_EX_B1</v>
      </c>
    </row>
    <row r="230" spans="1:16" x14ac:dyDescent="0.15">
      <c r="A230" s="5" t="s">
        <v>3</v>
      </c>
      <c r="B230" s="5">
        <v>23</v>
      </c>
      <c r="C230" s="5" t="s">
        <v>21</v>
      </c>
      <c r="D230" s="5" t="s">
        <v>30</v>
      </c>
      <c r="E230" s="7">
        <v>44727</v>
      </c>
      <c r="F230" s="5" t="s">
        <v>5</v>
      </c>
      <c r="G230" s="5" t="s">
        <v>35</v>
      </c>
      <c r="H230" s="5" t="s">
        <v>21</v>
      </c>
      <c r="I230" s="4" t="s">
        <v>21</v>
      </c>
      <c r="J230" s="4" t="s">
        <v>21</v>
      </c>
      <c r="K230" t="s">
        <v>154</v>
      </c>
      <c r="L230">
        <v>2</v>
      </c>
      <c r="M230" t="e">
        <f>VLOOKUP(H230,eq!$A$3:$T$13,20,)</f>
        <v>#N/A</v>
      </c>
      <c r="N230" t="e">
        <f t="shared" si="6"/>
        <v>#N/A</v>
      </c>
      <c r="O230" t="e" cm="1">
        <f t="array" ref="O230">eval_tr_dbh*1000</f>
        <v>#N/A</v>
      </c>
      <c r="P230" t="str">
        <f t="shared" si="7"/>
        <v>TN_23_NA_B1</v>
      </c>
    </row>
    <row r="231" spans="1:16" x14ac:dyDescent="0.15">
      <c r="A231" s="5" t="s">
        <v>3</v>
      </c>
      <c r="B231" s="5">
        <v>23</v>
      </c>
      <c r="C231" s="5" t="s">
        <v>21</v>
      </c>
      <c r="D231" s="5" t="s">
        <v>30</v>
      </c>
      <c r="E231" s="7">
        <v>44727</v>
      </c>
      <c r="F231" s="5" t="s">
        <v>6</v>
      </c>
      <c r="G231" s="5" t="s">
        <v>36</v>
      </c>
      <c r="H231" s="5" t="s">
        <v>21</v>
      </c>
      <c r="I231" s="4" t="s">
        <v>21</v>
      </c>
      <c r="J231" s="4" t="s">
        <v>21</v>
      </c>
      <c r="K231" t="s">
        <v>154</v>
      </c>
      <c r="L231">
        <v>2</v>
      </c>
      <c r="M231" t="e">
        <f>VLOOKUP(H231,eq!$A$3:$T$13,20,)</f>
        <v>#N/A</v>
      </c>
      <c r="N231" t="e">
        <f t="shared" si="6"/>
        <v>#N/A</v>
      </c>
      <c r="O231" t="e" cm="1">
        <f t="array" ref="O231">eval_tr_dbh*1000</f>
        <v>#N/A</v>
      </c>
      <c r="P231" t="str">
        <f t="shared" si="7"/>
        <v>TN_23_NA_B2</v>
      </c>
    </row>
    <row r="232" spans="1:16" x14ac:dyDescent="0.15">
      <c r="A232" s="5" t="s">
        <v>3</v>
      </c>
      <c r="B232" s="5">
        <v>23</v>
      </c>
      <c r="C232" s="5" t="s">
        <v>21</v>
      </c>
      <c r="D232" s="5" t="s">
        <v>30</v>
      </c>
      <c r="E232" s="7">
        <v>44727</v>
      </c>
      <c r="F232" s="5" t="s">
        <v>7</v>
      </c>
      <c r="G232" s="5" t="s">
        <v>34</v>
      </c>
      <c r="H232" s="5" t="s">
        <v>21</v>
      </c>
      <c r="I232" s="4" t="s">
        <v>21</v>
      </c>
      <c r="J232" s="4" t="s">
        <v>21</v>
      </c>
      <c r="K232" t="s">
        <v>154</v>
      </c>
      <c r="L232">
        <v>2</v>
      </c>
      <c r="M232" t="e">
        <f>VLOOKUP(H232,eq!$A$3:$T$13,20,)</f>
        <v>#N/A</v>
      </c>
      <c r="N232" t="e">
        <f t="shared" si="6"/>
        <v>#N/A</v>
      </c>
      <c r="O232" t="e" cm="1">
        <f t="array" ref="O232">eval_tr_dbh*1000</f>
        <v>#N/A</v>
      </c>
      <c r="P232" t="str">
        <f t="shared" si="7"/>
        <v>TN_23_NA_B3</v>
      </c>
    </row>
    <row r="233" spans="1:16" x14ac:dyDescent="0.15">
      <c r="A233" s="5" t="s">
        <v>3</v>
      </c>
      <c r="B233" s="5">
        <v>23</v>
      </c>
      <c r="C233" s="5" t="s">
        <v>21</v>
      </c>
      <c r="D233" s="5" t="s">
        <v>30</v>
      </c>
      <c r="E233" s="7">
        <v>44727</v>
      </c>
      <c r="F233" s="5" t="s">
        <v>9</v>
      </c>
      <c r="G233" s="5" t="s">
        <v>37</v>
      </c>
      <c r="H233" s="5" t="s">
        <v>21</v>
      </c>
      <c r="I233" s="4" t="s">
        <v>21</v>
      </c>
      <c r="J233" s="4" t="s">
        <v>21</v>
      </c>
      <c r="K233" t="s">
        <v>154</v>
      </c>
      <c r="L233">
        <v>2</v>
      </c>
      <c r="M233" t="e">
        <f>VLOOKUP(H233,eq!$A$3:$T$13,20,)</f>
        <v>#N/A</v>
      </c>
      <c r="N233" t="e">
        <f t="shared" si="6"/>
        <v>#N/A</v>
      </c>
      <c r="O233" t="e" cm="1">
        <f t="array" ref="O233">eval_tr_dbh*1000</f>
        <v>#N/A</v>
      </c>
      <c r="P233" t="str">
        <f t="shared" si="7"/>
        <v>TN_23_NA_B4</v>
      </c>
    </row>
    <row r="234" spans="1:16" x14ac:dyDescent="0.15">
      <c r="A234" s="5" t="s">
        <v>3</v>
      </c>
      <c r="B234" s="5">
        <v>24</v>
      </c>
      <c r="C234" s="5" t="s">
        <v>21</v>
      </c>
      <c r="D234" s="5" t="s">
        <v>30</v>
      </c>
      <c r="E234" s="7">
        <v>44725</v>
      </c>
      <c r="F234" s="5" t="s">
        <v>7</v>
      </c>
      <c r="G234" s="5" t="s">
        <v>34</v>
      </c>
      <c r="H234" s="5" t="s">
        <v>8</v>
      </c>
      <c r="I234" s="4">
        <v>11.4</v>
      </c>
      <c r="J234" s="4">
        <v>42.5</v>
      </c>
      <c r="K234" t="s">
        <v>167</v>
      </c>
      <c r="L234">
        <v>1</v>
      </c>
      <c r="M234" t="str">
        <f>VLOOKUP(H234,eq!$A$3:$T$13,20,)</f>
        <v>0.0477*(X4^2.5147)+0.0153*(X4^2.2429)+0.0278*(X4^2.0839)+0.1648*(X4^1.4143)</v>
      </c>
      <c r="N234" t="str">
        <f t="shared" si="6"/>
        <v>0.0477*(42.5^2.5147)+0.0153*(42.5^2.2429)+0.0278*(42.5^2.0839)+0.1648*(42.5^1.4143)</v>
      </c>
      <c r="O234" cm="1">
        <f t="array" ref="O234">eval_tr_dbh*1000</f>
        <v>764106.97414221941</v>
      </c>
      <c r="P234" t="str">
        <f t="shared" si="7"/>
        <v>TN_24_NA_B3</v>
      </c>
    </row>
    <row r="235" spans="1:16" x14ac:dyDescent="0.15">
      <c r="A235" s="5" t="s">
        <v>3</v>
      </c>
      <c r="B235" s="5">
        <v>24</v>
      </c>
      <c r="C235" s="5" t="s">
        <v>21</v>
      </c>
      <c r="D235" s="5" t="s">
        <v>30</v>
      </c>
      <c r="E235" s="7">
        <v>44725</v>
      </c>
      <c r="F235" s="5" t="s">
        <v>5</v>
      </c>
      <c r="G235" s="5" t="s">
        <v>35</v>
      </c>
      <c r="H235" s="5" t="s">
        <v>21</v>
      </c>
      <c r="I235" s="4" t="s">
        <v>21</v>
      </c>
      <c r="J235" s="4" t="s">
        <v>21</v>
      </c>
      <c r="K235" t="s">
        <v>167</v>
      </c>
      <c r="L235">
        <v>1</v>
      </c>
      <c r="M235" t="e">
        <f>VLOOKUP(H235,eq!$A$3:$T$13,20,)</f>
        <v>#N/A</v>
      </c>
      <c r="N235" t="e">
        <f t="shared" si="6"/>
        <v>#N/A</v>
      </c>
      <c r="O235" t="e" cm="1">
        <f t="array" ref="O235">eval_tr_dbh*1000</f>
        <v>#N/A</v>
      </c>
      <c r="P235" t="str">
        <f t="shared" si="7"/>
        <v>TN_24_NA_B1</v>
      </c>
    </row>
    <row r="236" spans="1:16" x14ac:dyDescent="0.15">
      <c r="A236" s="5" t="s">
        <v>3</v>
      </c>
      <c r="B236" s="5">
        <v>24</v>
      </c>
      <c r="C236" s="5" t="s">
        <v>21</v>
      </c>
      <c r="D236" s="5" t="s">
        <v>30</v>
      </c>
      <c r="E236" s="7">
        <v>44725</v>
      </c>
      <c r="F236" s="5" t="s">
        <v>6</v>
      </c>
      <c r="G236" s="5" t="s">
        <v>36</v>
      </c>
      <c r="H236" s="5" t="s">
        <v>21</v>
      </c>
      <c r="I236" s="4" t="s">
        <v>21</v>
      </c>
      <c r="J236" s="4" t="s">
        <v>21</v>
      </c>
      <c r="K236" t="s">
        <v>167</v>
      </c>
      <c r="L236">
        <v>1</v>
      </c>
      <c r="M236" t="e">
        <f>VLOOKUP(H236,eq!$A$3:$T$13,20,)</f>
        <v>#N/A</v>
      </c>
      <c r="N236" t="e">
        <f t="shared" si="6"/>
        <v>#N/A</v>
      </c>
      <c r="O236" t="e" cm="1">
        <f t="array" ref="O236">eval_tr_dbh*1000</f>
        <v>#N/A</v>
      </c>
      <c r="P236" t="str">
        <f t="shared" si="7"/>
        <v>TN_24_NA_B2</v>
      </c>
    </row>
    <row r="237" spans="1:16" x14ac:dyDescent="0.15">
      <c r="A237" s="5" t="s">
        <v>3</v>
      </c>
      <c r="B237" s="5">
        <v>24</v>
      </c>
      <c r="C237" s="5" t="s">
        <v>21</v>
      </c>
      <c r="D237" s="5" t="s">
        <v>30</v>
      </c>
      <c r="E237" s="7">
        <v>44725</v>
      </c>
      <c r="F237" s="5" t="s">
        <v>9</v>
      </c>
      <c r="G237" s="5" t="s">
        <v>37</v>
      </c>
      <c r="H237" s="5" t="s">
        <v>21</v>
      </c>
      <c r="I237" s="4" t="s">
        <v>21</v>
      </c>
      <c r="J237" s="4" t="s">
        <v>21</v>
      </c>
      <c r="K237" t="s">
        <v>167</v>
      </c>
      <c r="L237">
        <v>1</v>
      </c>
      <c r="M237" t="e">
        <f>VLOOKUP(H237,eq!$A$3:$T$13,20,)</f>
        <v>#N/A</v>
      </c>
      <c r="N237" t="e">
        <f t="shared" si="6"/>
        <v>#N/A</v>
      </c>
      <c r="O237" t="e" cm="1">
        <f t="array" ref="O237">eval_tr_dbh*1000</f>
        <v>#N/A</v>
      </c>
      <c r="P237" t="str">
        <f t="shared" si="7"/>
        <v>TN_24_NA_B4</v>
      </c>
    </row>
    <row r="238" spans="1:16" x14ac:dyDescent="0.15">
      <c r="A238" s="5" t="s">
        <v>3</v>
      </c>
      <c r="B238" s="5">
        <v>25</v>
      </c>
      <c r="C238" s="5" t="s">
        <v>22</v>
      </c>
      <c r="D238" s="5" t="s">
        <v>31</v>
      </c>
      <c r="E238" s="7">
        <v>44728</v>
      </c>
      <c r="F238" s="5" t="s">
        <v>5</v>
      </c>
      <c r="G238" s="5" t="s">
        <v>35</v>
      </c>
      <c r="H238" s="5" t="s">
        <v>21</v>
      </c>
      <c r="I238" s="4" t="s">
        <v>21</v>
      </c>
      <c r="J238" s="4" t="s">
        <v>21</v>
      </c>
      <c r="K238" t="s">
        <v>258</v>
      </c>
      <c r="L238">
        <v>2</v>
      </c>
      <c r="M238" t="e">
        <f>VLOOKUP(H238,eq!$A$3:$T$13,20,)</f>
        <v>#N/A</v>
      </c>
      <c r="N238" t="e">
        <f t="shared" si="6"/>
        <v>#N/A</v>
      </c>
      <c r="O238" t="e" cm="1">
        <f t="array" ref="O238">eval_tr_dbh*1000</f>
        <v>#N/A</v>
      </c>
      <c r="P238" t="str">
        <f t="shared" si="7"/>
        <v>TN_25_CTRL_B1</v>
      </c>
    </row>
    <row r="239" spans="1:16" x14ac:dyDescent="0.15">
      <c r="A239" s="5" t="s">
        <v>3</v>
      </c>
      <c r="B239" s="5">
        <v>25</v>
      </c>
      <c r="C239" s="5" t="s">
        <v>22</v>
      </c>
      <c r="D239" s="5" t="s">
        <v>31</v>
      </c>
      <c r="E239" s="7">
        <v>44728</v>
      </c>
      <c r="F239" s="5" t="s">
        <v>6</v>
      </c>
      <c r="G239" s="5" t="s">
        <v>36</v>
      </c>
      <c r="H239" s="5" t="s">
        <v>21</v>
      </c>
      <c r="I239" s="4" t="s">
        <v>21</v>
      </c>
      <c r="J239" s="4" t="s">
        <v>21</v>
      </c>
      <c r="K239" t="s">
        <v>258</v>
      </c>
      <c r="L239">
        <v>2</v>
      </c>
      <c r="M239" t="e">
        <f>VLOOKUP(H239,eq!$A$3:$T$13,20,)</f>
        <v>#N/A</v>
      </c>
      <c r="N239" t="e">
        <f t="shared" si="6"/>
        <v>#N/A</v>
      </c>
      <c r="O239" t="e" cm="1">
        <f t="array" ref="O239">eval_tr_dbh*1000</f>
        <v>#N/A</v>
      </c>
      <c r="P239" t="str">
        <f t="shared" si="7"/>
        <v>TN_25_CTRL_B2</v>
      </c>
    </row>
    <row r="240" spans="1:16" x14ac:dyDescent="0.15">
      <c r="A240" s="5" t="s">
        <v>3</v>
      </c>
      <c r="B240" s="5">
        <v>25</v>
      </c>
      <c r="C240" s="5" t="s">
        <v>22</v>
      </c>
      <c r="D240" s="5" t="s">
        <v>31</v>
      </c>
      <c r="E240" s="7">
        <v>44728</v>
      </c>
      <c r="F240" s="5" t="s">
        <v>7</v>
      </c>
      <c r="G240" s="5" t="s">
        <v>34</v>
      </c>
      <c r="H240" s="5" t="s">
        <v>21</v>
      </c>
      <c r="I240" s="4" t="s">
        <v>21</v>
      </c>
      <c r="J240" s="4" t="s">
        <v>21</v>
      </c>
      <c r="K240" t="s">
        <v>258</v>
      </c>
      <c r="L240">
        <v>2</v>
      </c>
      <c r="M240" t="e">
        <f>VLOOKUP(H240,eq!$A$3:$T$13,20,)</f>
        <v>#N/A</v>
      </c>
      <c r="N240" t="e">
        <f t="shared" si="6"/>
        <v>#N/A</v>
      </c>
      <c r="O240" t="e" cm="1">
        <f t="array" ref="O240">eval_tr_dbh*1000</f>
        <v>#N/A</v>
      </c>
      <c r="P240" t="str">
        <f t="shared" si="7"/>
        <v>TN_25_CTRL_B3</v>
      </c>
    </row>
    <row r="241" spans="1:16" x14ac:dyDescent="0.15">
      <c r="A241" s="5" t="s">
        <v>3</v>
      </c>
      <c r="B241" s="5">
        <v>25</v>
      </c>
      <c r="C241" s="5" t="s">
        <v>22</v>
      </c>
      <c r="D241" s="5" t="s">
        <v>31</v>
      </c>
      <c r="E241" s="7">
        <v>44728</v>
      </c>
      <c r="F241" s="5" t="s">
        <v>9</v>
      </c>
      <c r="G241" s="5" t="s">
        <v>37</v>
      </c>
      <c r="H241" s="5" t="s">
        <v>21</v>
      </c>
      <c r="I241" s="4" t="s">
        <v>21</v>
      </c>
      <c r="J241" s="4" t="s">
        <v>21</v>
      </c>
      <c r="K241" t="s">
        <v>258</v>
      </c>
      <c r="L241">
        <v>2</v>
      </c>
      <c r="M241" t="e">
        <f>VLOOKUP(H241,eq!$A$3:$T$13,20,)</f>
        <v>#N/A</v>
      </c>
      <c r="N241" t="e">
        <f t="shared" si="6"/>
        <v>#N/A</v>
      </c>
      <c r="O241" t="e" cm="1">
        <f t="array" ref="O241">eval_tr_dbh*1000</f>
        <v>#N/A</v>
      </c>
      <c r="P241" t="str">
        <f t="shared" si="7"/>
        <v>TN_25_CTRL_B4</v>
      </c>
    </row>
    <row r="242" spans="1:16" x14ac:dyDescent="0.15">
      <c r="A242" s="5" t="s">
        <v>3</v>
      </c>
      <c r="B242" s="5">
        <v>25</v>
      </c>
      <c r="C242" s="5" t="s">
        <v>23</v>
      </c>
      <c r="D242" s="5" t="s">
        <v>31</v>
      </c>
      <c r="E242" s="7">
        <v>44728</v>
      </c>
      <c r="F242" s="5" t="s">
        <v>5</v>
      </c>
      <c r="G242" s="5" t="s">
        <v>35</v>
      </c>
      <c r="H242" s="5" t="s">
        <v>19</v>
      </c>
      <c r="I242" s="4">
        <v>3.25</v>
      </c>
      <c r="J242" s="4">
        <v>2.2999999999999998</v>
      </c>
      <c r="K242" t="s">
        <v>259</v>
      </c>
      <c r="L242">
        <v>2</v>
      </c>
      <c r="M242" t="str">
        <f>VLOOKUP(H242,eq!$A$3:$T$13,20,)</f>
        <v>0.0605*(X4^2.475)+0.0168*(X4^2.3949)+0.008*(X4^2.5214)+0.0261*(X4^1.6304)</v>
      </c>
      <c r="N242" t="str">
        <f t="shared" si="6"/>
        <v>0.0605*(2.3^2.475)+0.0168*(2.3^2.3949)+0.008*(2.3^2.5214)+0.0261*(2.3^1.6304)</v>
      </c>
      <c r="O242" cm="1">
        <f t="array" ref="O242">eval_tr_dbh*1000</f>
        <v>765.67479916956313</v>
      </c>
      <c r="P242" t="str">
        <f t="shared" si="7"/>
        <v>TN_25_EX_B1</v>
      </c>
    </row>
    <row r="243" spans="1:16" x14ac:dyDescent="0.15">
      <c r="A243" s="5" t="s">
        <v>3</v>
      </c>
      <c r="B243" s="5">
        <v>25</v>
      </c>
      <c r="C243" s="5" t="s">
        <v>23</v>
      </c>
      <c r="D243" s="5" t="s">
        <v>31</v>
      </c>
      <c r="E243" s="7">
        <v>44728</v>
      </c>
      <c r="F243" s="5" t="s">
        <v>9</v>
      </c>
      <c r="G243" s="5" t="s">
        <v>37</v>
      </c>
      <c r="H243" s="5" t="s">
        <v>16</v>
      </c>
      <c r="I243" s="4">
        <v>3</v>
      </c>
      <c r="J243" s="4">
        <v>3.5</v>
      </c>
      <c r="K243" t="s">
        <v>259</v>
      </c>
      <c r="L243">
        <v>2</v>
      </c>
      <c r="M243" t="str">
        <f>VLOOKUP(H243,eq!$A$3:$T$13,20,)</f>
        <v>0.0605*(X4^2.475)+0.0168*(X4^2.3949)+0.008*(X4^2.5214)+0.0261*(X4^1.6304)</v>
      </c>
      <c r="N243" t="str">
        <f t="shared" si="6"/>
        <v>0.0605*(3.5^2.475)+0.0168*(3.5^2.3949)+0.008*(3.5^2.5214)+0.0261*(3.5^1.6304)</v>
      </c>
      <c r="O243" cm="1">
        <f t="array" ref="O243">eval_tr_dbh*1000</f>
        <v>2070.8363258584486</v>
      </c>
      <c r="P243" t="str">
        <f t="shared" si="7"/>
        <v>TN_25_EX_B4</v>
      </c>
    </row>
    <row r="244" spans="1:16" x14ac:dyDescent="0.15">
      <c r="A244" s="5" t="s">
        <v>3</v>
      </c>
      <c r="B244" s="5">
        <v>25</v>
      </c>
      <c r="C244" s="5" t="s">
        <v>23</v>
      </c>
      <c r="D244" s="5" t="s">
        <v>31</v>
      </c>
      <c r="E244" s="7">
        <v>44728</v>
      </c>
      <c r="F244" s="5" t="s">
        <v>5</v>
      </c>
      <c r="G244" s="5" t="s">
        <v>35</v>
      </c>
      <c r="H244" s="5" t="s">
        <v>16</v>
      </c>
      <c r="I244" s="4">
        <v>4</v>
      </c>
      <c r="J244" s="4">
        <v>3.4</v>
      </c>
      <c r="K244" t="s">
        <v>259</v>
      </c>
      <c r="L244">
        <v>2</v>
      </c>
      <c r="M244" t="str">
        <f>VLOOKUP(H244,eq!$A$3:$T$13,20,)</f>
        <v>0.0605*(X4^2.475)+0.0168*(X4^2.3949)+0.008*(X4^2.5214)+0.0261*(X4^1.6304)</v>
      </c>
      <c r="N244" t="str">
        <f t="shared" si="6"/>
        <v>0.0605*(3.4^2.475)+0.0168*(3.4^2.3949)+0.008*(3.4^2.5214)+0.0261*(3.4^1.6304)</v>
      </c>
      <c r="O244" cm="1">
        <f t="array" ref="O244">eval_tr_dbh*1000</f>
        <v>1932.6070930285855</v>
      </c>
      <c r="P244" t="str">
        <f t="shared" si="7"/>
        <v>TN_25_EX_B1</v>
      </c>
    </row>
    <row r="245" spans="1:16" x14ac:dyDescent="0.15">
      <c r="A245" s="5" t="s">
        <v>3</v>
      </c>
      <c r="B245" s="5">
        <v>25</v>
      </c>
      <c r="C245" s="5" t="s">
        <v>23</v>
      </c>
      <c r="D245" s="5" t="s">
        <v>31</v>
      </c>
      <c r="E245" s="7">
        <v>44728</v>
      </c>
      <c r="F245" s="5" t="s">
        <v>5</v>
      </c>
      <c r="G245" s="5" t="s">
        <v>35</v>
      </c>
      <c r="H245" s="5" t="s">
        <v>16</v>
      </c>
      <c r="I245" s="4">
        <v>5.5</v>
      </c>
      <c r="J245" s="4">
        <v>3.7</v>
      </c>
      <c r="K245" t="s">
        <v>259</v>
      </c>
      <c r="L245">
        <v>2</v>
      </c>
      <c r="M245" t="str">
        <f>VLOOKUP(H245,eq!$A$3:$T$13,20,)</f>
        <v>0.0605*(X4^2.475)+0.0168*(X4^2.3949)+0.008*(X4^2.5214)+0.0261*(X4^1.6304)</v>
      </c>
      <c r="N245" t="str">
        <f t="shared" si="6"/>
        <v>0.0605*(3.7^2.475)+0.0168*(3.7^2.3949)+0.008*(3.7^2.5214)+0.0261*(3.7^1.6304)</v>
      </c>
      <c r="O245" cm="1">
        <f t="array" ref="O245">eval_tr_dbh*1000</f>
        <v>2364.416427809982</v>
      </c>
      <c r="P245" t="str">
        <f t="shared" si="7"/>
        <v>TN_25_EX_B1</v>
      </c>
    </row>
    <row r="246" spans="1:16" x14ac:dyDescent="0.15">
      <c r="A246" s="5" t="s">
        <v>3</v>
      </c>
      <c r="B246" s="5">
        <v>25</v>
      </c>
      <c r="C246" s="5" t="s">
        <v>23</v>
      </c>
      <c r="D246" s="5" t="s">
        <v>31</v>
      </c>
      <c r="E246" s="7">
        <v>44728</v>
      </c>
      <c r="F246" s="5" t="s">
        <v>6</v>
      </c>
      <c r="G246" s="5" t="s">
        <v>36</v>
      </c>
      <c r="H246" s="5" t="s">
        <v>16</v>
      </c>
      <c r="I246" s="4">
        <v>4.5</v>
      </c>
      <c r="J246" s="4">
        <v>4.4000000000000004</v>
      </c>
      <c r="K246" t="s">
        <v>259</v>
      </c>
      <c r="L246">
        <v>2</v>
      </c>
      <c r="M246" t="str">
        <f>VLOOKUP(H246,eq!$A$3:$T$13,20,)</f>
        <v>0.0605*(X4^2.475)+0.0168*(X4^2.3949)+0.008*(X4^2.5214)+0.0261*(X4^1.6304)</v>
      </c>
      <c r="N246" t="str">
        <f t="shared" si="6"/>
        <v>0.0605*(4.4^2.475)+0.0168*(4.4^2.3949)+0.008*(4.4^2.5214)+0.0261*(4.4^1.6304)</v>
      </c>
      <c r="O246" cm="1">
        <f t="array" ref="O246">eval_tr_dbh*1000</f>
        <v>3579.0013216951497</v>
      </c>
      <c r="P246" t="str">
        <f t="shared" si="7"/>
        <v>TN_25_EX_B2</v>
      </c>
    </row>
    <row r="247" spans="1:16" x14ac:dyDescent="0.15">
      <c r="A247" s="5" t="s">
        <v>3</v>
      </c>
      <c r="B247" s="5">
        <v>25</v>
      </c>
      <c r="C247" s="5" t="s">
        <v>23</v>
      </c>
      <c r="D247" s="5" t="s">
        <v>31</v>
      </c>
      <c r="E247" s="7">
        <v>44728</v>
      </c>
      <c r="F247" s="5" t="s">
        <v>7</v>
      </c>
      <c r="G247" s="5" t="s">
        <v>34</v>
      </c>
      <c r="H247" s="5" t="s">
        <v>16</v>
      </c>
      <c r="I247" s="4">
        <v>4.3</v>
      </c>
      <c r="J247" s="4">
        <v>4.7</v>
      </c>
      <c r="K247" t="s">
        <v>259</v>
      </c>
      <c r="L247">
        <v>2</v>
      </c>
      <c r="M247" t="str">
        <f>VLOOKUP(H247,eq!$A$3:$T$13,20,)</f>
        <v>0.0605*(X4^2.475)+0.0168*(X4^2.3949)+0.008*(X4^2.5214)+0.0261*(X4^1.6304)</v>
      </c>
      <c r="N247" t="str">
        <f t="shared" si="6"/>
        <v>0.0605*(4.7^2.475)+0.0168*(4.7^2.3949)+0.008*(4.7^2.5214)+0.0261*(4.7^1.6304)</v>
      </c>
      <c r="O247" cm="1">
        <f t="array" ref="O247">eval_tr_dbh*1000</f>
        <v>4192.5978610720231</v>
      </c>
      <c r="P247" t="str">
        <f t="shared" si="7"/>
        <v>TN_25_EX_B3</v>
      </c>
    </row>
    <row r="248" spans="1:16" x14ac:dyDescent="0.15">
      <c r="A248" s="5" t="s">
        <v>3</v>
      </c>
      <c r="B248" s="5">
        <v>26</v>
      </c>
      <c r="C248" s="5" t="s">
        <v>21</v>
      </c>
      <c r="D248" s="5" t="s">
        <v>31</v>
      </c>
      <c r="E248" s="7">
        <v>44729</v>
      </c>
      <c r="F248" s="5" t="s">
        <v>5</v>
      </c>
      <c r="G248" s="5" t="s">
        <v>35</v>
      </c>
      <c r="H248" s="5" t="s">
        <v>21</v>
      </c>
      <c r="I248" s="4" t="s">
        <v>21</v>
      </c>
      <c r="J248" s="4" t="s">
        <v>21</v>
      </c>
      <c r="K248" t="s">
        <v>155</v>
      </c>
      <c r="L248">
        <v>2</v>
      </c>
      <c r="M248" t="e">
        <f>VLOOKUP(H248,eq!$A$3:$T$13,20,)</f>
        <v>#N/A</v>
      </c>
      <c r="N248" t="e">
        <f t="shared" si="6"/>
        <v>#N/A</v>
      </c>
      <c r="O248" t="e" cm="1">
        <f t="array" ref="O248">eval_tr_dbh*1000</f>
        <v>#N/A</v>
      </c>
      <c r="P248" t="str">
        <f t="shared" si="7"/>
        <v>TN_26_NA_B1</v>
      </c>
    </row>
    <row r="249" spans="1:16" x14ac:dyDescent="0.15">
      <c r="A249" s="5" t="s">
        <v>3</v>
      </c>
      <c r="B249" s="5">
        <v>26</v>
      </c>
      <c r="C249" s="5" t="s">
        <v>21</v>
      </c>
      <c r="D249" s="5" t="s">
        <v>31</v>
      </c>
      <c r="E249" s="7">
        <v>44729</v>
      </c>
      <c r="F249" s="5" t="s">
        <v>6</v>
      </c>
      <c r="G249" s="5" t="s">
        <v>36</v>
      </c>
      <c r="H249" s="5" t="s">
        <v>21</v>
      </c>
      <c r="I249" s="4" t="s">
        <v>21</v>
      </c>
      <c r="J249" s="4" t="s">
        <v>21</v>
      </c>
      <c r="K249" t="s">
        <v>155</v>
      </c>
      <c r="L249">
        <v>2</v>
      </c>
      <c r="M249" t="e">
        <f>VLOOKUP(H249,eq!$A$3:$T$13,20,)</f>
        <v>#N/A</v>
      </c>
      <c r="N249" t="e">
        <f t="shared" si="6"/>
        <v>#N/A</v>
      </c>
      <c r="O249" t="e" cm="1">
        <f t="array" ref="O249">eval_tr_dbh*1000</f>
        <v>#N/A</v>
      </c>
      <c r="P249" t="str">
        <f t="shared" si="7"/>
        <v>TN_26_NA_B2</v>
      </c>
    </row>
    <row r="250" spans="1:16" x14ac:dyDescent="0.15">
      <c r="A250" s="5" t="s">
        <v>3</v>
      </c>
      <c r="B250" s="5">
        <v>26</v>
      </c>
      <c r="C250" s="5" t="s">
        <v>21</v>
      </c>
      <c r="D250" s="5" t="s">
        <v>31</v>
      </c>
      <c r="E250" s="7">
        <v>44729</v>
      </c>
      <c r="F250" s="5" t="s">
        <v>7</v>
      </c>
      <c r="G250" s="5" t="s">
        <v>34</v>
      </c>
      <c r="H250" s="5" t="s">
        <v>21</v>
      </c>
      <c r="I250" s="4" t="s">
        <v>21</v>
      </c>
      <c r="J250" s="4" t="s">
        <v>21</v>
      </c>
      <c r="K250" t="s">
        <v>155</v>
      </c>
      <c r="L250">
        <v>2</v>
      </c>
      <c r="M250" t="e">
        <f>VLOOKUP(H250,eq!$A$3:$T$13,20,)</f>
        <v>#N/A</v>
      </c>
      <c r="N250" t="e">
        <f t="shared" si="6"/>
        <v>#N/A</v>
      </c>
      <c r="O250" t="e" cm="1">
        <f t="array" ref="O250">eval_tr_dbh*1000</f>
        <v>#N/A</v>
      </c>
      <c r="P250" t="str">
        <f t="shared" si="7"/>
        <v>TN_26_NA_B3</v>
      </c>
    </row>
    <row r="251" spans="1:16" x14ac:dyDescent="0.15">
      <c r="A251" s="5" t="s">
        <v>3</v>
      </c>
      <c r="B251" s="5">
        <v>26</v>
      </c>
      <c r="C251" s="5" t="s">
        <v>21</v>
      </c>
      <c r="D251" s="5" t="s">
        <v>31</v>
      </c>
      <c r="E251" s="7">
        <v>44729</v>
      </c>
      <c r="F251" s="5" t="s">
        <v>9</v>
      </c>
      <c r="G251" s="5" t="s">
        <v>37</v>
      </c>
      <c r="H251" s="5" t="s">
        <v>21</v>
      </c>
      <c r="I251" s="4" t="s">
        <v>21</v>
      </c>
      <c r="J251" s="4" t="s">
        <v>21</v>
      </c>
      <c r="K251" t="s">
        <v>155</v>
      </c>
      <c r="L251">
        <v>2</v>
      </c>
      <c r="M251" t="e">
        <f>VLOOKUP(H251,eq!$A$3:$T$13,20,)</f>
        <v>#N/A</v>
      </c>
      <c r="N251" t="e">
        <f t="shared" si="6"/>
        <v>#N/A</v>
      </c>
      <c r="O251" t="e" cm="1">
        <f t="array" ref="O251">eval_tr_dbh*1000</f>
        <v>#N/A</v>
      </c>
      <c r="P251" t="str">
        <f t="shared" si="7"/>
        <v>TN_26_NA_B4</v>
      </c>
    </row>
    <row r="252" spans="1:16" x14ac:dyDescent="0.15">
      <c r="A252" s="6" t="s">
        <v>3</v>
      </c>
      <c r="B252" s="6">
        <v>27</v>
      </c>
      <c r="C252" s="5" t="s">
        <v>21</v>
      </c>
      <c r="D252" s="5" t="s">
        <v>31</v>
      </c>
      <c r="E252" s="7">
        <v>44727</v>
      </c>
      <c r="F252" s="6" t="s">
        <v>6</v>
      </c>
      <c r="G252" s="6" t="s">
        <v>36</v>
      </c>
      <c r="H252" s="3" t="s">
        <v>8</v>
      </c>
      <c r="I252" s="2">
        <v>5</v>
      </c>
      <c r="J252" s="2">
        <v>6.25</v>
      </c>
      <c r="K252" t="s">
        <v>142</v>
      </c>
      <c r="L252">
        <v>1</v>
      </c>
      <c r="M252" t="str">
        <f>VLOOKUP(H252,eq!$A$3:$T$13,20,)</f>
        <v>0.0477*(X4^2.5147)+0.0153*(X4^2.2429)+0.0278*(X4^2.0839)+0.1648*(X4^1.4143)</v>
      </c>
      <c r="N252" t="str">
        <f t="shared" si="6"/>
        <v>0.0477*(6.25^2.5147)+0.0153*(6.25^2.2429)+0.0278*(6.25^2.0839)+0.1648*(6.25^1.4143)</v>
      </c>
      <c r="O252" cm="1">
        <f t="array" ref="O252">eval_tr_dbh*1000</f>
        <v>9185.3295684467903</v>
      </c>
      <c r="P252" t="str">
        <f t="shared" si="7"/>
        <v>TN_27_NA_B2</v>
      </c>
    </row>
    <row r="253" spans="1:16" x14ac:dyDescent="0.15">
      <c r="A253" s="6" t="s">
        <v>3</v>
      </c>
      <c r="B253" s="6">
        <v>27</v>
      </c>
      <c r="C253" s="5" t="s">
        <v>21</v>
      </c>
      <c r="D253" s="5" t="s">
        <v>31</v>
      </c>
      <c r="E253" s="7">
        <v>44727</v>
      </c>
      <c r="F253" s="6" t="s">
        <v>5</v>
      </c>
      <c r="G253" s="6" t="s">
        <v>35</v>
      </c>
      <c r="H253" s="6" t="s">
        <v>21</v>
      </c>
      <c r="I253" s="2" t="s">
        <v>21</v>
      </c>
      <c r="J253" s="2" t="s">
        <v>21</v>
      </c>
      <c r="K253" t="s">
        <v>142</v>
      </c>
      <c r="L253">
        <v>1</v>
      </c>
      <c r="M253" t="e">
        <f>VLOOKUP(H253,eq!$A$3:$T$13,20,)</f>
        <v>#N/A</v>
      </c>
      <c r="N253" t="e">
        <f t="shared" si="6"/>
        <v>#N/A</v>
      </c>
      <c r="O253" t="e" cm="1">
        <f t="array" ref="O253">eval_tr_dbh*1000</f>
        <v>#N/A</v>
      </c>
      <c r="P253" t="str">
        <f t="shared" si="7"/>
        <v>TN_27_NA_B1</v>
      </c>
    </row>
    <row r="254" spans="1:16" x14ac:dyDescent="0.15">
      <c r="A254" s="6" t="s">
        <v>3</v>
      </c>
      <c r="B254" s="6">
        <v>27</v>
      </c>
      <c r="C254" s="5" t="s">
        <v>21</v>
      </c>
      <c r="D254" s="5" t="s">
        <v>31</v>
      </c>
      <c r="E254" s="7">
        <v>44727</v>
      </c>
      <c r="F254" s="6" t="s">
        <v>7</v>
      </c>
      <c r="G254" s="6" t="s">
        <v>34</v>
      </c>
      <c r="H254" s="6" t="s">
        <v>21</v>
      </c>
      <c r="I254" s="2" t="s">
        <v>21</v>
      </c>
      <c r="J254" s="2" t="s">
        <v>21</v>
      </c>
      <c r="K254" t="s">
        <v>142</v>
      </c>
      <c r="L254">
        <v>1</v>
      </c>
      <c r="M254" t="e">
        <f>VLOOKUP(H254,eq!$A$3:$T$13,20,)</f>
        <v>#N/A</v>
      </c>
      <c r="N254" t="e">
        <f t="shared" si="6"/>
        <v>#N/A</v>
      </c>
      <c r="O254" t="e" cm="1">
        <f t="array" ref="O254">eval_tr_dbh*1000</f>
        <v>#N/A</v>
      </c>
      <c r="P254" t="str">
        <f t="shared" si="7"/>
        <v>TN_27_NA_B3</v>
      </c>
    </row>
    <row r="255" spans="1:16" x14ac:dyDescent="0.15">
      <c r="A255" s="6" t="s">
        <v>3</v>
      </c>
      <c r="B255" s="6">
        <v>27</v>
      </c>
      <c r="C255" s="5" t="s">
        <v>21</v>
      </c>
      <c r="D255" s="5" t="s">
        <v>31</v>
      </c>
      <c r="E255" s="7">
        <v>44727</v>
      </c>
      <c r="F255" s="6" t="s">
        <v>9</v>
      </c>
      <c r="G255" s="6" t="s">
        <v>37</v>
      </c>
      <c r="H255" s="6" t="s">
        <v>21</v>
      </c>
      <c r="I255" s="2" t="s">
        <v>21</v>
      </c>
      <c r="J255" s="2" t="s">
        <v>21</v>
      </c>
      <c r="K255" t="s">
        <v>142</v>
      </c>
      <c r="L255">
        <v>1</v>
      </c>
      <c r="M255" t="e">
        <f>VLOOKUP(H255,eq!$A$3:$T$13,20,)</f>
        <v>#N/A</v>
      </c>
      <c r="N255" t="e">
        <f t="shared" si="6"/>
        <v>#N/A</v>
      </c>
      <c r="O255" t="e" cm="1">
        <f t="array" ref="O255">eval_tr_dbh*1000</f>
        <v>#N/A</v>
      </c>
      <c r="P255" t="str">
        <f t="shared" si="7"/>
        <v>TN_27_NA_B4</v>
      </c>
    </row>
    <row r="256" spans="1:16" x14ac:dyDescent="0.15">
      <c r="A256" s="6" t="s">
        <v>3</v>
      </c>
      <c r="B256" s="6">
        <v>28</v>
      </c>
      <c r="C256" s="5" t="s">
        <v>21</v>
      </c>
      <c r="D256" s="5" t="s">
        <v>31</v>
      </c>
      <c r="E256" s="7">
        <v>44729</v>
      </c>
      <c r="F256" s="6" t="s">
        <v>7</v>
      </c>
      <c r="G256" s="6" t="s">
        <v>34</v>
      </c>
      <c r="H256" s="3" t="s">
        <v>8</v>
      </c>
      <c r="I256" s="2">
        <v>3</v>
      </c>
      <c r="J256" s="2">
        <v>5</v>
      </c>
      <c r="K256" t="s">
        <v>143</v>
      </c>
      <c r="L256">
        <v>1</v>
      </c>
      <c r="M256" t="str">
        <f>VLOOKUP(H256,eq!$A$3:$T$13,20,)</f>
        <v>0.0477*(X4^2.5147)+0.0153*(X4^2.2429)+0.0278*(X4^2.0839)+0.1648*(X4^1.4143)</v>
      </c>
      <c r="N256" t="str">
        <f t="shared" si="6"/>
        <v>0.0477*(5^2.5147)+0.0153*(5^2.2429)+0.0278*(5^2.0839)+0.1648*(5^1.4143)</v>
      </c>
      <c r="O256" cm="1">
        <f t="array" ref="O256">eval_tr_dbh*1000</f>
        <v>5696.4311335056445</v>
      </c>
      <c r="P256" t="str">
        <f t="shared" si="7"/>
        <v>TN_28_NA_B3</v>
      </c>
    </row>
    <row r="257" spans="1:16" x14ac:dyDescent="0.15">
      <c r="A257" s="6" t="s">
        <v>3</v>
      </c>
      <c r="B257" s="6">
        <v>28</v>
      </c>
      <c r="C257" s="5" t="s">
        <v>21</v>
      </c>
      <c r="D257" s="5" t="s">
        <v>31</v>
      </c>
      <c r="E257" s="7">
        <v>44729</v>
      </c>
      <c r="F257" s="6" t="s">
        <v>5</v>
      </c>
      <c r="G257" s="6" t="s">
        <v>35</v>
      </c>
      <c r="H257" s="3" t="s">
        <v>8</v>
      </c>
      <c r="I257" s="2">
        <v>3.5</v>
      </c>
      <c r="J257" s="2">
        <v>6</v>
      </c>
      <c r="K257" t="s">
        <v>143</v>
      </c>
      <c r="L257">
        <v>1</v>
      </c>
      <c r="M257" t="str">
        <f>VLOOKUP(H257,eq!$A$3:$T$13,20,)</f>
        <v>0.0477*(X4^2.5147)+0.0153*(X4^2.2429)+0.0278*(X4^2.0839)+0.1648*(X4^1.4143)</v>
      </c>
      <c r="N257" t="str">
        <f t="shared" si="6"/>
        <v>0.0477*(6^2.5147)+0.0153*(6^2.2429)+0.0278*(6^2.0839)+0.1648*(6^1.4143)</v>
      </c>
      <c r="O257" cm="1">
        <f t="array" ref="O257">eval_tr_dbh*1000</f>
        <v>8410.1083756831194</v>
      </c>
      <c r="P257" t="str">
        <f t="shared" si="7"/>
        <v>TN_28_NA_B1</v>
      </c>
    </row>
    <row r="258" spans="1:16" x14ac:dyDescent="0.15">
      <c r="A258" s="6" t="s">
        <v>3</v>
      </c>
      <c r="B258" s="6">
        <v>28</v>
      </c>
      <c r="C258" s="5" t="s">
        <v>21</v>
      </c>
      <c r="D258" s="5" t="s">
        <v>31</v>
      </c>
      <c r="E258" s="7">
        <v>44729</v>
      </c>
      <c r="F258" s="6" t="s">
        <v>9</v>
      </c>
      <c r="G258" s="6" t="s">
        <v>37</v>
      </c>
      <c r="H258" s="3" t="s">
        <v>8</v>
      </c>
      <c r="I258" s="2">
        <v>8</v>
      </c>
      <c r="J258" s="2">
        <v>24</v>
      </c>
      <c r="K258" t="s">
        <v>143</v>
      </c>
      <c r="L258">
        <v>1</v>
      </c>
      <c r="M258" t="str">
        <f>VLOOKUP(H258,eq!$A$3:$T$13,20,)</f>
        <v>0.0477*(X4^2.5147)+0.0153*(X4^2.2429)+0.0278*(X4^2.0839)+0.1648*(X4^1.4143)</v>
      </c>
      <c r="N258" t="str">
        <f t="shared" ref="N258:N316" si="8">SUBSTITUTE(M258, "X4", J258)</f>
        <v>0.0477*(24^2.5147)+0.0153*(24^2.2429)+0.0278*(24^2.0839)+0.1648*(24^1.4143)</v>
      </c>
      <c r="O258" cm="1">
        <f t="array" ref="O258">eval_tr_dbh*1000</f>
        <v>195771.08116918363</v>
      </c>
      <c r="P258" t="str">
        <f t="shared" si="7"/>
        <v>TN_28_NA_B4</v>
      </c>
    </row>
    <row r="259" spans="1:16" x14ac:dyDescent="0.15">
      <c r="A259" s="6" t="s">
        <v>3</v>
      </c>
      <c r="B259" s="6">
        <v>28</v>
      </c>
      <c r="C259" s="5" t="s">
        <v>21</v>
      </c>
      <c r="D259" s="5" t="s">
        <v>31</v>
      </c>
      <c r="E259" s="7">
        <v>44729</v>
      </c>
      <c r="F259" s="6" t="s">
        <v>6</v>
      </c>
      <c r="G259" s="6" t="s">
        <v>36</v>
      </c>
      <c r="H259" s="6" t="s">
        <v>21</v>
      </c>
      <c r="I259" s="2" t="s">
        <v>21</v>
      </c>
      <c r="J259" s="2" t="s">
        <v>21</v>
      </c>
      <c r="K259" t="s">
        <v>143</v>
      </c>
      <c r="L259">
        <v>1</v>
      </c>
      <c r="M259" t="e">
        <f>VLOOKUP(H259,eq!$A$3:$T$13,20,)</f>
        <v>#N/A</v>
      </c>
      <c r="N259" t="e">
        <f t="shared" si="8"/>
        <v>#N/A</v>
      </c>
      <c r="O259" t="e" cm="1">
        <f t="array" ref="O259">eval_tr_dbh*1000</f>
        <v>#N/A</v>
      </c>
      <c r="P259" t="str">
        <f t="shared" ref="P259:P316" si="9">A259&amp;"_"&amp;B259&amp;"_"&amp;C259&amp;"_"&amp;G259</f>
        <v>TN_28_NA_B2</v>
      </c>
    </row>
    <row r="260" spans="1:16" x14ac:dyDescent="0.15">
      <c r="A260" s="5" t="s">
        <v>3</v>
      </c>
      <c r="B260" s="5">
        <v>29</v>
      </c>
      <c r="C260" s="5" t="s">
        <v>21</v>
      </c>
      <c r="D260" s="5" t="s">
        <v>31</v>
      </c>
      <c r="E260" s="7">
        <v>44727</v>
      </c>
      <c r="F260" s="5" t="s">
        <v>5</v>
      </c>
      <c r="G260" s="5" t="s">
        <v>35</v>
      </c>
      <c r="H260" s="5" t="s">
        <v>21</v>
      </c>
      <c r="I260" s="4" t="s">
        <v>21</v>
      </c>
      <c r="J260" s="4" t="s">
        <v>21</v>
      </c>
      <c r="K260" t="s">
        <v>156</v>
      </c>
      <c r="L260">
        <v>2</v>
      </c>
      <c r="M260" t="e">
        <f>VLOOKUP(H260,eq!$A$3:$T$13,20,)</f>
        <v>#N/A</v>
      </c>
      <c r="N260" t="e">
        <f t="shared" si="8"/>
        <v>#N/A</v>
      </c>
      <c r="O260" t="e" cm="1">
        <f t="array" ref="O260">eval_tr_dbh*1000</f>
        <v>#N/A</v>
      </c>
      <c r="P260" t="str">
        <f t="shared" si="9"/>
        <v>TN_29_NA_B1</v>
      </c>
    </row>
    <row r="261" spans="1:16" x14ac:dyDescent="0.15">
      <c r="A261" s="5" t="s">
        <v>3</v>
      </c>
      <c r="B261" s="5">
        <v>29</v>
      </c>
      <c r="C261" s="5" t="s">
        <v>21</v>
      </c>
      <c r="D261" s="5" t="s">
        <v>31</v>
      </c>
      <c r="E261" s="7">
        <v>44727</v>
      </c>
      <c r="F261" s="5" t="s">
        <v>6</v>
      </c>
      <c r="G261" s="5" t="s">
        <v>36</v>
      </c>
      <c r="H261" s="5" t="s">
        <v>21</v>
      </c>
      <c r="I261" s="4" t="s">
        <v>21</v>
      </c>
      <c r="J261" s="4" t="s">
        <v>21</v>
      </c>
      <c r="K261" t="s">
        <v>156</v>
      </c>
      <c r="L261">
        <v>2</v>
      </c>
      <c r="M261" t="e">
        <f>VLOOKUP(H261,eq!$A$3:$T$13,20,)</f>
        <v>#N/A</v>
      </c>
      <c r="N261" t="e">
        <f t="shared" si="8"/>
        <v>#N/A</v>
      </c>
      <c r="O261" t="e" cm="1">
        <f t="array" ref="O261">eval_tr_dbh*1000</f>
        <v>#N/A</v>
      </c>
      <c r="P261" t="str">
        <f t="shared" si="9"/>
        <v>TN_29_NA_B2</v>
      </c>
    </row>
    <row r="262" spans="1:16" x14ac:dyDescent="0.15">
      <c r="A262" s="5" t="s">
        <v>3</v>
      </c>
      <c r="B262" s="5">
        <v>29</v>
      </c>
      <c r="C262" s="5" t="s">
        <v>21</v>
      </c>
      <c r="D262" s="5" t="s">
        <v>31</v>
      </c>
      <c r="E262" s="7">
        <v>44727</v>
      </c>
      <c r="F262" s="5" t="s">
        <v>7</v>
      </c>
      <c r="G262" s="5" t="s">
        <v>34</v>
      </c>
      <c r="H262" s="5" t="s">
        <v>21</v>
      </c>
      <c r="I262" s="4" t="s">
        <v>21</v>
      </c>
      <c r="J262" s="4" t="s">
        <v>21</v>
      </c>
      <c r="K262" t="s">
        <v>156</v>
      </c>
      <c r="L262">
        <v>2</v>
      </c>
      <c r="M262" t="e">
        <f>VLOOKUP(H262,eq!$A$3:$T$13,20,)</f>
        <v>#N/A</v>
      </c>
      <c r="N262" t="e">
        <f t="shared" si="8"/>
        <v>#N/A</v>
      </c>
      <c r="O262" t="e" cm="1">
        <f t="array" ref="O262">eval_tr_dbh*1000</f>
        <v>#N/A</v>
      </c>
      <c r="P262" t="str">
        <f t="shared" si="9"/>
        <v>TN_29_NA_B3</v>
      </c>
    </row>
    <row r="263" spans="1:16" x14ac:dyDescent="0.15">
      <c r="A263" s="5" t="s">
        <v>3</v>
      </c>
      <c r="B263" s="5">
        <v>29</v>
      </c>
      <c r="C263" s="5" t="s">
        <v>21</v>
      </c>
      <c r="D263" s="5" t="s">
        <v>31</v>
      </c>
      <c r="E263" s="7">
        <v>44727</v>
      </c>
      <c r="F263" s="5" t="s">
        <v>9</v>
      </c>
      <c r="G263" s="5" t="s">
        <v>37</v>
      </c>
      <c r="H263" s="5" t="s">
        <v>21</v>
      </c>
      <c r="I263" s="4" t="s">
        <v>21</v>
      </c>
      <c r="J263" s="4" t="s">
        <v>21</v>
      </c>
      <c r="K263" t="s">
        <v>156</v>
      </c>
      <c r="L263">
        <v>2</v>
      </c>
      <c r="M263" t="e">
        <f>VLOOKUP(H263,eq!$A$3:$T$13,20,)</f>
        <v>#N/A</v>
      </c>
      <c r="N263" t="e">
        <f t="shared" si="8"/>
        <v>#N/A</v>
      </c>
      <c r="O263" t="e" cm="1">
        <f t="array" ref="O263">eval_tr_dbh*1000</f>
        <v>#N/A</v>
      </c>
      <c r="P263" t="str">
        <f t="shared" si="9"/>
        <v>TN_29_NA_B4</v>
      </c>
    </row>
    <row r="264" spans="1:16" x14ac:dyDescent="0.15">
      <c r="A264" s="5" t="s">
        <v>3</v>
      </c>
      <c r="B264" s="5">
        <v>30</v>
      </c>
      <c r="C264" s="5" t="s">
        <v>21</v>
      </c>
      <c r="D264" s="5" t="s">
        <v>31</v>
      </c>
      <c r="E264" s="7">
        <v>44727</v>
      </c>
      <c r="F264" s="5" t="s">
        <v>5</v>
      </c>
      <c r="G264" s="5" t="s">
        <v>35</v>
      </c>
      <c r="H264" s="5" t="s">
        <v>21</v>
      </c>
      <c r="I264" s="4" t="s">
        <v>21</v>
      </c>
      <c r="J264" s="4" t="s">
        <v>21</v>
      </c>
      <c r="K264" t="s">
        <v>144</v>
      </c>
      <c r="L264">
        <v>1</v>
      </c>
      <c r="M264" t="e">
        <f>VLOOKUP(H264,eq!$A$3:$T$13,20,)</f>
        <v>#N/A</v>
      </c>
      <c r="N264" t="e">
        <f t="shared" si="8"/>
        <v>#N/A</v>
      </c>
      <c r="O264" t="e" cm="1">
        <f t="array" ref="O264">eval_tr_dbh*1000</f>
        <v>#N/A</v>
      </c>
      <c r="P264" t="str">
        <f t="shared" si="9"/>
        <v>TN_30_NA_B1</v>
      </c>
    </row>
    <row r="265" spans="1:16" x14ac:dyDescent="0.15">
      <c r="A265" s="5" t="s">
        <v>3</v>
      </c>
      <c r="B265" s="5">
        <v>30</v>
      </c>
      <c r="C265" s="5" t="s">
        <v>21</v>
      </c>
      <c r="D265" s="5" t="s">
        <v>31</v>
      </c>
      <c r="E265" s="7">
        <v>44727</v>
      </c>
      <c r="F265" s="5" t="s">
        <v>6</v>
      </c>
      <c r="G265" s="5" t="s">
        <v>36</v>
      </c>
      <c r="H265" s="5" t="s">
        <v>21</v>
      </c>
      <c r="I265" s="4" t="s">
        <v>21</v>
      </c>
      <c r="J265" s="4" t="s">
        <v>21</v>
      </c>
      <c r="K265" t="s">
        <v>144</v>
      </c>
      <c r="L265">
        <v>1</v>
      </c>
      <c r="M265" t="e">
        <f>VLOOKUP(H265,eq!$A$3:$T$13,20,)</f>
        <v>#N/A</v>
      </c>
      <c r="N265" t="e">
        <f t="shared" si="8"/>
        <v>#N/A</v>
      </c>
      <c r="O265" t="e" cm="1">
        <f t="array" ref="O265">eval_tr_dbh*1000</f>
        <v>#N/A</v>
      </c>
      <c r="P265" t="str">
        <f t="shared" si="9"/>
        <v>TN_30_NA_B2</v>
      </c>
    </row>
    <row r="266" spans="1:16" x14ac:dyDescent="0.15">
      <c r="A266" s="5" t="s">
        <v>3</v>
      </c>
      <c r="B266" s="5">
        <v>30</v>
      </c>
      <c r="C266" s="5" t="s">
        <v>21</v>
      </c>
      <c r="D266" s="5" t="s">
        <v>31</v>
      </c>
      <c r="E266" s="7">
        <v>44727</v>
      </c>
      <c r="F266" s="5" t="s">
        <v>7</v>
      </c>
      <c r="G266" s="5" t="s">
        <v>34</v>
      </c>
      <c r="H266" s="5" t="s">
        <v>21</v>
      </c>
      <c r="I266" s="4" t="s">
        <v>21</v>
      </c>
      <c r="J266" s="4" t="s">
        <v>21</v>
      </c>
      <c r="K266" t="s">
        <v>144</v>
      </c>
      <c r="L266">
        <v>1</v>
      </c>
      <c r="M266" t="e">
        <f>VLOOKUP(H266,eq!$A$3:$T$13,20,)</f>
        <v>#N/A</v>
      </c>
      <c r="N266" t="e">
        <f t="shared" si="8"/>
        <v>#N/A</v>
      </c>
      <c r="O266" t="e" cm="1">
        <f t="array" ref="O266">eval_tr_dbh*1000</f>
        <v>#N/A</v>
      </c>
      <c r="P266" t="str">
        <f t="shared" si="9"/>
        <v>TN_30_NA_B3</v>
      </c>
    </row>
    <row r="267" spans="1:16" x14ac:dyDescent="0.15">
      <c r="A267" s="5" t="s">
        <v>3</v>
      </c>
      <c r="B267" s="5">
        <v>30</v>
      </c>
      <c r="C267" s="5" t="s">
        <v>21</v>
      </c>
      <c r="D267" s="5" t="s">
        <v>31</v>
      </c>
      <c r="E267" s="7">
        <v>44727</v>
      </c>
      <c r="F267" s="5" t="s">
        <v>9</v>
      </c>
      <c r="G267" s="5" t="s">
        <v>37</v>
      </c>
      <c r="H267" s="5" t="s">
        <v>21</v>
      </c>
      <c r="I267" s="4" t="s">
        <v>21</v>
      </c>
      <c r="J267" s="4" t="s">
        <v>21</v>
      </c>
      <c r="K267" t="s">
        <v>144</v>
      </c>
      <c r="L267">
        <v>1</v>
      </c>
      <c r="M267" t="e">
        <f>VLOOKUP(H267,eq!$A$3:$T$13,20,)</f>
        <v>#N/A</v>
      </c>
      <c r="N267" t="e">
        <f t="shared" si="8"/>
        <v>#N/A</v>
      </c>
      <c r="O267" t="e" cm="1">
        <f t="array" ref="O267">eval_tr_dbh*1000</f>
        <v>#N/A</v>
      </c>
      <c r="P267" t="str">
        <f t="shared" si="9"/>
        <v>TN_30_NA_B4</v>
      </c>
    </row>
    <row r="268" spans="1:16" x14ac:dyDescent="0.15">
      <c r="A268" s="6" t="s">
        <v>3</v>
      </c>
      <c r="B268" s="6">
        <v>31</v>
      </c>
      <c r="C268" s="6" t="s">
        <v>22</v>
      </c>
      <c r="D268" s="6" t="s">
        <v>32</v>
      </c>
      <c r="E268" s="8">
        <v>44733</v>
      </c>
      <c r="F268" s="6" t="s">
        <v>9</v>
      </c>
      <c r="G268" s="6" t="s">
        <v>37</v>
      </c>
      <c r="H268" s="3" t="s">
        <v>10</v>
      </c>
      <c r="I268" s="2">
        <v>9.5</v>
      </c>
      <c r="J268" s="2">
        <v>13.5</v>
      </c>
      <c r="K268" t="s">
        <v>174</v>
      </c>
      <c r="L268">
        <v>1</v>
      </c>
      <c r="M268" t="str">
        <f>VLOOKUP(H268,eq!$A$3:$T$13,20,)</f>
        <v>0.0534*(X4^2.403)+0.0115*(X4^2.3484)+0.007*(X4^2.5406)+0.084*(X4^1.6695)</v>
      </c>
      <c r="N268" t="str">
        <f t="shared" si="8"/>
        <v>0.0534*(13.5^2.403)+0.0115*(13.5^2.3484)+0.007*(13.5^2.5406)+0.084*(13.5^1.6695)</v>
      </c>
      <c r="O268" cm="1">
        <f t="array" ref="O268">eval_tr_dbh*1000</f>
        <v>44656.943186176934</v>
      </c>
      <c r="P268" t="str">
        <f t="shared" si="9"/>
        <v>TN_31_CTRL_B4</v>
      </c>
    </row>
    <row r="269" spans="1:16" x14ac:dyDescent="0.15">
      <c r="A269" s="6" t="s">
        <v>3</v>
      </c>
      <c r="B269" s="6">
        <v>31</v>
      </c>
      <c r="C269" s="6" t="s">
        <v>22</v>
      </c>
      <c r="D269" s="6" t="s">
        <v>32</v>
      </c>
      <c r="E269" s="8">
        <v>44733</v>
      </c>
      <c r="F269" s="6" t="s">
        <v>9</v>
      </c>
      <c r="G269" s="6" t="s">
        <v>37</v>
      </c>
      <c r="H269" s="3" t="s">
        <v>10</v>
      </c>
      <c r="I269" s="2">
        <v>13.5</v>
      </c>
      <c r="J269" s="2">
        <v>31</v>
      </c>
      <c r="K269" t="s">
        <v>174</v>
      </c>
      <c r="L269">
        <v>1</v>
      </c>
      <c r="M269" t="str">
        <f>VLOOKUP(H269,eq!$A$3:$T$13,20,)</f>
        <v>0.0534*(X4^2.403)+0.0115*(X4^2.3484)+0.007*(X4^2.5406)+0.084*(X4^1.6695)</v>
      </c>
      <c r="N269" t="str">
        <f t="shared" si="8"/>
        <v>0.0534*(31^2.403)+0.0115*(31^2.3484)+0.007*(31^2.5406)+0.084*(31^1.6695)</v>
      </c>
      <c r="O269" cm="1">
        <f t="array" ref="O269">eval_tr_dbh*1000</f>
        <v>310344.5074998223</v>
      </c>
      <c r="P269" t="str">
        <f t="shared" si="9"/>
        <v>TN_31_CTRL_B4</v>
      </c>
    </row>
    <row r="270" spans="1:16" x14ac:dyDescent="0.15">
      <c r="A270" s="6" t="s">
        <v>3</v>
      </c>
      <c r="B270" s="6">
        <v>31</v>
      </c>
      <c r="C270" s="6" t="s">
        <v>22</v>
      </c>
      <c r="D270" s="6" t="s">
        <v>32</v>
      </c>
      <c r="E270" s="8">
        <v>44733</v>
      </c>
      <c r="F270" s="6" t="s">
        <v>5</v>
      </c>
      <c r="G270" s="6" t="s">
        <v>35</v>
      </c>
      <c r="H270" s="3" t="s">
        <v>10</v>
      </c>
      <c r="I270" s="2">
        <v>14.2</v>
      </c>
      <c r="J270" s="2">
        <v>31</v>
      </c>
      <c r="K270" t="s">
        <v>174</v>
      </c>
      <c r="L270">
        <v>1</v>
      </c>
      <c r="M270" t="str">
        <f>VLOOKUP(H270,eq!$A$3:$T$13,20,)</f>
        <v>0.0534*(X4^2.403)+0.0115*(X4^2.3484)+0.007*(X4^2.5406)+0.084*(X4^1.6695)</v>
      </c>
      <c r="N270" t="str">
        <f t="shared" si="8"/>
        <v>0.0534*(31^2.403)+0.0115*(31^2.3484)+0.007*(31^2.5406)+0.084*(31^1.6695)</v>
      </c>
      <c r="O270" cm="1">
        <f t="array" ref="O270">eval_tr_dbh*1000</f>
        <v>310344.5074998223</v>
      </c>
      <c r="P270" t="str">
        <f t="shared" si="9"/>
        <v>TN_31_CTRL_B1</v>
      </c>
    </row>
    <row r="271" spans="1:16" x14ac:dyDescent="0.15">
      <c r="A271" s="6" t="s">
        <v>3</v>
      </c>
      <c r="B271" s="6">
        <v>31</v>
      </c>
      <c r="C271" s="6" t="s">
        <v>22</v>
      </c>
      <c r="D271" s="6" t="s">
        <v>32</v>
      </c>
      <c r="E271" s="8">
        <v>44733</v>
      </c>
      <c r="F271" s="6" t="s">
        <v>6</v>
      </c>
      <c r="G271" s="6" t="s">
        <v>36</v>
      </c>
      <c r="H271" s="6" t="s">
        <v>21</v>
      </c>
      <c r="I271" s="2" t="s">
        <v>21</v>
      </c>
      <c r="J271" s="2" t="s">
        <v>21</v>
      </c>
      <c r="K271" t="s">
        <v>174</v>
      </c>
      <c r="L271">
        <v>1</v>
      </c>
      <c r="M271" t="e">
        <f>VLOOKUP(H271,eq!$A$3:$T$13,20,)</f>
        <v>#N/A</v>
      </c>
      <c r="N271" t="e">
        <f t="shared" si="8"/>
        <v>#N/A</v>
      </c>
      <c r="O271" t="e" cm="1">
        <f t="array" ref="O271">eval_tr_dbh*1000</f>
        <v>#N/A</v>
      </c>
      <c r="P271" t="str">
        <f t="shared" si="9"/>
        <v>TN_31_CTRL_B2</v>
      </c>
    </row>
    <row r="272" spans="1:16" x14ac:dyDescent="0.15">
      <c r="A272" s="6" t="s">
        <v>3</v>
      </c>
      <c r="B272" s="6">
        <v>31</v>
      </c>
      <c r="C272" s="6" t="s">
        <v>22</v>
      </c>
      <c r="D272" s="6" t="s">
        <v>32</v>
      </c>
      <c r="E272" s="8">
        <v>44733</v>
      </c>
      <c r="F272" s="6" t="s">
        <v>7</v>
      </c>
      <c r="G272" s="6" t="s">
        <v>34</v>
      </c>
      <c r="H272" s="6" t="s">
        <v>21</v>
      </c>
      <c r="I272" s="2" t="s">
        <v>21</v>
      </c>
      <c r="J272" s="2" t="s">
        <v>21</v>
      </c>
      <c r="K272" t="s">
        <v>174</v>
      </c>
      <c r="L272">
        <v>1</v>
      </c>
      <c r="M272" t="e">
        <f>VLOOKUP(H272,eq!$A$3:$T$13,20,)</f>
        <v>#N/A</v>
      </c>
      <c r="N272" t="e">
        <f t="shared" si="8"/>
        <v>#N/A</v>
      </c>
      <c r="O272" t="e" cm="1">
        <f t="array" ref="O272">eval_tr_dbh*1000</f>
        <v>#N/A</v>
      </c>
      <c r="P272" t="str">
        <f t="shared" si="9"/>
        <v>TN_31_CTRL_B3</v>
      </c>
    </row>
    <row r="273" spans="1:16" x14ac:dyDescent="0.15">
      <c r="A273" s="6" t="s">
        <v>3</v>
      </c>
      <c r="B273" s="6">
        <v>31</v>
      </c>
      <c r="C273" s="6" t="s">
        <v>23</v>
      </c>
      <c r="D273" s="6" t="s">
        <v>32</v>
      </c>
      <c r="E273" s="8">
        <v>44733</v>
      </c>
      <c r="F273" s="6" t="s">
        <v>9</v>
      </c>
      <c r="G273" s="6" t="s">
        <v>37</v>
      </c>
      <c r="H273" s="6" t="s">
        <v>17</v>
      </c>
      <c r="I273" s="2">
        <v>3.84</v>
      </c>
      <c r="J273" s="2">
        <v>2.75</v>
      </c>
      <c r="K273" t="s">
        <v>260</v>
      </c>
      <c r="L273">
        <v>1</v>
      </c>
      <c r="M273" t="str">
        <f>VLOOKUP(H273,eq!$A$3:$T$13,20,)</f>
        <v>0.1014*(X4^2.3448)+0.0291*(X4^2.0893)+0.0175*(X4^2.4846)+0.0515*(X4^1.5198)</v>
      </c>
      <c r="N273" t="str">
        <f t="shared" si="8"/>
        <v>0.1014*(2.75^2.3448)+0.0291*(2.75^2.0893)+0.0175*(2.75^2.4846)+0.0515*(2.75^1.5198)</v>
      </c>
      <c r="O273" cm="1">
        <f t="array" ref="O273">eval_tr_dbh*1000</f>
        <v>1783.4484683986022</v>
      </c>
      <c r="P273" t="str">
        <f t="shared" si="9"/>
        <v>TN_31_EX_B4</v>
      </c>
    </row>
    <row r="274" spans="1:16" x14ac:dyDescent="0.15">
      <c r="A274" s="6" t="s">
        <v>3</v>
      </c>
      <c r="B274" s="6">
        <v>31</v>
      </c>
      <c r="C274" s="6" t="s">
        <v>23</v>
      </c>
      <c r="D274" s="6" t="s">
        <v>32</v>
      </c>
      <c r="E274" s="8">
        <v>44733</v>
      </c>
      <c r="F274" s="6" t="s">
        <v>6</v>
      </c>
      <c r="G274" s="6" t="s">
        <v>36</v>
      </c>
      <c r="H274" s="6" t="s">
        <v>15</v>
      </c>
      <c r="I274" s="2">
        <v>4.5</v>
      </c>
      <c r="J274" s="2">
        <v>2.5</v>
      </c>
      <c r="K274" t="s">
        <v>260</v>
      </c>
      <c r="L274">
        <v>1</v>
      </c>
      <c r="M274" t="str">
        <f>VLOOKUP(H274,eq!$A$3:$T$13,20,)</f>
        <v>0.0593*(X4^2.5026)+0.0135*(X4^2.4053)+0.0135*(X4^2.5532)+0.0546*(X4^1.6251)</v>
      </c>
      <c r="N274" t="str">
        <f t="shared" si="8"/>
        <v>0.0593*(2.5^2.5026)+0.0135*(2.5^2.4053)+0.0135*(2.5^2.5532)+0.0546*(2.5^1.6251)</v>
      </c>
      <c r="O274" cm="1">
        <f t="array" ref="O274">eval_tr_dbh*1000</f>
        <v>1091.8394234603797</v>
      </c>
      <c r="P274" t="str">
        <f t="shared" si="9"/>
        <v>TN_31_EX_B2</v>
      </c>
    </row>
    <row r="275" spans="1:16" x14ac:dyDescent="0.15">
      <c r="A275" s="6" t="s">
        <v>3</v>
      </c>
      <c r="B275" s="6">
        <v>31</v>
      </c>
      <c r="C275" s="6" t="s">
        <v>23</v>
      </c>
      <c r="D275" s="6" t="s">
        <v>32</v>
      </c>
      <c r="E275" s="8">
        <v>44733</v>
      </c>
      <c r="F275" s="6" t="s">
        <v>9</v>
      </c>
      <c r="G275" s="6" t="s">
        <v>37</v>
      </c>
      <c r="H275" s="6" t="s">
        <v>16</v>
      </c>
      <c r="I275" s="2">
        <v>3.34</v>
      </c>
      <c r="J275" s="2">
        <v>3.75</v>
      </c>
      <c r="K275" t="s">
        <v>260</v>
      </c>
      <c r="L275">
        <v>1</v>
      </c>
      <c r="M275" t="str">
        <f>VLOOKUP(H275,eq!$A$3:$T$13,20,)</f>
        <v>0.0605*(X4^2.475)+0.0168*(X4^2.3949)+0.008*(X4^2.5214)+0.0261*(X4^1.6304)</v>
      </c>
      <c r="N275" t="str">
        <f t="shared" si="8"/>
        <v>0.0605*(3.75^2.475)+0.0168*(3.75^2.3949)+0.008*(3.75^2.5214)+0.0261*(3.75^1.6304)</v>
      </c>
      <c r="O275" cm="1">
        <f t="array" ref="O275">eval_tr_dbh*1000</f>
        <v>2441.4301191672339</v>
      </c>
      <c r="P275" t="str">
        <f t="shared" si="9"/>
        <v>TN_31_EX_B4</v>
      </c>
    </row>
    <row r="276" spans="1:16" x14ac:dyDescent="0.15">
      <c r="A276" s="6" t="s">
        <v>3</v>
      </c>
      <c r="B276" s="6">
        <v>31</v>
      </c>
      <c r="C276" s="6" t="s">
        <v>23</v>
      </c>
      <c r="D276" s="6" t="s">
        <v>32</v>
      </c>
      <c r="E276" s="8">
        <v>44733</v>
      </c>
      <c r="F276" s="6" t="s">
        <v>6</v>
      </c>
      <c r="G276" s="6" t="s">
        <v>36</v>
      </c>
      <c r="H276" s="6" t="s">
        <v>16</v>
      </c>
      <c r="I276" s="2">
        <v>5.5</v>
      </c>
      <c r="J276" s="2">
        <v>3.5</v>
      </c>
      <c r="K276" t="s">
        <v>260</v>
      </c>
      <c r="L276">
        <v>1</v>
      </c>
      <c r="M276" t="str">
        <f>VLOOKUP(H276,eq!$A$3:$T$13,20,)</f>
        <v>0.0605*(X4^2.475)+0.0168*(X4^2.3949)+0.008*(X4^2.5214)+0.0261*(X4^1.6304)</v>
      </c>
      <c r="N276" t="str">
        <f t="shared" si="8"/>
        <v>0.0605*(3.5^2.475)+0.0168*(3.5^2.3949)+0.008*(3.5^2.5214)+0.0261*(3.5^1.6304)</v>
      </c>
      <c r="O276" cm="1">
        <f t="array" ref="O276">eval_tr_dbh*1000</f>
        <v>2070.8363258584486</v>
      </c>
      <c r="P276" t="str">
        <f t="shared" si="9"/>
        <v>TN_31_EX_B2</v>
      </c>
    </row>
    <row r="277" spans="1:16" x14ac:dyDescent="0.15">
      <c r="A277" s="6" t="s">
        <v>3</v>
      </c>
      <c r="B277" s="6">
        <v>31</v>
      </c>
      <c r="C277" s="6" t="s">
        <v>23</v>
      </c>
      <c r="D277" s="6" t="s">
        <v>32</v>
      </c>
      <c r="E277" s="8">
        <v>44733</v>
      </c>
      <c r="F277" s="6" t="s">
        <v>6</v>
      </c>
      <c r="G277" s="6" t="s">
        <v>36</v>
      </c>
      <c r="H277" s="6" t="s">
        <v>15</v>
      </c>
      <c r="I277" s="2">
        <v>5</v>
      </c>
      <c r="J277" s="2">
        <v>3</v>
      </c>
      <c r="K277" t="s">
        <v>260</v>
      </c>
      <c r="L277">
        <v>1</v>
      </c>
      <c r="M277" t="str">
        <f>VLOOKUP(H277,eq!$A$3:$T$13,20,)</f>
        <v>0.0593*(X4^2.5026)+0.0135*(X4^2.4053)+0.0135*(X4^2.5532)+0.0546*(X4^1.6251)</v>
      </c>
      <c r="N277" t="str">
        <f t="shared" si="8"/>
        <v>0.0593*(3^2.5026)+0.0135*(3^2.4053)+0.0135*(3^2.5532)+0.0546*(3^1.6251)</v>
      </c>
      <c r="O277" cm="1">
        <f t="array" ref="O277">eval_tr_dbh*1000</f>
        <v>1665.3089362664957</v>
      </c>
      <c r="P277" t="str">
        <f t="shared" si="9"/>
        <v>TN_31_EX_B2</v>
      </c>
    </row>
    <row r="278" spans="1:16" x14ac:dyDescent="0.15">
      <c r="A278" s="6" t="s">
        <v>3</v>
      </c>
      <c r="B278" s="6">
        <v>31</v>
      </c>
      <c r="C278" s="6" t="s">
        <v>23</v>
      </c>
      <c r="D278" s="6" t="s">
        <v>32</v>
      </c>
      <c r="E278" s="8">
        <v>44733</v>
      </c>
      <c r="F278" s="6" t="s">
        <v>6</v>
      </c>
      <c r="G278" s="6" t="s">
        <v>36</v>
      </c>
      <c r="H278" s="6" t="s">
        <v>15</v>
      </c>
      <c r="I278" s="2">
        <v>5</v>
      </c>
      <c r="J278" s="2">
        <v>3.5</v>
      </c>
      <c r="K278" t="s">
        <v>260</v>
      </c>
      <c r="L278">
        <v>1</v>
      </c>
      <c r="M278" t="str">
        <f>VLOOKUP(H278,eq!$A$3:$T$13,20,)</f>
        <v>0.0593*(X4^2.5026)+0.0135*(X4^2.4053)+0.0135*(X4^2.5532)+0.0546*(X4^1.6251)</v>
      </c>
      <c r="N278" t="str">
        <f t="shared" si="8"/>
        <v>0.0593*(3.5^2.5026)+0.0135*(3.5^2.4053)+0.0135*(3.5^2.5532)+0.0546*(3.5^1.6251)</v>
      </c>
      <c r="O278" cm="1">
        <f t="array" ref="O278">eval_tr_dbh*1000</f>
        <v>2387.1129935541735</v>
      </c>
      <c r="P278" t="str">
        <f t="shared" si="9"/>
        <v>TN_31_EX_B2</v>
      </c>
    </row>
    <row r="279" spans="1:16" x14ac:dyDescent="0.15">
      <c r="A279" s="6" t="s">
        <v>3</v>
      </c>
      <c r="B279" s="6">
        <v>31</v>
      </c>
      <c r="C279" s="6" t="s">
        <v>23</v>
      </c>
      <c r="D279" s="6" t="s">
        <v>32</v>
      </c>
      <c r="E279" s="8">
        <v>44733</v>
      </c>
      <c r="F279" s="6" t="s">
        <v>6</v>
      </c>
      <c r="G279" s="6" t="s">
        <v>36</v>
      </c>
      <c r="H279" s="3" t="s">
        <v>10</v>
      </c>
      <c r="I279" s="2">
        <v>7.5</v>
      </c>
      <c r="J279" s="2">
        <v>15</v>
      </c>
      <c r="K279" t="s">
        <v>260</v>
      </c>
      <c r="L279">
        <v>1</v>
      </c>
      <c r="M279" t="str">
        <f>VLOOKUP(H279,eq!$A$3:$T$13,20,)</f>
        <v>0.0534*(X4^2.403)+0.0115*(X4^2.3484)+0.007*(X4^2.5406)+0.084*(X4^1.6695)</v>
      </c>
      <c r="N279" t="str">
        <f t="shared" si="8"/>
        <v>0.0534*(15^2.403)+0.0115*(15^2.3484)+0.007*(15^2.5406)+0.084*(15^1.6695)</v>
      </c>
      <c r="O279" cm="1">
        <f t="array" ref="O279">eval_tr_dbh*1000</f>
        <v>56962.526078158444</v>
      </c>
      <c r="P279" t="str">
        <f t="shared" si="9"/>
        <v>TN_31_EX_B2</v>
      </c>
    </row>
    <row r="280" spans="1:16" x14ac:dyDescent="0.15">
      <c r="A280" s="6" t="s">
        <v>3</v>
      </c>
      <c r="B280" s="6">
        <v>31</v>
      </c>
      <c r="C280" s="6" t="s">
        <v>23</v>
      </c>
      <c r="D280" s="6" t="s">
        <v>32</v>
      </c>
      <c r="E280" s="8">
        <v>44733</v>
      </c>
      <c r="F280" s="6" t="s">
        <v>6</v>
      </c>
      <c r="G280" s="6" t="s">
        <v>36</v>
      </c>
      <c r="H280" s="3" t="s">
        <v>10</v>
      </c>
      <c r="I280" s="2">
        <v>10.5</v>
      </c>
      <c r="J280" s="2">
        <v>25.5</v>
      </c>
      <c r="K280" t="s">
        <v>260</v>
      </c>
      <c r="L280">
        <v>1</v>
      </c>
      <c r="M280" t="str">
        <f>VLOOKUP(H280,eq!$A$3:$T$13,20,)</f>
        <v>0.0534*(X4^2.403)+0.0115*(X4^2.3484)+0.007*(X4^2.5406)+0.084*(X4^1.6695)</v>
      </c>
      <c r="N280" t="str">
        <f t="shared" si="8"/>
        <v>0.0534*(25.5^2.403)+0.0115*(25.5^2.3484)+0.007*(25.5^2.5406)+0.084*(25.5^1.6695)</v>
      </c>
      <c r="O280" cm="1">
        <f t="array" ref="O280">eval_tr_dbh*1000</f>
        <v>196127.35745488695</v>
      </c>
      <c r="P280" t="str">
        <f t="shared" si="9"/>
        <v>TN_31_EX_B2</v>
      </c>
    </row>
    <row r="281" spans="1:16" x14ac:dyDescent="0.15">
      <c r="A281" s="6" t="s">
        <v>3</v>
      </c>
      <c r="B281" s="6">
        <v>31</v>
      </c>
      <c r="C281" s="6" t="s">
        <v>23</v>
      </c>
      <c r="D281" s="6" t="s">
        <v>32</v>
      </c>
      <c r="E281" s="8">
        <v>44733</v>
      </c>
      <c r="F281" s="6" t="s">
        <v>6</v>
      </c>
      <c r="G281" s="6" t="s">
        <v>36</v>
      </c>
      <c r="H281" s="3" t="s">
        <v>10</v>
      </c>
      <c r="I281" s="2">
        <v>9</v>
      </c>
      <c r="J281" s="2">
        <v>29.5</v>
      </c>
      <c r="K281" t="s">
        <v>260</v>
      </c>
      <c r="L281">
        <v>1</v>
      </c>
      <c r="M281" t="str">
        <f>VLOOKUP(H281,eq!$A$3:$T$13,20,)</f>
        <v>0.0534*(X4^2.403)+0.0115*(X4^2.3484)+0.007*(X4^2.5406)+0.084*(X4^1.6695)</v>
      </c>
      <c r="N281" t="str">
        <f t="shared" si="8"/>
        <v>0.0534*(29.5^2.403)+0.0115*(29.5^2.3484)+0.007*(29.5^2.5406)+0.084*(29.5^1.6695)</v>
      </c>
      <c r="O281" cm="1">
        <f t="array" ref="O281">eval_tr_dbh*1000</f>
        <v>276157.68807667313</v>
      </c>
      <c r="P281" t="str">
        <f t="shared" si="9"/>
        <v>TN_31_EX_B2</v>
      </c>
    </row>
    <row r="282" spans="1:16" x14ac:dyDescent="0.15">
      <c r="A282" s="6" t="s">
        <v>3</v>
      </c>
      <c r="B282" s="6">
        <v>31</v>
      </c>
      <c r="C282" s="6" t="s">
        <v>23</v>
      </c>
      <c r="D282" s="6" t="s">
        <v>32</v>
      </c>
      <c r="E282" s="8">
        <v>44733</v>
      </c>
      <c r="F282" s="6" t="s">
        <v>9</v>
      </c>
      <c r="G282" s="6" t="s">
        <v>37</v>
      </c>
      <c r="H282" s="3" t="s">
        <v>10</v>
      </c>
      <c r="I282" s="2">
        <v>15</v>
      </c>
      <c r="J282" s="2">
        <v>30</v>
      </c>
      <c r="K282" t="s">
        <v>260</v>
      </c>
      <c r="L282">
        <v>1</v>
      </c>
      <c r="M282" t="str">
        <f>VLOOKUP(H282,eq!$A$3:$T$13,20,)</f>
        <v>0.0534*(X4^2.403)+0.0115*(X4^2.3484)+0.007*(X4^2.5406)+0.084*(X4^1.6695)</v>
      </c>
      <c r="N282" t="str">
        <f t="shared" si="8"/>
        <v>0.0534*(30^2.403)+0.0115*(30^2.3484)+0.007*(30^2.5406)+0.084*(30^1.6695)</v>
      </c>
      <c r="O282" cm="1">
        <f t="array" ref="O282">eval_tr_dbh*1000</f>
        <v>287295.00947340351</v>
      </c>
      <c r="P282" t="str">
        <f t="shared" si="9"/>
        <v>TN_31_EX_B4</v>
      </c>
    </row>
    <row r="283" spans="1:16" x14ac:dyDescent="0.15">
      <c r="A283" s="6" t="s">
        <v>3</v>
      </c>
      <c r="B283" s="6">
        <v>31</v>
      </c>
      <c r="C283" s="6" t="s">
        <v>23</v>
      </c>
      <c r="D283" s="6" t="s">
        <v>32</v>
      </c>
      <c r="E283" s="8">
        <v>44733</v>
      </c>
      <c r="F283" s="6" t="s">
        <v>7</v>
      </c>
      <c r="G283" s="6" t="s">
        <v>34</v>
      </c>
      <c r="H283" s="3" t="s">
        <v>8</v>
      </c>
      <c r="I283" s="2">
        <v>10</v>
      </c>
      <c r="J283" s="2">
        <v>33.75</v>
      </c>
      <c r="K283" t="s">
        <v>260</v>
      </c>
      <c r="L283">
        <v>1</v>
      </c>
      <c r="M283" t="str">
        <f>VLOOKUP(H283,eq!$A$3:$T$13,20,)</f>
        <v>0.0477*(X4^2.5147)+0.0153*(X4^2.2429)+0.0278*(X4^2.0839)+0.1648*(X4^1.4143)</v>
      </c>
      <c r="N283" t="str">
        <f t="shared" si="8"/>
        <v>0.0477*(33.75^2.5147)+0.0153*(33.75^2.2429)+0.0278*(33.75^2.0839)+0.1648*(33.75^1.4143)</v>
      </c>
      <c r="O283" cm="1">
        <f t="array" ref="O283">eval_tr_dbh*1000</f>
        <v>439816.31111294916</v>
      </c>
      <c r="P283" t="str">
        <f t="shared" si="9"/>
        <v>TN_31_EX_B3</v>
      </c>
    </row>
    <row r="284" spans="1:16" x14ac:dyDescent="0.15">
      <c r="A284" s="6" t="s">
        <v>3</v>
      </c>
      <c r="B284" s="6">
        <v>31</v>
      </c>
      <c r="C284" s="6" t="s">
        <v>23</v>
      </c>
      <c r="D284" s="6" t="s">
        <v>32</v>
      </c>
      <c r="E284" s="8">
        <v>44733</v>
      </c>
      <c r="F284" s="6" t="s">
        <v>5</v>
      </c>
      <c r="G284" s="6" t="s">
        <v>35</v>
      </c>
      <c r="H284" s="3" t="s">
        <v>10</v>
      </c>
      <c r="I284" s="2">
        <v>12</v>
      </c>
      <c r="J284" s="2">
        <v>36</v>
      </c>
      <c r="K284" t="s">
        <v>260</v>
      </c>
      <c r="L284">
        <v>1</v>
      </c>
      <c r="M284" t="str">
        <f>VLOOKUP(H284,eq!$A$3:$T$13,20,)</f>
        <v>0.0534*(X4^2.403)+0.0115*(X4^2.3484)+0.007*(X4^2.5406)+0.084*(X4^1.6695)</v>
      </c>
      <c r="N284" t="str">
        <f t="shared" si="8"/>
        <v>0.0534*(36^2.403)+0.0115*(36^2.3484)+0.007*(36^2.5406)+0.084*(36^1.6695)</v>
      </c>
      <c r="O284" cm="1">
        <f t="array" ref="O284">eval_tr_dbh*1000</f>
        <v>441521.01012588822</v>
      </c>
      <c r="P284" t="str">
        <f t="shared" si="9"/>
        <v>TN_31_EX_B1</v>
      </c>
    </row>
    <row r="285" spans="1:16" x14ac:dyDescent="0.15">
      <c r="A285" s="5" t="s">
        <v>3</v>
      </c>
      <c r="B285" s="5">
        <v>32</v>
      </c>
      <c r="C285" s="5" t="s">
        <v>21</v>
      </c>
      <c r="D285" s="6" t="s">
        <v>32</v>
      </c>
      <c r="E285" s="7">
        <v>44725</v>
      </c>
      <c r="F285" s="5" t="s">
        <v>6</v>
      </c>
      <c r="G285" s="5" t="s">
        <v>36</v>
      </c>
      <c r="H285" s="3" t="s">
        <v>8</v>
      </c>
      <c r="I285" s="4">
        <v>8.5</v>
      </c>
      <c r="J285" s="4">
        <v>28</v>
      </c>
      <c r="K285" t="s">
        <v>157</v>
      </c>
      <c r="L285">
        <v>2</v>
      </c>
      <c r="M285" t="str">
        <f>VLOOKUP(H285,eq!$A$3:$T$13,20,)</f>
        <v>0.0477*(X4^2.5147)+0.0153*(X4^2.2429)+0.0278*(X4^2.0839)+0.1648*(X4^1.4143)</v>
      </c>
      <c r="N285" t="str">
        <f t="shared" si="8"/>
        <v>0.0477*(28^2.5147)+0.0153*(28^2.2429)+0.0278*(28^2.0839)+0.1648*(28^1.4143)</v>
      </c>
      <c r="O285" cm="1">
        <f t="array" ref="O285">eval_tr_dbh*1000</f>
        <v>281944.50390453037</v>
      </c>
      <c r="P285" t="str">
        <f t="shared" si="9"/>
        <v>TN_32_NA_B2</v>
      </c>
    </row>
    <row r="286" spans="1:16" x14ac:dyDescent="0.15">
      <c r="A286" s="5" t="s">
        <v>3</v>
      </c>
      <c r="B286" s="5">
        <v>32</v>
      </c>
      <c r="C286" s="5" t="s">
        <v>21</v>
      </c>
      <c r="D286" s="6" t="s">
        <v>32</v>
      </c>
      <c r="E286" s="7">
        <v>44725</v>
      </c>
      <c r="F286" s="5" t="s">
        <v>6</v>
      </c>
      <c r="G286" s="5" t="s">
        <v>36</v>
      </c>
      <c r="H286" s="3" t="s">
        <v>8</v>
      </c>
      <c r="I286" s="4">
        <v>8.6</v>
      </c>
      <c r="J286" s="4">
        <v>29.5</v>
      </c>
      <c r="K286" t="s">
        <v>157</v>
      </c>
      <c r="L286">
        <v>2</v>
      </c>
      <c r="M286" t="str">
        <f>VLOOKUP(H286,eq!$A$3:$T$13,20,)</f>
        <v>0.0477*(X4^2.5147)+0.0153*(X4^2.2429)+0.0278*(X4^2.0839)+0.1648*(X4^1.4143)</v>
      </c>
      <c r="N286" t="str">
        <f t="shared" si="8"/>
        <v>0.0477*(29.5^2.5147)+0.0153*(29.5^2.2429)+0.0278*(29.5^2.0839)+0.1648*(29.5^1.4143)</v>
      </c>
      <c r="O286" cm="1">
        <f t="array" ref="O286">eval_tr_dbh*1000</f>
        <v>319150.86606913956</v>
      </c>
      <c r="P286" t="str">
        <f t="shared" si="9"/>
        <v>TN_32_NA_B2</v>
      </c>
    </row>
    <row r="287" spans="1:16" x14ac:dyDescent="0.15">
      <c r="A287" s="5" t="s">
        <v>3</v>
      </c>
      <c r="B287" s="5">
        <v>32</v>
      </c>
      <c r="C287" s="5" t="s">
        <v>21</v>
      </c>
      <c r="D287" s="6" t="s">
        <v>32</v>
      </c>
      <c r="E287" s="7">
        <v>44725</v>
      </c>
      <c r="F287" s="5" t="s">
        <v>5</v>
      </c>
      <c r="G287" s="5" t="s">
        <v>35</v>
      </c>
      <c r="H287" s="3" t="s">
        <v>8</v>
      </c>
      <c r="I287" s="4">
        <v>11.4</v>
      </c>
      <c r="J287" s="4">
        <v>31.75</v>
      </c>
      <c r="K287" t="s">
        <v>157</v>
      </c>
      <c r="L287">
        <v>2</v>
      </c>
      <c r="M287" t="str">
        <f>VLOOKUP(H287,eq!$A$3:$T$13,20,)</f>
        <v>0.0477*(X4^2.5147)+0.0153*(X4^2.2429)+0.0278*(X4^2.0839)+0.1648*(X4^1.4143)</v>
      </c>
      <c r="N287" t="str">
        <f t="shared" si="8"/>
        <v>0.0477*(31.75^2.5147)+0.0153*(31.75^2.2429)+0.0278*(31.75^2.0839)+0.1648*(31.75^1.4143)</v>
      </c>
      <c r="O287" cm="1">
        <f t="array" ref="O287">eval_tr_dbh*1000</f>
        <v>380172.84006575641</v>
      </c>
      <c r="P287" t="str">
        <f t="shared" si="9"/>
        <v>TN_32_NA_B1</v>
      </c>
    </row>
    <row r="288" spans="1:16" x14ac:dyDescent="0.15">
      <c r="A288" s="5" t="s">
        <v>3</v>
      </c>
      <c r="B288" s="5">
        <v>32</v>
      </c>
      <c r="C288" s="5" t="s">
        <v>21</v>
      </c>
      <c r="D288" s="6" t="s">
        <v>32</v>
      </c>
      <c r="E288" s="7">
        <v>44725</v>
      </c>
      <c r="F288" s="5" t="s">
        <v>5</v>
      </c>
      <c r="G288" s="5" t="s">
        <v>35</v>
      </c>
      <c r="H288" s="5" t="s">
        <v>8</v>
      </c>
      <c r="I288" s="4">
        <v>14.4</v>
      </c>
      <c r="J288" s="4">
        <v>33.5</v>
      </c>
      <c r="K288" t="s">
        <v>157</v>
      </c>
      <c r="L288">
        <v>2</v>
      </c>
      <c r="M288" t="str">
        <f>VLOOKUP(H288,eq!$A$3:$T$13,20,)</f>
        <v>0.0477*(X4^2.5147)+0.0153*(X4^2.2429)+0.0278*(X4^2.0839)+0.1648*(X4^1.4143)</v>
      </c>
      <c r="N288" t="str">
        <f t="shared" si="8"/>
        <v>0.0477*(33.5^2.5147)+0.0153*(33.5^2.2429)+0.0278*(33.5^2.0839)+0.1648*(33.5^1.4143)</v>
      </c>
      <c r="O288" cm="1">
        <f t="array" ref="O288">eval_tr_dbh*1000</f>
        <v>432077.56737212726</v>
      </c>
      <c r="P288" t="str">
        <f t="shared" si="9"/>
        <v>TN_32_NA_B1</v>
      </c>
    </row>
    <row r="289" spans="1:16" x14ac:dyDescent="0.15">
      <c r="A289" s="5" t="s">
        <v>3</v>
      </c>
      <c r="B289" s="5">
        <v>32</v>
      </c>
      <c r="C289" s="5" t="s">
        <v>21</v>
      </c>
      <c r="D289" s="6" t="s">
        <v>32</v>
      </c>
      <c r="E289" s="7">
        <v>44725</v>
      </c>
      <c r="F289" s="5" t="s">
        <v>7</v>
      </c>
      <c r="G289" s="5" t="s">
        <v>34</v>
      </c>
      <c r="H289" s="3" t="s">
        <v>8</v>
      </c>
      <c r="I289" s="4">
        <v>9.1999999999999993</v>
      </c>
      <c r="J289" s="4">
        <v>46</v>
      </c>
      <c r="K289" t="s">
        <v>157</v>
      </c>
      <c r="L289">
        <v>2</v>
      </c>
      <c r="M289" t="str">
        <f>VLOOKUP(H289,eq!$A$3:$T$13,20,)</f>
        <v>0.0477*(X4^2.5147)+0.0153*(X4^2.2429)+0.0278*(X4^2.0839)+0.1648*(X4^1.4143)</v>
      </c>
      <c r="N289" t="str">
        <f t="shared" si="8"/>
        <v>0.0477*(46^2.5147)+0.0153*(46^2.2429)+0.0278*(46^2.0839)+0.1648*(46^1.4143)</v>
      </c>
      <c r="O289" cm="1">
        <f t="array" ref="O289">eval_tr_dbh*1000</f>
        <v>924389.27445366234</v>
      </c>
      <c r="P289" t="str">
        <f t="shared" si="9"/>
        <v>TN_32_NA_B3</v>
      </c>
    </row>
    <row r="290" spans="1:16" x14ac:dyDescent="0.15">
      <c r="A290" s="5" t="s">
        <v>3</v>
      </c>
      <c r="B290" s="5">
        <v>32</v>
      </c>
      <c r="C290" s="5" t="s">
        <v>21</v>
      </c>
      <c r="D290" s="6" t="s">
        <v>32</v>
      </c>
      <c r="E290" s="7">
        <v>44725</v>
      </c>
      <c r="F290" s="5" t="s">
        <v>6</v>
      </c>
      <c r="G290" s="5" t="s">
        <v>36</v>
      </c>
      <c r="H290" s="3" t="s">
        <v>8</v>
      </c>
      <c r="I290" s="4">
        <v>9.9</v>
      </c>
      <c r="J290" s="4">
        <v>48.1</v>
      </c>
      <c r="K290" t="s">
        <v>157</v>
      </c>
      <c r="L290">
        <v>2</v>
      </c>
      <c r="M290" t="str">
        <f>VLOOKUP(H290,eq!$A$3:$T$13,20,)</f>
        <v>0.0477*(X4^2.5147)+0.0153*(X4^2.2429)+0.0278*(X4^2.0839)+0.1648*(X4^1.4143)</v>
      </c>
      <c r="N290" t="str">
        <f t="shared" si="8"/>
        <v>0.0477*(48.1^2.5147)+0.0153*(48.1^2.2429)+0.0278*(48.1^2.0839)+0.1648*(48.1^1.4143)</v>
      </c>
      <c r="O290" cm="1">
        <f t="array" ref="O290">eval_tr_dbh*1000</f>
        <v>1029386.5615102877</v>
      </c>
      <c r="P290" t="str">
        <f t="shared" si="9"/>
        <v>TN_32_NA_B2</v>
      </c>
    </row>
    <row r="291" spans="1:16" x14ac:dyDescent="0.15">
      <c r="A291" s="5" t="s">
        <v>3</v>
      </c>
      <c r="B291" s="5">
        <v>32</v>
      </c>
      <c r="C291" s="5" t="s">
        <v>21</v>
      </c>
      <c r="D291" s="6" t="s">
        <v>32</v>
      </c>
      <c r="E291" s="7">
        <v>44725</v>
      </c>
      <c r="F291" s="5" t="s">
        <v>9</v>
      </c>
      <c r="G291" s="5" t="s">
        <v>37</v>
      </c>
      <c r="H291" s="5" t="s">
        <v>21</v>
      </c>
      <c r="I291" s="4" t="s">
        <v>21</v>
      </c>
      <c r="J291" s="4" t="s">
        <v>21</v>
      </c>
      <c r="K291" t="s">
        <v>157</v>
      </c>
      <c r="L291">
        <v>2</v>
      </c>
      <c r="M291" t="e">
        <f>VLOOKUP(H291,eq!$A$3:$T$13,20,)</f>
        <v>#N/A</v>
      </c>
      <c r="N291" t="e">
        <f t="shared" si="8"/>
        <v>#N/A</v>
      </c>
      <c r="O291" t="e" cm="1">
        <f t="array" ref="O291">eval_tr_dbh*1000</f>
        <v>#N/A</v>
      </c>
      <c r="P291" t="str">
        <f t="shared" si="9"/>
        <v>TN_32_NA_B4</v>
      </c>
    </row>
    <row r="292" spans="1:16" x14ac:dyDescent="0.15">
      <c r="A292" s="5" t="s">
        <v>3</v>
      </c>
      <c r="B292" s="5">
        <v>33</v>
      </c>
      <c r="C292" s="5" t="s">
        <v>21</v>
      </c>
      <c r="D292" s="6" t="s">
        <v>32</v>
      </c>
      <c r="E292" s="7">
        <v>44725</v>
      </c>
      <c r="F292" s="5" t="s">
        <v>6</v>
      </c>
      <c r="G292" s="5" t="s">
        <v>36</v>
      </c>
      <c r="H292" s="3" t="s">
        <v>10</v>
      </c>
      <c r="I292" s="4">
        <v>8.3000000000000007</v>
      </c>
      <c r="J292" s="4">
        <v>13.5</v>
      </c>
      <c r="K292" t="s">
        <v>145</v>
      </c>
      <c r="L292">
        <v>1</v>
      </c>
      <c r="M292" t="str">
        <f>VLOOKUP(H292,eq!$A$3:$T$13,20,)</f>
        <v>0.0534*(X4^2.403)+0.0115*(X4^2.3484)+0.007*(X4^2.5406)+0.084*(X4^1.6695)</v>
      </c>
      <c r="N292" t="str">
        <f t="shared" si="8"/>
        <v>0.0534*(13.5^2.403)+0.0115*(13.5^2.3484)+0.007*(13.5^2.5406)+0.084*(13.5^1.6695)</v>
      </c>
      <c r="O292" cm="1">
        <f t="array" ref="O292">eval_tr_dbh*1000</f>
        <v>44656.943186176934</v>
      </c>
      <c r="P292" t="str">
        <f t="shared" si="9"/>
        <v>TN_33_NA_B2</v>
      </c>
    </row>
    <row r="293" spans="1:16" x14ac:dyDescent="0.15">
      <c r="A293" s="5" t="s">
        <v>3</v>
      </c>
      <c r="B293" s="5">
        <v>33</v>
      </c>
      <c r="C293" s="5" t="s">
        <v>21</v>
      </c>
      <c r="D293" s="6" t="s">
        <v>32</v>
      </c>
      <c r="E293" s="7">
        <v>44725</v>
      </c>
      <c r="F293" s="5" t="s">
        <v>6</v>
      </c>
      <c r="G293" s="5" t="s">
        <v>36</v>
      </c>
      <c r="H293" s="3" t="s">
        <v>8</v>
      </c>
      <c r="I293" s="4">
        <v>11.4</v>
      </c>
      <c r="J293" s="4">
        <v>21</v>
      </c>
      <c r="K293" t="s">
        <v>145</v>
      </c>
      <c r="L293">
        <v>1</v>
      </c>
      <c r="M293" t="str">
        <f>VLOOKUP(H293,eq!$A$3:$T$13,20,)</f>
        <v>0.0477*(X4^2.5147)+0.0153*(X4^2.2429)+0.0278*(X4^2.0839)+0.1648*(X4^1.4143)</v>
      </c>
      <c r="N293" t="str">
        <f t="shared" si="8"/>
        <v>0.0477*(21^2.5147)+0.0153*(21^2.2429)+0.0278*(21^2.0839)+0.1648*(21^1.4143)</v>
      </c>
      <c r="O293" cm="1">
        <f t="array" ref="O293">eval_tr_dbh*1000</f>
        <v>142989.85380333508</v>
      </c>
      <c r="P293" t="str">
        <f t="shared" si="9"/>
        <v>TN_33_NA_B2</v>
      </c>
    </row>
    <row r="294" spans="1:16" x14ac:dyDescent="0.15">
      <c r="A294" s="5" t="s">
        <v>3</v>
      </c>
      <c r="B294" s="5">
        <v>33</v>
      </c>
      <c r="C294" s="5" t="s">
        <v>21</v>
      </c>
      <c r="D294" s="6" t="s">
        <v>32</v>
      </c>
      <c r="E294" s="7">
        <v>44725</v>
      </c>
      <c r="F294" s="5" t="s">
        <v>9</v>
      </c>
      <c r="G294" s="5" t="s">
        <v>37</v>
      </c>
      <c r="H294" s="3" t="s">
        <v>10</v>
      </c>
      <c r="I294" s="4">
        <v>11</v>
      </c>
      <c r="J294" s="4">
        <v>28.5</v>
      </c>
      <c r="K294" t="s">
        <v>145</v>
      </c>
      <c r="L294">
        <v>1</v>
      </c>
      <c r="M294" t="str">
        <f>VLOOKUP(H294,eq!$A$3:$T$13,20,)</f>
        <v>0.0534*(X4^2.403)+0.0115*(X4^2.3484)+0.007*(X4^2.5406)+0.084*(X4^1.6695)</v>
      </c>
      <c r="N294" t="str">
        <f t="shared" si="8"/>
        <v>0.0534*(28.5^2.403)+0.0115*(28.5^2.3484)+0.007*(28.5^2.5406)+0.084*(28.5^1.6695)</v>
      </c>
      <c r="O294" cm="1">
        <f t="array" ref="O294">eval_tr_dbh*1000</f>
        <v>254649.31291781011</v>
      </c>
      <c r="P294" t="str">
        <f t="shared" si="9"/>
        <v>TN_33_NA_B4</v>
      </c>
    </row>
    <row r="295" spans="1:16" x14ac:dyDescent="0.15">
      <c r="A295" s="5" t="s">
        <v>3</v>
      </c>
      <c r="B295" s="5">
        <v>33</v>
      </c>
      <c r="C295" s="5" t="s">
        <v>21</v>
      </c>
      <c r="D295" s="6" t="s">
        <v>32</v>
      </c>
      <c r="E295" s="7">
        <v>44725</v>
      </c>
      <c r="F295" s="5" t="s">
        <v>5</v>
      </c>
      <c r="G295" s="5" t="s">
        <v>35</v>
      </c>
      <c r="H295" s="5" t="s">
        <v>21</v>
      </c>
      <c r="I295" s="4" t="s">
        <v>21</v>
      </c>
      <c r="J295" s="4" t="s">
        <v>21</v>
      </c>
      <c r="K295" t="s">
        <v>145</v>
      </c>
      <c r="L295">
        <v>1</v>
      </c>
      <c r="M295" t="e">
        <f>VLOOKUP(H295,eq!$A$3:$T$13,20,)</f>
        <v>#N/A</v>
      </c>
      <c r="N295" t="e">
        <f t="shared" si="8"/>
        <v>#N/A</v>
      </c>
      <c r="O295" t="e" cm="1">
        <f t="array" ref="O295">eval_tr_dbh*1000</f>
        <v>#N/A</v>
      </c>
      <c r="P295" t="str">
        <f t="shared" si="9"/>
        <v>TN_33_NA_B1</v>
      </c>
    </row>
    <row r="296" spans="1:16" x14ac:dyDescent="0.15">
      <c r="A296" s="5" t="s">
        <v>3</v>
      </c>
      <c r="B296" s="5">
        <v>33</v>
      </c>
      <c r="C296" s="5" t="s">
        <v>21</v>
      </c>
      <c r="D296" s="6" t="s">
        <v>32</v>
      </c>
      <c r="E296" s="7">
        <v>44725</v>
      </c>
      <c r="F296" s="5" t="s">
        <v>7</v>
      </c>
      <c r="G296" s="5" t="s">
        <v>34</v>
      </c>
      <c r="H296" s="5" t="s">
        <v>21</v>
      </c>
      <c r="I296" s="4" t="s">
        <v>21</v>
      </c>
      <c r="J296" s="4" t="s">
        <v>21</v>
      </c>
      <c r="K296" t="s">
        <v>145</v>
      </c>
      <c r="L296">
        <v>1</v>
      </c>
      <c r="M296" t="e">
        <f>VLOOKUP(H296,eq!$A$3:$T$13,20,)</f>
        <v>#N/A</v>
      </c>
      <c r="N296" t="e">
        <f t="shared" si="8"/>
        <v>#N/A</v>
      </c>
      <c r="O296" t="e" cm="1">
        <f t="array" ref="O296">eval_tr_dbh*1000</f>
        <v>#N/A</v>
      </c>
      <c r="P296" t="str">
        <f t="shared" si="9"/>
        <v>TN_33_NA_B3</v>
      </c>
    </row>
    <row r="297" spans="1:16" x14ac:dyDescent="0.15">
      <c r="A297" s="5" t="s">
        <v>3</v>
      </c>
      <c r="B297" s="5">
        <v>34</v>
      </c>
      <c r="C297" s="5" t="s">
        <v>22</v>
      </c>
      <c r="D297" s="6" t="s">
        <v>32</v>
      </c>
      <c r="E297" s="7">
        <v>44732</v>
      </c>
      <c r="F297" s="5" t="s">
        <v>7</v>
      </c>
      <c r="G297" s="5" t="s">
        <v>34</v>
      </c>
      <c r="H297" s="3" t="s">
        <v>10</v>
      </c>
      <c r="I297" s="4">
        <v>3.3</v>
      </c>
      <c r="J297" s="4">
        <v>3.8</v>
      </c>
      <c r="K297" t="s">
        <v>171</v>
      </c>
      <c r="L297">
        <v>2</v>
      </c>
      <c r="M297" t="str">
        <f>VLOOKUP(H297,eq!$A$3:$T$13,20,)</f>
        <v>0.0534*(X4^2.403)+0.0115*(X4^2.3484)+0.007*(X4^2.5406)+0.084*(X4^1.6695)</v>
      </c>
      <c r="N297" t="str">
        <f t="shared" si="8"/>
        <v>0.0534*(3.8^2.403)+0.0115*(3.8^2.3484)+0.007*(3.8^2.5406)+0.084*(3.8^1.6695)</v>
      </c>
      <c r="O297" cm="1">
        <f t="array" ref="O297">eval_tr_dbh*1000</f>
        <v>2573.2249292684633</v>
      </c>
      <c r="P297" t="str">
        <f t="shared" si="9"/>
        <v>TN_34_CTRL_B3</v>
      </c>
    </row>
    <row r="298" spans="1:16" x14ac:dyDescent="0.15">
      <c r="A298" s="5" t="s">
        <v>3</v>
      </c>
      <c r="B298" s="5">
        <v>34</v>
      </c>
      <c r="C298" s="5" t="s">
        <v>22</v>
      </c>
      <c r="D298" s="6" t="s">
        <v>32</v>
      </c>
      <c r="E298" s="7">
        <v>44732</v>
      </c>
      <c r="F298" s="5" t="s">
        <v>7</v>
      </c>
      <c r="G298" s="5" t="s">
        <v>34</v>
      </c>
      <c r="H298" s="5" t="s">
        <v>16</v>
      </c>
      <c r="I298" s="4">
        <v>14.2</v>
      </c>
      <c r="J298" s="4">
        <v>33.200000000000003</v>
      </c>
      <c r="K298" t="s">
        <v>171</v>
      </c>
      <c r="L298">
        <v>2</v>
      </c>
      <c r="M298" t="str">
        <f>VLOOKUP(H298,eq!$A$3:$T$13,20,)</f>
        <v>0.0605*(X4^2.475)+0.0168*(X4^2.3949)+0.008*(X4^2.5214)+0.0261*(X4^1.6304)</v>
      </c>
      <c r="N298" t="str">
        <f t="shared" si="8"/>
        <v>0.0605*(33.2^2.475)+0.0168*(33.2^2.3949)+0.008*(33.2^2.5214)+0.0261*(33.2^1.6304)</v>
      </c>
      <c r="O298" cm="1">
        <f t="array" ref="O298">eval_tr_dbh*1000</f>
        <v>488508.65481977485</v>
      </c>
      <c r="P298" t="str">
        <f t="shared" si="9"/>
        <v>TN_34_CTRL_B3</v>
      </c>
    </row>
    <row r="299" spans="1:16" x14ac:dyDescent="0.15">
      <c r="A299" s="5" t="s">
        <v>3</v>
      </c>
      <c r="B299" s="5">
        <v>34</v>
      </c>
      <c r="C299" s="5" t="s">
        <v>22</v>
      </c>
      <c r="D299" s="6" t="s">
        <v>32</v>
      </c>
      <c r="E299" s="7">
        <v>44732</v>
      </c>
      <c r="F299" s="5" t="s">
        <v>5</v>
      </c>
      <c r="G299" s="5" t="s">
        <v>35</v>
      </c>
      <c r="H299" s="5" t="s">
        <v>21</v>
      </c>
      <c r="I299" s="4" t="s">
        <v>21</v>
      </c>
      <c r="J299" s="4" t="s">
        <v>21</v>
      </c>
      <c r="K299" t="s">
        <v>171</v>
      </c>
      <c r="L299">
        <v>2</v>
      </c>
      <c r="M299" t="e">
        <f>VLOOKUP(H299,eq!$A$3:$T$13,20,)</f>
        <v>#N/A</v>
      </c>
      <c r="N299" t="e">
        <f t="shared" si="8"/>
        <v>#N/A</v>
      </c>
      <c r="O299" t="e" cm="1">
        <f t="array" ref="O299">eval_tr_dbh*1000</f>
        <v>#N/A</v>
      </c>
      <c r="P299" t="str">
        <f t="shared" si="9"/>
        <v>TN_34_CTRL_B1</v>
      </c>
    </row>
    <row r="300" spans="1:16" x14ac:dyDescent="0.15">
      <c r="A300" s="5" t="s">
        <v>3</v>
      </c>
      <c r="B300" s="5">
        <v>34</v>
      </c>
      <c r="C300" s="5" t="s">
        <v>22</v>
      </c>
      <c r="D300" s="6" t="s">
        <v>32</v>
      </c>
      <c r="E300" s="7">
        <v>44732</v>
      </c>
      <c r="F300" s="5" t="s">
        <v>6</v>
      </c>
      <c r="G300" s="5" t="s">
        <v>36</v>
      </c>
      <c r="H300" s="5" t="s">
        <v>21</v>
      </c>
      <c r="I300" s="4" t="s">
        <v>21</v>
      </c>
      <c r="J300" s="4" t="s">
        <v>21</v>
      </c>
      <c r="K300" t="s">
        <v>171</v>
      </c>
      <c r="L300">
        <v>2</v>
      </c>
      <c r="M300" t="e">
        <f>VLOOKUP(H300,eq!$A$3:$T$13,20,)</f>
        <v>#N/A</v>
      </c>
      <c r="N300" t="e">
        <f t="shared" si="8"/>
        <v>#N/A</v>
      </c>
      <c r="O300" t="e" cm="1">
        <f t="array" ref="O300">eval_tr_dbh*1000</f>
        <v>#N/A</v>
      </c>
      <c r="P300" t="str">
        <f t="shared" si="9"/>
        <v>TN_34_CTRL_B2</v>
      </c>
    </row>
    <row r="301" spans="1:16" x14ac:dyDescent="0.15">
      <c r="A301" s="5" t="s">
        <v>3</v>
      </c>
      <c r="B301" s="5">
        <v>34</v>
      </c>
      <c r="C301" s="5" t="s">
        <v>22</v>
      </c>
      <c r="D301" s="6" t="s">
        <v>32</v>
      </c>
      <c r="E301" s="7">
        <v>44732</v>
      </c>
      <c r="F301" s="5" t="s">
        <v>9</v>
      </c>
      <c r="G301" s="5" t="s">
        <v>37</v>
      </c>
      <c r="H301" s="5" t="s">
        <v>21</v>
      </c>
      <c r="I301" s="4" t="s">
        <v>21</v>
      </c>
      <c r="J301" s="4" t="s">
        <v>21</v>
      </c>
      <c r="K301" t="s">
        <v>171</v>
      </c>
      <c r="L301">
        <v>2</v>
      </c>
      <c r="M301" t="e">
        <f>VLOOKUP(H301,eq!$A$3:$T$13,20,)</f>
        <v>#N/A</v>
      </c>
      <c r="N301" t="e">
        <f t="shared" si="8"/>
        <v>#N/A</v>
      </c>
      <c r="O301" t="e" cm="1">
        <f t="array" ref="O301">eval_tr_dbh*1000</f>
        <v>#N/A</v>
      </c>
      <c r="P301" t="str">
        <f t="shared" si="9"/>
        <v>TN_34_CTRL_B4</v>
      </c>
    </row>
    <row r="302" spans="1:16" x14ac:dyDescent="0.15">
      <c r="A302" s="5" t="s">
        <v>3</v>
      </c>
      <c r="B302" s="5">
        <v>34</v>
      </c>
      <c r="C302" s="5" t="s">
        <v>23</v>
      </c>
      <c r="D302" s="6" t="s">
        <v>32</v>
      </c>
      <c r="E302" s="7">
        <v>44732</v>
      </c>
      <c r="F302" s="5" t="s">
        <v>7</v>
      </c>
      <c r="G302" s="5" t="s">
        <v>34</v>
      </c>
      <c r="H302" s="5" t="s">
        <v>10</v>
      </c>
      <c r="I302" s="4">
        <v>3.9</v>
      </c>
      <c r="J302" s="4">
        <v>6.8</v>
      </c>
      <c r="K302" t="s">
        <v>261</v>
      </c>
      <c r="L302">
        <v>2</v>
      </c>
      <c r="M302" t="str">
        <f>VLOOKUP(H302,eq!$A$3:$T$13,20,)</f>
        <v>0.0534*(X4^2.403)+0.0115*(X4^2.3484)+0.007*(X4^2.5406)+0.084*(X4^1.6695)</v>
      </c>
      <c r="N302" t="str">
        <f t="shared" si="8"/>
        <v>0.0534*(6.8^2.403)+0.0115*(6.8^2.3484)+0.007*(6.8^2.5406)+0.084*(6.8^1.6695)</v>
      </c>
      <c r="O302" cm="1">
        <f t="array" ref="O302">eval_tr_dbh*1000</f>
        <v>9357.0676458545495</v>
      </c>
      <c r="P302" t="str">
        <f t="shared" si="9"/>
        <v>TN_34_EX_B3</v>
      </c>
    </row>
    <row r="303" spans="1:16" x14ac:dyDescent="0.15">
      <c r="A303" s="5" t="s">
        <v>3</v>
      </c>
      <c r="B303" s="5">
        <v>34</v>
      </c>
      <c r="C303" s="5" t="s">
        <v>23</v>
      </c>
      <c r="D303" s="6" t="s">
        <v>32</v>
      </c>
      <c r="E303" s="7">
        <v>44732</v>
      </c>
      <c r="F303" s="5" t="s">
        <v>7</v>
      </c>
      <c r="G303" s="5" t="s">
        <v>34</v>
      </c>
      <c r="H303" s="5" t="s">
        <v>16</v>
      </c>
      <c r="I303" s="4">
        <v>6.8</v>
      </c>
      <c r="J303" s="4">
        <v>33.299999999999997</v>
      </c>
      <c r="K303" t="s">
        <v>261</v>
      </c>
      <c r="L303">
        <v>2</v>
      </c>
      <c r="M303" t="str">
        <f>VLOOKUP(H303,eq!$A$3:$T$13,20,)</f>
        <v>0.0605*(X4^2.475)+0.0168*(X4^2.3949)+0.008*(X4^2.5214)+0.0261*(X4^1.6304)</v>
      </c>
      <c r="N303" t="str">
        <f t="shared" si="8"/>
        <v>0.0605*(33.3^2.475)+0.0168*(33.3^2.3949)+0.008*(33.3^2.5214)+0.0261*(33.3^1.6304)</v>
      </c>
      <c r="O303" cm="1">
        <f t="array" ref="O303">eval_tr_dbh*1000</f>
        <v>492128.12466628331</v>
      </c>
      <c r="P303" t="str">
        <f t="shared" si="9"/>
        <v>TN_34_EX_B3</v>
      </c>
    </row>
    <row r="304" spans="1:16" x14ac:dyDescent="0.15">
      <c r="A304" s="5" t="s">
        <v>3</v>
      </c>
      <c r="B304" s="5">
        <v>34</v>
      </c>
      <c r="C304" s="5" t="s">
        <v>23</v>
      </c>
      <c r="D304" s="6" t="s">
        <v>32</v>
      </c>
      <c r="E304" s="7">
        <v>44732</v>
      </c>
      <c r="F304" s="5" t="s">
        <v>5</v>
      </c>
      <c r="G304" s="5" t="s">
        <v>35</v>
      </c>
      <c r="H304" s="5" t="s">
        <v>21</v>
      </c>
      <c r="I304" s="4" t="s">
        <v>4</v>
      </c>
      <c r="J304" s="4" t="s">
        <v>4</v>
      </c>
      <c r="K304" t="s">
        <v>261</v>
      </c>
      <c r="L304">
        <v>2</v>
      </c>
      <c r="M304" t="e">
        <f>VLOOKUP(H304,eq!$A$3:$T$13,20,)</f>
        <v>#N/A</v>
      </c>
      <c r="N304" t="e">
        <f t="shared" si="8"/>
        <v>#N/A</v>
      </c>
      <c r="O304" t="e" cm="1">
        <f t="array" ref="O304">eval_tr_dbh*1000</f>
        <v>#N/A</v>
      </c>
      <c r="P304" t="str">
        <f t="shared" si="9"/>
        <v>TN_34_EX_B1</v>
      </c>
    </row>
    <row r="305" spans="1:16" x14ac:dyDescent="0.15">
      <c r="A305" s="5" t="s">
        <v>3</v>
      </c>
      <c r="B305" s="5">
        <v>34</v>
      </c>
      <c r="C305" s="5" t="s">
        <v>23</v>
      </c>
      <c r="D305" s="6" t="s">
        <v>32</v>
      </c>
      <c r="E305" s="7">
        <v>44732</v>
      </c>
      <c r="F305" s="5" t="s">
        <v>6</v>
      </c>
      <c r="G305" s="5" t="s">
        <v>36</v>
      </c>
      <c r="H305" s="5" t="s">
        <v>21</v>
      </c>
      <c r="I305" s="4" t="s">
        <v>4</v>
      </c>
      <c r="J305" s="4" t="s">
        <v>4</v>
      </c>
      <c r="K305" t="s">
        <v>261</v>
      </c>
      <c r="L305">
        <v>2</v>
      </c>
      <c r="M305" t="e">
        <f>VLOOKUP(H305,eq!$A$3:$T$13,20,)</f>
        <v>#N/A</v>
      </c>
      <c r="N305" t="e">
        <f t="shared" si="8"/>
        <v>#N/A</v>
      </c>
      <c r="O305" t="e" cm="1">
        <f t="array" ref="O305">eval_tr_dbh*1000</f>
        <v>#N/A</v>
      </c>
      <c r="P305" t="str">
        <f t="shared" si="9"/>
        <v>TN_34_EX_B2</v>
      </c>
    </row>
    <row r="306" spans="1:16" x14ac:dyDescent="0.15">
      <c r="A306" s="5" t="s">
        <v>3</v>
      </c>
      <c r="B306" s="5">
        <v>34</v>
      </c>
      <c r="C306" s="5" t="s">
        <v>23</v>
      </c>
      <c r="D306" s="6" t="s">
        <v>32</v>
      </c>
      <c r="E306" s="7">
        <v>44732</v>
      </c>
      <c r="F306" s="5" t="s">
        <v>9</v>
      </c>
      <c r="G306" s="5" t="s">
        <v>37</v>
      </c>
      <c r="H306" s="5" t="s">
        <v>21</v>
      </c>
      <c r="I306" s="4" t="s">
        <v>4</v>
      </c>
      <c r="J306" s="4" t="s">
        <v>4</v>
      </c>
      <c r="K306" t="s">
        <v>261</v>
      </c>
      <c r="L306">
        <v>2</v>
      </c>
      <c r="M306" t="e">
        <f>VLOOKUP(H306,eq!$A$3:$T$13,20,)</f>
        <v>#N/A</v>
      </c>
      <c r="N306" t="e">
        <f t="shared" si="8"/>
        <v>#N/A</v>
      </c>
      <c r="O306" t="e" cm="1">
        <f t="array" ref="O306">eval_tr_dbh*1000</f>
        <v>#N/A</v>
      </c>
      <c r="P306" t="str">
        <f t="shared" si="9"/>
        <v>TN_34_EX_B4</v>
      </c>
    </row>
    <row r="307" spans="1:16" x14ac:dyDescent="0.15">
      <c r="A307" s="5" t="s">
        <v>18</v>
      </c>
      <c r="B307" s="5">
        <v>35</v>
      </c>
      <c r="C307" s="5" t="s">
        <v>21</v>
      </c>
      <c r="D307" s="5" t="s">
        <v>32</v>
      </c>
      <c r="E307" s="7">
        <v>44746</v>
      </c>
      <c r="F307" s="5" t="s">
        <v>5</v>
      </c>
      <c r="G307" s="5" t="s">
        <v>35</v>
      </c>
      <c r="H307" s="3" t="s">
        <v>10</v>
      </c>
      <c r="I307" s="4">
        <v>4</v>
      </c>
      <c r="J307" s="4">
        <v>3.5</v>
      </c>
      <c r="K307" t="s">
        <v>164</v>
      </c>
      <c r="L307">
        <v>2</v>
      </c>
      <c r="M307" t="str">
        <f>VLOOKUP(H307,eq!$A$3:$T$13,20,)</f>
        <v>0.0534*(X4^2.403)+0.0115*(X4^2.3484)+0.007*(X4^2.5406)+0.084*(X4^1.6695)</v>
      </c>
      <c r="N307" t="str">
        <f t="shared" si="8"/>
        <v>0.0534*(3.5^2.403)+0.0115*(3.5^2.3484)+0.007*(3.5^2.5406)+0.084*(3.5^1.6695)</v>
      </c>
      <c r="O307" cm="1">
        <f t="array" ref="O307">eval_tr_dbh*1000</f>
        <v>2150.6724889929069</v>
      </c>
      <c r="P307" t="str">
        <f t="shared" si="9"/>
        <v>GM_35_NA_B1</v>
      </c>
    </row>
    <row r="308" spans="1:16" x14ac:dyDescent="0.15">
      <c r="A308" s="5" t="s">
        <v>18</v>
      </c>
      <c r="B308" s="5">
        <v>35</v>
      </c>
      <c r="C308" s="5" t="s">
        <v>21</v>
      </c>
      <c r="D308" s="5" t="s">
        <v>32</v>
      </c>
      <c r="E308" s="7">
        <v>44746</v>
      </c>
      <c r="F308" s="5" t="s">
        <v>7</v>
      </c>
      <c r="G308" s="5" t="s">
        <v>34</v>
      </c>
      <c r="H308" s="5" t="s">
        <v>20</v>
      </c>
      <c r="I308" s="4">
        <v>8</v>
      </c>
      <c r="J308" s="4">
        <v>4.5999999999999996</v>
      </c>
      <c r="K308" t="s">
        <v>164</v>
      </c>
      <c r="L308">
        <v>2</v>
      </c>
      <c r="M308" t="str">
        <f>VLOOKUP(H308,eq!$A$3:$T$13,20,)</f>
        <v>0.1014*(X4^2.3448)+0.0291*(X4^2.0893)+0.0175*(X4^2.4846)+0.0515*(X4^1.5198)</v>
      </c>
      <c r="N308" t="str">
        <f t="shared" si="8"/>
        <v>0.1014*(4.6^2.3448)+0.0291*(4.6^2.0893)+0.0175*(4.6^2.4846)+0.0515*(4.6^1.5198)</v>
      </c>
      <c r="O308" cm="1">
        <f t="array" ref="O308">eval_tr_dbh*1000</f>
        <v>5636.4812133764708</v>
      </c>
      <c r="P308" t="str">
        <f t="shared" si="9"/>
        <v>GM_35_NA_B3</v>
      </c>
    </row>
    <row r="309" spans="1:16" x14ac:dyDescent="0.15">
      <c r="A309" s="5" t="s">
        <v>18</v>
      </c>
      <c r="B309" s="5">
        <v>35</v>
      </c>
      <c r="C309" s="5" t="s">
        <v>21</v>
      </c>
      <c r="D309" s="5" t="s">
        <v>32</v>
      </c>
      <c r="E309" s="7">
        <v>44746</v>
      </c>
      <c r="F309" s="5" t="s">
        <v>6</v>
      </c>
      <c r="G309" s="5" t="s">
        <v>36</v>
      </c>
      <c r="H309" s="3" t="s">
        <v>10</v>
      </c>
      <c r="I309" s="4">
        <v>4</v>
      </c>
      <c r="J309" s="4">
        <v>6</v>
      </c>
      <c r="K309" t="s">
        <v>164</v>
      </c>
      <c r="L309">
        <v>2</v>
      </c>
      <c r="M309" t="str">
        <f>VLOOKUP(H309,eq!$A$3:$T$13,20,)</f>
        <v>0.0534*(X4^2.403)+0.0115*(X4^2.3484)+0.007*(X4^2.5406)+0.084*(X4^1.6695)</v>
      </c>
      <c r="N309" t="str">
        <f t="shared" si="8"/>
        <v>0.0534*(6^2.403)+0.0115*(6^2.3484)+0.007*(6^2.5406)+0.084*(6^1.6695)</v>
      </c>
      <c r="O309" cm="1">
        <f t="array" ref="O309">eval_tr_dbh*1000</f>
        <v>7067.0252069550461</v>
      </c>
      <c r="P309" t="str">
        <f t="shared" si="9"/>
        <v>GM_35_NA_B2</v>
      </c>
    </row>
    <row r="310" spans="1:16" x14ac:dyDescent="0.15">
      <c r="A310" s="5" t="s">
        <v>18</v>
      </c>
      <c r="B310" s="5">
        <v>35</v>
      </c>
      <c r="C310" s="5" t="s">
        <v>21</v>
      </c>
      <c r="D310" s="5" t="s">
        <v>32</v>
      </c>
      <c r="E310" s="7">
        <v>44746</v>
      </c>
      <c r="F310" s="5" t="s">
        <v>5</v>
      </c>
      <c r="G310" s="5" t="s">
        <v>35</v>
      </c>
      <c r="H310" s="3" t="s">
        <v>10</v>
      </c>
      <c r="I310" s="4">
        <v>5</v>
      </c>
      <c r="J310" s="4">
        <v>7.3</v>
      </c>
      <c r="K310" t="s">
        <v>164</v>
      </c>
      <c r="L310">
        <v>2</v>
      </c>
      <c r="M310" t="str">
        <f>VLOOKUP(H310,eq!$A$3:$T$13,20,)</f>
        <v>0.0534*(X4^2.403)+0.0115*(X4^2.3484)+0.007*(X4^2.5406)+0.084*(X4^1.6695)</v>
      </c>
      <c r="N310" t="str">
        <f t="shared" si="8"/>
        <v>0.0534*(7.3^2.403)+0.0115*(7.3^2.3484)+0.007*(7.3^2.5406)+0.084*(7.3^1.6695)</v>
      </c>
      <c r="O310" cm="1">
        <f t="array" ref="O310">eval_tr_dbh*1000</f>
        <v>10978.383682710886</v>
      </c>
      <c r="P310" t="str">
        <f t="shared" si="9"/>
        <v>GM_35_NA_B1</v>
      </c>
    </row>
    <row r="311" spans="1:16" x14ac:dyDescent="0.15">
      <c r="A311" s="5" t="s">
        <v>18</v>
      </c>
      <c r="B311" s="5">
        <v>35</v>
      </c>
      <c r="C311" s="5" t="s">
        <v>21</v>
      </c>
      <c r="D311" s="5" t="s">
        <v>32</v>
      </c>
      <c r="E311" s="7">
        <v>44746</v>
      </c>
      <c r="F311" s="5" t="s">
        <v>6</v>
      </c>
      <c r="G311" s="5" t="s">
        <v>36</v>
      </c>
      <c r="H311" s="3" t="s">
        <v>10</v>
      </c>
      <c r="I311" s="4">
        <v>7.5</v>
      </c>
      <c r="J311" s="4">
        <v>19.100000000000001</v>
      </c>
      <c r="K311" t="s">
        <v>164</v>
      </c>
      <c r="L311">
        <v>2</v>
      </c>
      <c r="M311" t="str">
        <f>VLOOKUP(H311,eq!$A$3:$T$13,20,)</f>
        <v>0.0534*(X4^2.403)+0.0115*(X4^2.3484)+0.007*(X4^2.5406)+0.084*(X4^1.6695)</v>
      </c>
      <c r="N311" t="str">
        <f t="shared" si="8"/>
        <v>0.0534*(19.1^2.403)+0.0115*(19.1^2.3484)+0.007*(19.1^2.5406)+0.084*(19.1^1.6695)</v>
      </c>
      <c r="O311" cm="1">
        <f t="array" ref="O311">eval_tr_dbh*1000</f>
        <v>99818.028459541747</v>
      </c>
      <c r="P311" t="str">
        <f t="shared" si="9"/>
        <v>GM_35_NA_B2</v>
      </c>
    </row>
    <row r="312" spans="1:16" x14ac:dyDescent="0.15">
      <c r="A312" s="5" t="s">
        <v>18</v>
      </c>
      <c r="B312" s="5">
        <v>35</v>
      </c>
      <c r="C312" s="5" t="s">
        <v>21</v>
      </c>
      <c r="D312" s="5" t="s">
        <v>32</v>
      </c>
      <c r="E312" s="7">
        <v>44746</v>
      </c>
      <c r="F312" s="5" t="s">
        <v>9</v>
      </c>
      <c r="G312" s="5" t="s">
        <v>37</v>
      </c>
      <c r="H312" s="5" t="s">
        <v>21</v>
      </c>
      <c r="I312" s="4" t="s">
        <v>21</v>
      </c>
      <c r="J312" s="4" t="s">
        <v>21</v>
      </c>
      <c r="K312" t="s">
        <v>164</v>
      </c>
      <c r="L312">
        <v>2</v>
      </c>
      <c r="M312" t="e">
        <f>VLOOKUP(H312,eq!$A$3:$T$13,20,)</f>
        <v>#N/A</v>
      </c>
      <c r="N312" t="e">
        <f t="shared" si="8"/>
        <v>#N/A</v>
      </c>
      <c r="O312" t="e" cm="1">
        <f t="array" ref="O312">eval_tr_dbh*1000</f>
        <v>#N/A</v>
      </c>
      <c r="P312" t="str">
        <f t="shared" si="9"/>
        <v>GM_35_NA_B4</v>
      </c>
    </row>
    <row r="313" spans="1:16" x14ac:dyDescent="0.15">
      <c r="A313" s="5" t="s">
        <v>18</v>
      </c>
      <c r="B313" s="5">
        <v>36</v>
      </c>
      <c r="C313" s="5" t="s">
        <v>21</v>
      </c>
      <c r="D313" s="5" t="s">
        <v>32</v>
      </c>
      <c r="E313" s="7">
        <v>44749</v>
      </c>
      <c r="F313" s="5" t="s">
        <v>5</v>
      </c>
      <c r="G313" s="5" t="s">
        <v>35</v>
      </c>
      <c r="H313" s="5" t="s">
        <v>15</v>
      </c>
      <c r="I313" s="4">
        <v>7</v>
      </c>
      <c r="J313" s="4">
        <v>15</v>
      </c>
      <c r="K313" t="s">
        <v>151</v>
      </c>
      <c r="L313">
        <v>1</v>
      </c>
      <c r="M313" t="str">
        <f>VLOOKUP(H313,eq!$A$3:$T$13,20,)</f>
        <v>0.0593*(X4^2.5026)+0.0135*(X4^2.4053)+0.0135*(X4^2.5532)+0.0546*(X4^1.6251)</v>
      </c>
      <c r="N313" t="str">
        <f t="shared" si="8"/>
        <v>0.0593*(15^2.5026)+0.0135*(15^2.4053)+0.0135*(15^2.5532)+0.0546*(15^1.6251)</v>
      </c>
      <c r="O313" cm="1">
        <f t="array" ref="O313">eval_tr_dbh*1000</f>
        <v>79181.648219178343</v>
      </c>
      <c r="P313" t="str">
        <f t="shared" si="9"/>
        <v>GM_36_NA_B1</v>
      </c>
    </row>
    <row r="314" spans="1:16" x14ac:dyDescent="0.15">
      <c r="A314" s="5" t="s">
        <v>18</v>
      </c>
      <c r="B314" s="5">
        <v>36</v>
      </c>
      <c r="C314" s="5" t="s">
        <v>21</v>
      </c>
      <c r="D314" s="5" t="s">
        <v>32</v>
      </c>
      <c r="E314" s="7">
        <v>44749</v>
      </c>
      <c r="F314" s="5" t="s">
        <v>7</v>
      </c>
      <c r="G314" s="5" t="s">
        <v>34</v>
      </c>
      <c r="H314" s="3" t="s">
        <v>8</v>
      </c>
      <c r="I314" s="4">
        <v>6</v>
      </c>
      <c r="J314" s="4">
        <v>16</v>
      </c>
      <c r="K314" t="s">
        <v>151</v>
      </c>
      <c r="L314">
        <v>1</v>
      </c>
      <c r="M314" t="str">
        <f>VLOOKUP(H314,eq!$A$3:$T$13,20,)</f>
        <v>0.0477*(X4^2.5147)+0.0153*(X4^2.2429)+0.0278*(X4^2.0839)+0.1648*(X4^1.4143)</v>
      </c>
      <c r="N314" t="str">
        <f t="shared" si="8"/>
        <v>0.0477*(16^2.5147)+0.0153*(16^2.2429)+0.0278*(16^2.0839)+0.1648*(16^1.4143)</v>
      </c>
      <c r="O314" cm="1">
        <f t="array" ref="O314">eval_tr_dbh*1000</f>
        <v>75854.868550937084</v>
      </c>
      <c r="P314" t="str">
        <f t="shared" si="9"/>
        <v>GM_36_NA_B3</v>
      </c>
    </row>
    <row r="315" spans="1:16" x14ac:dyDescent="0.15">
      <c r="A315" s="5" t="s">
        <v>18</v>
      </c>
      <c r="B315" s="5">
        <v>36</v>
      </c>
      <c r="C315" s="5" t="s">
        <v>21</v>
      </c>
      <c r="D315" s="5" t="s">
        <v>32</v>
      </c>
      <c r="E315" s="7">
        <v>44749</v>
      </c>
      <c r="F315" s="5" t="s">
        <v>6</v>
      </c>
      <c r="G315" s="5" t="s">
        <v>36</v>
      </c>
      <c r="H315" s="5" t="s">
        <v>21</v>
      </c>
      <c r="I315" s="4" t="s">
        <v>21</v>
      </c>
      <c r="J315" s="4" t="s">
        <v>21</v>
      </c>
      <c r="K315" t="s">
        <v>151</v>
      </c>
      <c r="L315">
        <v>1</v>
      </c>
      <c r="M315" t="e">
        <f>VLOOKUP(H315,eq!$A$3:$T$13,20,)</f>
        <v>#N/A</v>
      </c>
      <c r="N315" t="e">
        <f t="shared" si="8"/>
        <v>#N/A</v>
      </c>
      <c r="O315" t="e" cm="1">
        <f t="array" ref="O315">eval_tr_dbh*1000</f>
        <v>#N/A</v>
      </c>
      <c r="P315" t="str">
        <f t="shared" si="9"/>
        <v>GM_36_NA_B2</v>
      </c>
    </row>
    <row r="316" spans="1:16" x14ac:dyDescent="0.15">
      <c r="A316" s="5" t="s">
        <v>18</v>
      </c>
      <c r="B316" s="5">
        <v>36</v>
      </c>
      <c r="C316" s="5" t="s">
        <v>21</v>
      </c>
      <c r="D316" s="5" t="s">
        <v>32</v>
      </c>
      <c r="E316" s="7">
        <v>44749</v>
      </c>
      <c r="F316" s="5" t="s">
        <v>9</v>
      </c>
      <c r="G316" s="5" t="s">
        <v>37</v>
      </c>
      <c r="H316" s="5" t="s">
        <v>21</v>
      </c>
      <c r="I316" s="4" t="s">
        <v>21</v>
      </c>
      <c r="J316" s="4" t="s">
        <v>21</v>
      </c>
      <c r="K316" t="s">
        <v>151</v>
      </c>
      <c r="L316">
        <v>1</v>
      </c>
      <c r="M316" t="e">
        <f>VLOOKUP(H316,eq!$A$3:$T$13,20,)</f>
        <v>#N/A</v>
      </c>
      <c r="N316" t="e">
        <f t="shared" si="8"/>
        <v>#N/A</v>
      </c>
      <c r="O316" t="e" cm="1">
        <f t="array" ref="O316">eval_tr_dbh*1000</f>
        <v>#N/A</v>
      </c>
      <c r="P316" t="str">
        <f t="shared" si="9"/>
        <v>GM_36_NA_B4</v>
      </c>
    </row>
  </sheetData>
  <sortState xmlns:xlrd2="http://schemas.microsoft.com/office/spreadsheetml/2017/richdata2" ref="A2:O316">
    <sortCondition ref="B1:B316"/>
  </sortState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017BE-5455-9141-9DE7-D1E73561C557}">
  <dimension ref="A1:Q316"/>
  <sheetViews>
    <sheetView topLeftCell="A268" zoomScaleNormal="100" workbookViewId="0">
      <selection activeCell="Q2" sqref="Q2"/>
    </sheetView>
  </sheetViews>
  <sheetFormatPr baseColWidth="10" defaultRowHeight="13" x14ac:dyDescent="0.15"/>
  <cols>
    <col min="1" max="1" width="9.6640625" customWidth="1"/>
    <col min="2" max="2" width="9.5" customWidth="1"/>
    <col min="3" max="3" width="11.5" customWidth="1"/>
    <col min="4" max="4" width="12.5" customWidth="1"/>
    <col min="5" max="5" width="16.1640625" customWidth="1"/>
    <col min="6" max="6" width="13.33203125" customWidth="1"/>
    <col min="7" max="7" width="11.83203125" customWidth="1"/>
    <col min="8" max="8" width="12.6640625" customWidth="1"/>
    <col min="9" max="9" width="8.1640625" customWidth="1"/>
    <col min="10" max="10" width="12.5" customWidth="1"/>
    <col min="11" max="12" width="10.83203125" customWidth="1"/>
    <col min="15" max="15" width="10.83203125" customWidth="1"/>
  </cols>
  <sheetData>
    <row r="1" spans="1:17" x14ac:dyDescent="0.15">
      <c r="A1" s="1" t="s">
        <v>24</v>
      </c>
      <c r="B1" s="1" t="s">
        <v>25</v>
      </c>
      <c r="C1" s="1" t="s">
        <v>27</v>
      </c>
      <c r="D1" s="1" t="s">
        <v>29</v>
      </c>
      <c r="E1" s="1" t="s">
        <v>28</v>
      </c>
      <c r="F1" s="1" t="s">
        <v>26</v>
      </c>
      <c r="G1" s="1" t="s">
        <v>33</v>
      </c>
      <c r="H1" s="1" t="s">
        <v>0</v>
      </c>
      <c r="I1" s="1" t="s">
        <v>1</v>
      </c>
      <c r="J1" s="1" t="s">
        <v>2</v>
      </c>
      <c r="K1" t="s">
        <v>132</v>
      </c>
      <c r="L1" t="s">
        <v>133</v>
      </c>
      <c r="M1" s="1" t="s">
        <v>67</v>
      </c>
      <c r="N1" s="1" t="s">
        <v>286</v>
      </c>
      <c r="O1" s="1" t="s">
        <v>288</v>
      </c>
      <c r="P1" s="1" t="s">
        <v>287</v>
      </c>
      <c r="Q1" s="1" t="s">
        <v>292</v>
      </c>
    </row>
    <row r="2" spans="1:17" x14ac:dyDescent="0.15">
      <c r="A2" s="5" t="s">
        <v>18</v>
      </c>
      <c r="B2" s="5">
        <v>1</v>
      </c>
      <c r="C2" s="5" t="s">
        <v>22</v>
      </c>
      <c r="D2" s="5" t="s">
        <v>30</v>
      </c>
      <c r="E2" s="7">
        <v>44748</v>
      </c>
      <c r="F2" s="5" t="s">
        <v>5</v>
      </c>
      <c r="G2" s="5" t="s">
        <v>35</v>
      </c>
      <c r="H2" s="5" t="s">
        <v>21</v>
      </c>
      <c r="I2" s="4" t="s">
        <v>21</v>
      </c>
      <c r="J2" s="4" t="s">
        <v>21</v>
      </c>
      <c r="K2" t="s">
        <v>249</v>
      </c>
      <c r="L2">
        <v>1</v>
      </c>
      <c r="M2" t="e">
        <v>#N/A</v>
      </c>
      <c r="N2" t="e">
        <f>VLOOKUP(H2,'Tree shrub sapling root eq'!$A$2:$C$12,3,)</f>
        <v>#N/A</v>
      </c>
      <c r="O2" t="e">
        <f>SUBSTITUTE(N2,"X6",M2)</f>
        <v>#N/A</v>
      </c>
      <c r="P2" t="e" cm="1">
        <f t="array" ref="P2">eval_tr_dbh</f>
        <v>#N/A</v>
      </c>
      <c r="Q2" t="str">
        <f>A2&amp;"_"&amp;B2&amp;"_"&amp;C2&amp;"_"&amp;G2</f>
        <v>GM_1_CTRL_B1</v>
      </c>
    </row>
    <row r="3" spans="1:17" x14ac:dyDescent="0.15">
      <c r="A3" s="5" t="s">
        <v>18</v>
      </c>
      <c r="B3" s="5">
        <v>1</v>
      </c>
      <c r="C3" s="5" t="s">
        <v>22</v>
      </c>
      <c r="D3" s="5" t="s">
        <v>30</v>
      </c>
      <c r="E3" s="7">
        <v>44748</v>
      </c>
      <c r="F3" s="5" t="s">
        <v>6</v>
      </c>
      <c r="G3" s="5" t="s">
        <v>36</v>
      </c>
      <c r="H3" s="5" t="s">
        <v>21</v>
      </c>
      <c r="I3" s="4" t="s">
        <v>21</v>
      </c>
      <c r="J3" s="4" t="s">
        <v>21</v>
      </c>
      <c r="K3" t="s">
        <v>249</v>
      </c>
      <c r="L3">
        <v>1</v>
      </c>
      <c r="M3" t="e">
        <v>#N/A</v>
      </c>
      <c r="N3" t="e">
        <f>VLOOKUP(H3,'Tree shrub sapling root eq'!$A$2:$C$12,3,)</f>
        <v>#N/A</v>
      </c>
      <c r="O3" t="e">
        <f t="shared" ref="O3:O66" si="0">SUBSTITUTE(N3,"X6",M3)</f>
        <v>#N/A</v>
      </c>
      <c r="P3" t="e" cm="1">
        <f t="array" ref="P3">eval_tr_dbh</f>
        <v>#N/A</v>
      </c>
      <c r="Q3" t="str">
        <f t="shared" ref="Q3:Q66" si="1">A3&amp;"_"&amp;B3&amp;"_"&amp;C3&amp;"_"&amp;G3</f>
        <v>GM_1_CTRL_B2</v>
      </c>
    </row>
    <row r="4" spans="1:17" x14ac:dyDescent="0.15">
      <c r="A4" s="5" t="s">
        <v>18</v>
      </c>
      <c r="B4" s="5">
        <v>1</v>
      </c>
      <c r="C4" s="5" t="s">
        <v>22</v>
      </c>
      <c r="D4" s="5" t="s">
        <v>30</v>
      </c>
      <c r="E4" s="7">
        <v>44748</v>
      </c>
      <c r="F4" s="5" t="s">
        <v>7</v>
      </c>
      <c r="G4" s="5" t="s">
        <v>34</v>
      </c>
      <c r="H4" s="5" t="s">
        <v>21</v>
      </c>
      <c r="I4" s="4" t="s">
        <v>21</v>
      </c>
      <c r="J4" s="4" t="s">
        <v>21</v>
      </c>
      <c r="K4" t="s">
        <v>249</v>
      </c>
      <c r="L4">
        <v>1</v>
      </c>
      <c r="M4" t="e">
        <v>#N/A</v>
      </c>
      <c r="N4" t="e">
        <f>VLOOKUP(H4,'Tree shrub sapling root eq'!$A$2:$C$12,3,)</f>
        <v>#N/A</v>
      </c>
      <c r="O4" t="e">
        <f t="shared" si="0"/>
        <v>#N/A</v>
      </c>
      <c r="P4" t="e" cm="1">
        <f t="array" ref="P4">eval_tr_dbh</f>
        <v>#N/A</v>
      </c>
      <c r="Q4" t="str">
        <f t="shared" si="1"/>
        <v>GM_1_CTRL_B3</v>
      </c>
    </row>
    <row r="5" spans="1:17" x14ac:dyDescent="0.15">
      <c r="A5" s="5" t="s">
        <v>18</v>
      </c>
      <c r="B5" s="5">
        <v>1</v>
      </c>
      <c r="C5" s="5" t="s">
        <v>22</v>
      </c>
      <c r="D5" s="5" t="s">
        <v>30</v>
      </c>
      <c r="E5" s="7">
        <v>44748</v>
      </c>
      <c r="F5" s="5" t="s">
        <v>9</v>
      </c>
      <c r="G5" s="5" t="s">
        <v>37</v>
      </c>
      <c r="H5" s="5" t="s">
        <v>21</v>
      </c>
      <c r="I5" s="4" t="s">
        <v>21</v>
      </c>
      <c r="J5" s="4" t="s">
        <v>21</v>
      </c>
      <c r="K5" t="s">
        <v>249</v>
      </c>
      <c r="L5">
        <v>1</v>
      </c>
      <c r="M5" t="e">
        <v>#N/A</v>
      </c>
      <c r="N5" t="e">
        <f>VLOOKUP(H5,'Tree shrub sapling root eq'!$A$2:$C$12,3,)</f>
        <v>#N/A</v>
      </c>
      <c r="O5" t="e">
        <f t="shared" si="0"/>
        <v>#N/A</v>
      </c>
      <c r="P5" t="e" cm="1">
        <f t="array" ref="P5">eval_tr_dbh</f>
        <v>#N/A</v>
      </c>
      <c r="Q5" t="str">
        <f t="shared" si="1"/>
        <v>GM_1_CTRL_B4</v>
      </c>
    </row>
    <row r="6" spans="1:17" x14ac:dyDescent="0.15">
      <c r="A6" s="5" t="s">
        <v>18</v>
      </c>
      <c r="B6" s="5">
        <v>1</v>
      </c>
      <c r="C6" s="5" t="s">
        <v>23</v>
      </c>
      <c r="D6" s="5" t="s">
        <v>30</v>
      </c>
      <c r="E6" s="7">
        <v>44748</v>
      </c>
      <c r="F6" s="5" t="s">
        <v>7</v>
      </c>
      <c r="G6" s="5" t="s">
        <v>34</v>
      </c>
      <c r="H6" s="3" t="s">
        <v>10</v>
      </c>
      <c r="I6" s="4">
        <v>3.25</v>
      </c>
      <c r="J6" s="4">
        <v>5</v>
      </c>
      <c r="K6" t="s">
        <v>250</v>
      </c>
      <c r="L6">
        <v>1</v>
      </c>
      <c r="M6">
        <v>4708.7989898844462</v>
      </c>
      <c r="N6" t="str">
        <f>VLOOKUP(H6,'Tree shrub sapling root eq'!$A$2:$C$12,3,)</f>
        <v>=0.25*X6</v>
      </c>
      <c r="O6" t="str">
        <f t="shared" si="0"/>
        <v>=0.25*4708.79898988445</v>
      </c>
      <c r="P6" cm="1">
        <f t="array" ref="P6">eval_tr_dbh</f>
        <v>1177.1997474711125</v>
      </c>
      <c r="Q6" t="str">
        <f t="shared" si="1"/>
        <v>GM_1_EX_B3</v>
      </c>
    </row>
    <row r="7" spans="1:17" x14ac:dyDescent="0.15">
      <c r="A7" s="5" t="s">
        <v>18</v>
      </c>
      <c r="B7" s="5">
        <v>1</v>
      </c>
      <c r="C7" s="5" t="s">
        <v>23</v>
      </c>
      <c r="D7" s="5" t="s">
        <v>30</v>
      </c>
      <c r="E7" s="7">
        <v>44748</v>
      </c>
      <c r="F7" s="5" t="s">
        <v>7</v>
      </c>
      <c r="G7" s="5" t="s">
        <v>34</v>
      </c>
      <c r="H7" s="3" t="s">
        <v>10</v>
      </c>
      <c r="I7" s="4">
        <v>3.15</v>
      </c>
      <c r="J7" s="4">
        <v>5</v>
      </c>
      <c r="K7" t="s">
        <v>250</v>
      </c>
      <c r="L7">
        <v>1</v>
      </c>
      <c r="M7">
        <v>4708.7989898844462</v>
      </c>
      <c r="N7" t="str">
        <f>VLOOKUP(H7,'Tree shrub sapling root eq'!$A$2:$C$12,3,)</f>
        <v>=0.25*X6</v>
      </c>
      <c r="O7" t="str">
        <f t="shared" si="0"/>
        <v>=0.25*4708.79898988445</v>
      </c>
      <c r="P7" cm="1">
        <f t="array" ref="P7">eval_tr_dbh</f>
        <v>1177.1997474711125</v>
      </c>
      <c r="Q7" t="str">
        <f t="shared" si="1"/>
        <v>GM_1_EX_B3</v>
      </c>
    </row>
    <row r="8" spans="1:17" x14ac:dyDescent="0.15">
      <c r="A8" s="5" t="s">
        <v>18</v>
      </c>
      <c r="B8" s="5">
        <v>1</v>
      </c>
      <c r="C8" s="5" t="s">
        <v>23</v>
      </c>
      <c r="D8" s="5" t="s">
        <v>30</v>
      </c>
      <c r="E8" s="7">
        <v>44748</v>
      </c>
      <c r="F8" s="5" t="s">
        <v>7</v>
      </c>
      <c r="G8" s="5" t="s">
        <v>34</v>
      </c>
      <c r="H8" s="5" t="s">
        <v>14</v>
      </c>
      <c r="I8" s="4">
        <v>4</v>
      </c>
      <c r="J8" s="4">
        <v>4.5</v>
      </c>
      <c r="K8" t="s">
        <v>250</v>
      </c>
      <c r="L8">
        <v>1</v>
      </c>
      <c r="M8">
        <v>5246.3820022071704</v>
      </c>
      <c r="N8" t="str">
        <f>VLOOKUP(H8,'Tree shrub sapling root eq'!$A$2:$C$12,3,)</f>
        <v>=1.576*X6^0.615</v>
      </c>
      <c r="O8" t="str">
        <f t="shared" si="0"/>
        <v>=1.576*5246.38200220717^0.615</v>
      </c>
      <c r="P8" cm="1">
        <f t="array" ref="P8">eval_tr_dbh</f>
        <v>305.68213465631396</v>
      </c>
      <c r="Q8" t="str">
        <f t="shared" si="1"/>
        <v>GM_1_EX_B3</v>
      </c>
    </row>
    <row r="9" spans="1:17" x14ac:dyDescent="0.15">
      <c r="A9" s="5" t="s">
        <v>18</v>
      </c>
      <c r="B9" s="5">
        <v>1</v>
      </c>
      <c r="C9" s="5" t="s">
        <v>23</v>
      </c>
      <c r="D9" s="5" t="s">
        <v>30</v>
      </c>
      <c r="E9" s="7">
        <v>44748</v>
      </c>
      <c r="F9" s="5" t="s">
        <v>7</v>
      </c>
      <c r="G9" s="5" t="s">
        <v>34</v>
      </c>
      <c r="H9" s="5" t="s">
        <v>11</v>
      </c>
      <c r="I9" s="4">
        <v>5</v>
      </c>
      <c r="J9" s="4">
        <v>4.5</v>
      </c>
      <c r="K9" t="s">
        <v>250</v>
      </c>
      <c r="L9">
        <v>1</v>
      </c>
      <c r="M9">
        <v>7567.7639387823829</v>
      </c>
      <c r="N9" t="str">
        <f>VLOOKUP(H9,'Tree shrub sapling root eq'!$A$2:$C$12,3,)</f>
        <v>=1.576*X6^0.615</v>
      </c>
      <c r="O9" t="str">
        <f t="shared" si="0"/>
        <v>=1.576*7567.76393878238^0.615</v>
      </c>
      <c r="P9" cm="1">
        <f t="array" ref="P9">eval_tr_dbh</f>
        <v>382.93165858477187</v>
      </c>
      <c r="Q9" t="str">
        <f t="shared" si="1"/>
        <v>GM_1_EX_B3</v>
      </c>
    </row>
    <row r="10" spans="1:17" x14ac:dyDescent="0.15">
      <c r="A10" s="5" t="s">
        <v>18</v>
      </c>
      <c r="B10" s="5">
        <v>1</v>
      </c>
      <c r="C10" s="5" t="s">
        <v>23</v>
      </c>
      <c r="D10" s="5" t="s">
        <v>30</v>
      </c>
      <c r="E10" s="7">
        <v>44748</v>
      </c>
      <c r="F10" s="5" t="s">
        <v>5</v>
      </c>
      <c r="G10" s="5" t="s">
        <v>35</v>
      </c>
      <c r="H10" s="3" t="s">
        <v>10</v>
      </c>
      <c r="I10" s="4">
        <v>4.5</v>
      </c>
      <c r="J10" s="4">
        <v>6.5</v>
      </c>
      <c r="K10" t="s">
        <v>250</v>
      </c>
      <c r="L10">
        <v>1</v>
      </c>
      <c r="M10">
        <v>8455.062918442316</v>
      </c>
      <c r="N10" t="str">
        <f>VLOOKUP(H10,'Tree shrub sapling root eq'!$A$2:$C$12,3,)</f>
        <v>=0.25*X6</v>
      </c>
      <c r="O10" t="str">
        <f t="shared" si="0"/>
        <v>=0.25*8455.06291844232</v>
      </c>
      <c r="P10" cm="1">
        <f t="array" ref="P10">eval_tr_dbh</f>
        <v>2113.7657296105799</v>
      </c>
      <c r="Q10" t="str">
        <f t="shared" si="1"/>
        <v>GM_1_EX_B1</v>
      </c>
    </row>
    <row r="11" spans="1:17" x14ac:dyDescent="0.15">
      <c r="A11" s="5" t="s">
        <v>18</v>
      </c>
      <c r="B11" s="5">
        <v>1</v>
      </c>
      <c r="C11" s="5" t="s">
        <v>23</v>
      </c>
      <c r="D11" s="5" t="s">
        <v>30</v>
      </c>
      <c r="E11" s="7">
        <v>44748</v>
      </c>
      <c r="F11" s="5" t="s">
        <v>6</v>
      </c>
      <c r="G11" s="5" t="s">
        <v>36</v>
      </c>
      <c r="H11" s="3" t="s">
        <v>10</v>
      </c>
      <c r="I11" s="4">
        <v>6</v>
      </c>
      <c r="J11" s="4">
        <v>11.75</v>
      </c>
      <c r="K11" t="s">
        <v>250</v>
      </c>
      <c r="L11">
        <v>1</v>
      </c>
      <c r="M11">
        <v>32443.847711060924</v>
      </c>
      <c r="N11" t="str">
        <f>VLOOKUP(H11,'Tree shrub sapling root eq'!$A$2:$C$12,3,)</f>
        <v>=0.25*X6</v>
      </c>
      <c r="O11" t="str">
        <f t="shared" si="0"/>
        <v>=0.25*32443.8477110609</v>
      </c>
      <c r="P11" cm="1">
        <f t="array" ref="P11">eval_tr_dbh</f>
        <v>8110.9619277652246</v>
      </c>
      <c r="Q11" t="str">
        <f t="shared" si="1"/>
        <v>GM_1_EX_B2</v>
      </c>
    </row>
    <row r="12" spans="1:17" x14ac:dyDescent="0.15">
      <c r="A12" s="5" t="s">
        <v>18</v>
      </c>
      <c r="B12" s="5">
        <v>1</v>
      </c>
      <c r="C12" s="5" t="s">
        <v>23</v>
      </c>
      <c r="D12" s="5" t="s">
        <v>30</v>
      </c>
      <c r="E12" s="7">
        <v>44748</v>
      </c>
      <c r="F12" s="5" t="s">
        <v>6</v>
      </c>
      <c r="G12" s="5" t="s">
        <v>36</v>
      </c>
      <c r="H12" s="3" t="s">
        <v>10</v>
      </c>
      <c r="I12" s="4">
        <v>8</v>
      </c>
      <c r="J12" s="4">
        <v>12</v>
      </c>
      <c r="K12" t="s">
        <v>250</v>
      </c>
      <c r="L12">
        <v>1</v>
      </c>
      <c r="M12">
        <v>34051.296349522345</v>
      </c>
      <c r="N12" t="str">
        <f>VLOOKUP(H12,'Tree shrub sapling root eq'!$A$2:$C$12,3,)</f>
        <v>=0.25*X6</v>
      </c>
      <c r="O12" t="str">
        <f t="shared" si="0"/>
        <v>=0.25*34051.2963495223</v>
      </c>
      <c r="P12" cm="1">
        <f t="array" ref="P12">eval_tr_dbh</f>
        <v>8512.8240873805753</v>
      </c>
      <c r="Q12" t="str">
        <f t="shared" si="1"/>
        <v>GM_1_EX_B2</v>
      </c>
    </row>
    <row r="13" spans="1:17" x14ac:dyDescent="0.15">
      <c r="A13" s="5" t="s">
        <v>18</v>
      </c>
      <c r="B13" s="5">
        <v>1</v>
      </c>
      <c r="C13" s="5" t="s">
        <v>23</v>
      </c>
      <c r="D13" s="5" t="s">
        <v>30</v>
      </c>
      <c r="E13" s="7">
        <v>44748</v>
      </c>
      <c r="F13" s="5" t="s">
        <v>5</v>
      </c>
      <c r="G13" s="5" t="s">
        <v>35</v>
      </c>
      <c r="H13" s="3" t="s">
        <v>10</v>
      </c>
      <c r="I13" s="4">
        <v>6</v>
      </c>
      <c r="J13" s="4">
        <v>12</v>
      </c>
      <c r="K13" t="s">
        <v>250</v>
      </c>
      <c r="L13">
        <v>1</v>
      </c>
      <c r="M13">
        <v>34051.296349522345</v>
      </c>
      <c r="N13" t="str">
        <f>VLOOKUP(H13,'Tree shrub sapling root eq'!$A$2:$C$12,3,)</f>
        <v>=0.25*X6</v>
      </c>
      <c r="O13" t="str">
        <f t="shared" si="0"/>
        <v>=0.25*34051.2963495223</v>
      </c>
      <c r="P13" cm="1">
        <f t="array" ref="P13">eval_tr_dbh</f>
        <v>8512.8240873805753</v>
      </c>
      <c r="Q13" t="str">
        <f t="shared" si="1"/>
        <v>GM_1_EX_B1</v>
      </c>
    </row>
    <row r="14" spans="1:17" x14ac:dyDescent="0.15">
      <c r="A14" s="5" t="s">
        <v>18</v>
      </c>
      <c r="B14" s="5">
        <v>1</v>
      </c>
      <c r="C14" s="5" t="s">
        <v>23</v>
      </c>
      <c r="D14" s="5" t="s">
        <v>30</v>
      </c>
      <c r="E14" s="7">
        <v>44748</v>
      </c>
      <c r="F14" s="5" t="s">
        <v>6</v>
      </c>
      <c r="G14" s="5" t="s">
        <v>36</v>
      </c>
      <c r="H14" s="3" t="s">
        <v>10</v>
      </c>
      <c r="I14" s="4">
        <v>6.5</v>
      </c>
      <c r="J14" s="4">
        <v>12.25</v>
      </c>
      <c r="K14" t="s">
        <v>250</v>
      </c>
      <c r="L14">
        <v>1</v>
      </c>
      <c r="M14">
        <v>35703.926668253473</v>
      </c>
      <c r="N14" t="str">
        <f>VLOOKUP(H14,'Tree shrub sapling root eq'!$A$2:$C$12,3,)</f>
        <v>=0.25*X6</v>
      </c>
      <c r="O14" t="str">
        <f t="shared" si="0"/>
        <v>=0.25*35703.9266682535</v>
      </c>
      <c r="P14" cm="1">
        <f t="array" ref="P14">eval_tr_dbh</f>
        <v>8925.9816670633754</v>
      </c>
      <c r="Q14" t="str">
        <f t="shared" si="1"/>
        <v>GM_1_EX_B2</v>
      </c>
    </row>
    <row r="15" spans="1:17" x14ac:dyDescent="0.15">
      <c r="A15" s="5" t="s">
        <v>18</v>
      </c>
      <c r="B15" s="5">
        <v>1</v>
      </c>
      <c r="C15" s="5" t="s">
        <v>23</v>
      </c>
      <c r="D15" s="5" t="s">
        <v>30</v>
      </c>
      <c r="E15" s="7">
        <v>44748</v>
      </c>
      <c r="F15" s="5" t="s">
        <v>7</v>
      </c>
      <c r="G15" s="5" t="s">
        <v>34</v>
      </c>
      <c r="H15" s="3" t="s">
        <v>10</v>
      </c>
      <c r="I15" s="4">
        <v>7.5</v>
      </c>
      <c r="J15" s="4">
        <v>12.75</v>
      </c>
      <c r="K15" t="s">
        <v>250</v>
      </c>
      <c r="L15">
        <v>1</v>
      </c>
      <c r="M15">
        <v>39146.130958122405</v>
      </c>
      <c r="N15" t="str">
        <f>VLOOKUP(H15,'Tree shrub sapling root eq'!$A$2:$C$12,3,)</f>
        <v>=0.25*X6</v>
      </c>
      <c r="O15" t="str">
        <f t="shared" si="0"/>
        <v>=0.25*39146.1309581224</v>
      </c>
      <c r="P15" cm="1">
        <f t="array" ref="P15">eval_tr_dbh</f>
        <v>9786.5327395305994</v>
      </c>
      <c r="Q15" t="str">
        <f t="shared" si="1"/>
        <v>GM_1_EX_B3</v>
      </c>
    </row>
    <row r="16" spans="1:17" x14ac:dyDescent="0.15">
      <c r="A16" s="5" t="s">
        <v>18</v>
      </c>
      <c r="B16" s="5">
        <v>1</v>
      </c>
      <c r="C16" s="5" t="s">
        <v>23</v>
      </c>
      <c r="D16" s="5" t="s">
        <v>30</v>
      </c>
      <c r="E16" s="7">
        <v>44748</v>
      </c>
      <c r="F16" s="5" t="s">
        <v>6</v>
      </c>
      <c r="G16" s="5" t="s">
        <v>36</v>
      </c>
      <c r="H16" s="3" t="s">
        <v>10</v>
      </c>
      <c r="I16" s="4">
        <v>7.5</v>
      </c>
      <c r="J16" s="4">
        <v>14.25</v>
      </c>
      <c r="K16" t="s">
        <v>250</v>
      </c>
      <c r="L16">
        <v>1</v>
      </c>
      <c r="M16">
        <v>50592.806582462814</v>
      </c>
      <c r="N16" t="str">
        <f>VLOOKUP(H16,'Tree shrub sapling root eq'!$A$2:$C$12,3,)</f>
        <v>=0.25*X6</v>
      </c>
      <c r="O16" t="str">
        <f t="shared" si="0"/>
        <v>=0.25*50592.8065824628</v>
      </c>
      <c r="P16" cm="1">
        <f t="array" ref="P16">eval_tr_dbh</f>
        <v>12648.2016456157</v>
      </c>
      <c r="Q16" t="str">
        <f t="shared" si="1"/>
        <v>GM_1_EX_B2</v>
      </c>
    </row>
    <row r="17" spans="1:17" x14ac:dyDescent="0.15">
      <c r="A17" s="5" t="s">
        <v>18</v>
      </c>
      <c r="B17" s="5">
        <v>2</v>
      </c>
      <c r="C17" s="5" t="s">
        <v>21</v>
      </c>
      <c r="D17" s="5" t="s">
        <v>30</v>
      </c>
      <c r="E17" s="7">
        <v>44741</v>
      </c>
      <c r="F17" s="5" t="s">
        <v>5</v>
      </c>
      <c r="G17" s="5" t="s">
        <v>35</v>
      </c>
      <c r="H17" s="5" t="s">
        <v>21</v>
      </c>
      <c r="I17" s="4" t="s">
        <v>21</v>
      </c>
      <c r="J17" s="4" t="s">
        <v>21</v>
      </c>
      <c r="K17" t="s">
        <v>158</v>
      </c>
      <c r="L17">
        <v>2</v>
      </c>
      <c r="M17" t="e">
        <v>#N/A</v>
      </c>
      <c r="N17" t="e">
        <f>VLOOKUP(H17,'Tree shrub sapling root eq'!$A$2:$C$12,3,)</f>
        <v>#N/A</v>
      </c>
      <c r="O17" t="e">
        <f t="shared" si="0"/>
        <v>#N/A</v>
      </c>
      <c r="P17" t="e" cm="1">
        <f t="array" ref="P17">eval_tr_dbh</f>
        <v>#N/A</v>
      </c>
      <c r="Q17" t="str">
        <f t="shared" si="1"/>
        <v>GM_2_NA_B1</v>
      </c>
    </row>
    <row r="18" spans="1:17" x14ac:dyDescent="0.15">
      <c r="A18" s="5" t="s">
        <v>18</v>
      </c>
      <c r="B18" s="5">
        <v>2</v>
      </c>
      <c r="C18" s="5" t="s">
        <v>21</v>
      </c>
      <c r="D18" s="5" t="s">
        <v>30</v>
      </c>
      <c r="E18" s="7">
        <v>44741</v>
      </c>
      <c r="F18" s="5" t="s">
        <v>6</v>
      </c>
      <c r="G18" s="5" t="s">
        <v>36</v>
      </c>
      <c r="H18" s="5" t="s">
        <v>21</v>
      </c>
      <c r="I18" s="4" t="s">
        <v>21</v>
      </c>
      <c r="J18" s="4" t="s">
        <v>21</v>
      </c>
      <c r="K18" t="s">
        <v>158</v>
      </c>
      <c r="L18">
        <v>2</v>
      </c>
      <c r="M18" t="e">
        <v>#N/A</v>
      </c>
      <c r="N18" t="e">
        <f>VLOOKUP(H18,'Tree shrub sapling root eq'!$A$2:$C$12,3,)</f>
        <v>#N/A</v>
      </c>
      <c r="O18" t="e">
        <f t="shared" si="0"/>
        <v>#N/A</v>
      </c>
      <c r="P18" t="e" cm="1">
        <f t="array" ref="P18">eval_tr_dbh</f>
        <v>#N/A</v>
      </c>
      <c r="Q18" t="str">
        <f t="shared" si="1"/>
        <v>GM_2_NA_B2</v>
      </c>
    </row>
    <row r="19" spans="1:17" x14ac:dyDescent="0.15">
      <c r="A19" s="5" t="s">
        <v>18</v>
      </c>
      <c r="B19" s="5">
        <v>2</v>
      </c>
      <c r="C19" s="5" t="s">
        <v>21</v>
      </c>
      <c r="D19" s="5" t="s">
        <v>30</v>
      </c>
      <c r="E19" s="7">
        <v>44741</v>
      </c>
      <c r="F19" s="5" t="s">
        <v>7</v>
      </c>
      <c r="G19" s="5" t="s">
        <v>34</v>
      </c>
      <c r="H19" s="5" t="s">
        <v>21</v>
      </c>
      <c r="I19" s="4" t="s">
        <v>21</v>
      </c>
      <c r="J19" s="4" t="s">
        <v>21</v>
      </c>
      <c r="K19" t="s">
        <v>158</v>
      </c>
      <c r="L19">
        <v>2</v>
      </c>
      <c r="M19" t="e">
        <v>#N/A</v>
      </c>
      <c r="N19" t="e">
        <f>VLOOKUP(H19,'Tree shrub sapling root eq'!$A$2:$C$12,3,)</f>
        <v>#N/A</v>
      </c>
      <c r="O19" t="e">
        <f t="shared" si="0"/>
        <v>#N/A</v>
      </c>
      <c r="P19" t="e" cm="1">
        <f t="array" ref="P19">eval_tr_dbh</f>
        <v>#N/A</v>
      </c>
      <c r="Q19" t="str">
        <f t="shared" si="1"/>
        <v>GM_2_NA_B3</v>
      </c>
    </row>
    <row r="20" spans="1:17" x14ac:dyDescent="0.15">
      <c r="A20" s="5" t="s">
        <v>18</v>
      </c>
      <c r="B20" s="5">
        <v>2</v>
      </c>
      <c r="C20" s="5" t="s">
        <v>21</v>
      </c>
      <c r="D20" s="5" t="s">
        <v>30</v>
      </c>
      <c r="E20" s="7">
        <v>44741</v>
      </c>
      <c r="F20" s="5" t="s">
        <v>9</v>
      </c>
      <c r="G20" s="5" t="s">
        <v>37</v>
      </c>
      <c r="H20" s="5" t="s">
        <v>21</v>
      </c>
      <c r="I20" s="4" t="s">
        <v>21</v>
      </c>
      <c r="J20" s="4" t="s">
        <v>21</v>
      </c>
      <c r="K20" t="s">
        <v>158</v>
      </c>
      <c r="L20">
        <v>2</v>
      </c>
      <c r="M20" t="e">
        <v>#N/A</v>
      </c>
      <c r="N20" t="e">
        <f>VLOOKUP(H20,'Tree shrub sapling root eq'!$A$2:$C$12,3,)</f>
        <v>#N/A</v>
      </c>
      <c r="O20" t="e">
        <f t="shared" si="0"/>
        <v>#N/A</v>
      </c>
      <c r="P20" t="e" cm="1">
        <f t="array" ref="P20">eval_tr_dbh</f>
        <v>#N/A</v>
      </c>
      <c r="Q20" t="str">
        <f t="shared" si="1"/>
        <v>GM_2_NA_B4</v>
      </c>
    </row>
    <row r="21" spans="1:17" x14ac:dyDescent="0.15">
      <c r="A21" s="5" t="s">
        <v>18</v>
      </c>
      <c r="B21" s="5">
        <v>3</v>
      </c>
      <c r="C21" s="5" t="s">
        <v>21</v>
      </c>
      <c r="D21" s="5" t="s">
        <v>30</v>
      </c>
      <c r="E21" s="7">
        <v>44742</v>
      </c>
      <c r="F21" s="5" t="s">
        <v>5</v>
      </c>
      <c r="G21" s="5" t="s">
        <v>35</v>
      </c>
      <c r="H21" s="5" t="s">
        <v>21</v>
      </c>
      <c r="I21" s="4" t="s">
        <v>21</v>
      </c>
      <c r="J21" s="4" t="s">
        <v>21</v>
      </c>
      <c r="K21" t="s">
        <v>159</v>
      </c>
      <c r="L21">
        <v>2</v>
      </c>
      <c r="M21" t="e">
        <v>#N/A</v>
      </c>
      <c r="N21" t="e">
        <f>VLOOKUP(H21,'Tree shrub sapling root eq'!$A$2:$C$12,3,)</f>
        <v>#N/A</v>
      </c>
      <c r="O21" t="e">
        <f t="shared" si="0"/>
        <v>#N/A</v>
      </c>
      <c r="P21" t="e" cm="1">
        <f t="array" ref="P21">eval_tr_dbh</f>
        <v>#N/A</v>
      </c>
      <c r="Q21" t="str">
        <f t="shared" si="1"/>
        <v>GM_3_NA_B1</v>
      </c>
    </row>
    <row r="22" spans="1:17" x14ac:dyDescent="0.15">
      <c r="A22" s="5" t="s">
        <v>18</v>
      </c>
      <c r="B22" s="5">
        <v>3</v>
      </c>
      <c r="C22" s="5" t="s">
        <v>21</v>
      </c>
      <c r="D22" s="5" t="s">
        <v>30</v>
      </c>
      <c r="E22" s="7">
        <v>44742</v>
      </c>
      <c r="F22" s="5" t="s">
        <v>6</v>
      </c>
      <c r="G22" s="5" t="s">
        <v>36</v>
      </c>
      <c r="H22" s="5" t="s">
        <v>21</v>
      </c>
      <c r="I22" s="4" t="s">
        <v>21</v>
      </c>
      <c r="J22" s="4" t="s">
        <v>21</v>
      </c>
      <c r="K22" t="s">
        <v>159</v>
      </c>
      <c r="L22">
        <v>2</v>
      </c>
      <c r="M22" t="e">
        <v>#N/A</v>
      </c>
      <c r="N22" t="e">
        <f>VLOOKUP(H22,'Tree shrub sapling root eq'!$A$2:$C$12,3,)</f>
        <v>#N/A</v>
      </c>
      <c r="O22" t="e">
        <f t="shared" si="0"/>
        <v>#N/A</v>
      </c>
      <c r="P22" t="e" cm="1">
        <f t="array" ref="P22">eval_tr_dbh</f>
        <v>#N/A</v>
      </c>
      <c r="Q22" t="str">
        <f t="shared" si="1"/>
        <v>GM_3_NA_B2</v>
      </c>
    </row>
    <row r="23" spans="1:17" x14ac:dyDescent="0.15">
      <c r="A23" s="5" t="s">
        <v>18</v>
      </c>
      <c r="B23" s="5">
        <v>3</v>
      </c>
      <c r="C23" s="5" t="s">
        <v>21</v>
      </c>
      <c r="D23" s="5" t="s">
        <v>30</v>
      </c>
      <c r="E23" s="7">
        <v>44742</v>
      </c>
      <c r="F23" s="5" t="s">
        <v>7</v>
      </c>
      <c r="G23" s="5" t="s">
        <v>34</v>
      </c>
      <c r="H23" s="5" t="s">
        <v>21</v>
      </c>
      <c r="I23" s="4" t="s">
        <v>21</v>
      </c>
      <c r="J23" s="4" t="s">
        <v>21</v>
      </c>
      <c r="K23" t="s">
        <v>159</v>
      </c>
      <c r="L23">
        <v>2</v>
      </c>
      <c r="M23" t="e">
        <v>#N/A</v>
      </c>
      <c r="N23" t="e">
        <f>VLOOKUP(H23,'Tree shrub sapling root eq'!$A$2:$C$12,3,)</f>
        <v>#N/A</v>
      </c>
      <c r="O23" t="e">
        <f t="shared" si="0"/>
        <v>#N/A</v>
      </c>
      <c r="P23" t="e" cm="1">
        <f t="array" ref="P23">eval_tr_dbh</f>
        <v>#N/A</v>
      </c>
      <c r="Q23" t="str">
        <f t="shared" si="1"/>
        <v>GM_3_NA_B3</v>
      </c>
    </row>
    <row r="24" spans="1:17" x14ac:dyDescent="0.15">
      <c r="A24" s="5" t="s">
        <v>18</v>
      </c>
      <c r="B24" s="5">
        <v>3</v>
      </c>
      <c r="C24" s="5" t="s">
        <v>21</v>
      </c>
      <c r="D24" s="5" t="s">
        <v>30</v>
      </c>
      <c r="E24" s="7">
        <v>44742</v>
      </c>
      <c r="F24" s="5" t="s">
        <v>9</v>
      </c>
      <c r="G24" s="5" t="s">
        <v>37</v>
      </c>
      <c r="H24" s="5" t="s">
        <v>21</v>
      </c>
      <c r="I24" s="4" t="s">
        <v>21</v>
      </c>
      <c r="J24" s="4" t="s">
        <v>21</v>
      </c>
      <c r="K24" t="s">
        <v>159</v>
      </c>
      <c r="L24">
        <v>2</v>
      </c>
      <c r="M24" t="e">
        <v>#N/A</v>
      </c>
      <c r="N24" t="e">
        <f>VLOOKUP(H24,'Tree shrub sapling root eq'!$A$2:$C$12,3,)</f>
        <v>#N/A</v>
      </c>
      <c r="O24" t="e">
        <f t="shared" si="0"/>
        <v>#N/A</v>
      </c>
      <c r="P24" t="e" cm="1">
        <f t="array" ref="P24">eval_tr_dbh</f>
        <v>#N/A</v>
      </c>
      <c r="Q24" t="str">
        <f t="shared" si="1"/>
        <v>GM_3_NA_B4</v>
      </c>
    </row>
    <row r="25" spans="1:17" x14ac:dyDescent="0.15">
      <c r="A25" s="5" t="s">
        <v>18</v>
      </c>
      <c r="B25" s="5">
        <v>4</v>
      </c>
      <c r="C25" s="5" t="s">
        <v>21</v>
      </c>
      <c r="D25" s="5" t="s">
        <v>30</v>
      </c>
      <c r="E25" s="7">
        <v>44741</v>
      </c>
      <c r="F25" s="5" t="s">
        <v>5</v>
      </c>
      <c r="G25" s="5" t="s">
        <v>35</v>
      </c>
      <c r="H25" s="5" t="s">
        <v>21</v>
      </c>
      <c r="I25" s="4" t="s">
        <v>21</v>
      </c>
      <c r="J25" s="4" t="s">
        <v>21</v>
      </c>
      <c r="K25" t="s">
        <v>160</v>
      </c>
      <c r="L25">
        <v>2</v>
      </c>
      <c r="M25" t="e">
        <v>#N/A</v>
      </c>
      <c r="N25" t="e">
        <f>VLOOKUP(H25,'Tree shrub sapling root eq'!$A$2:$C$12,3,)</f>
        <v>#N/A</v>
      </c>
      <c r="O25" t="e">
        <f t="shared" si="0"/>
        <v>#N/A</v>
      </c>
      <c r="P25" t="e" cm="1">
        <f t="array" ref="P25">eval_tr_dbh</f>
        <v>#N/A</v>
      </c>
      <c r="Q25" t="str">
        <f t="shared" si="1"/>
        <v>GM_4_NA_B1</v>
      </c>
    </row>
    <row r="26" spans="1:17" x14ac:dyDescent="0.15">
      <c r="A26" s="5" t="s">
        <v>18</v>
      </c>
      <c r="B26" s="5">
        <v>4</v>
      </c>
      <c r="C26" s="5" t="s">
        <v>21</v>
      </c>
      <c r="D26" s="5" t="s">
        <v>30</v>
      </c>
      <c r="E26" s="7">
        <v>44741</v>
      </c>
      <c r="F26" s="5" t="s">
        <v>6</v>
      </c>
      <c r="G26" s="5" t="s">
        <v>36</v>
      </c>
      <c r="H26" s="5" t="s">
        <v>21</v>
      </c>
      <c r="I26" s="4" t="s">
        <v>21</v>
      </c>
      <c r="J26" s="4" t="s">
        <v>21</v>
      </c>
      <c r="K26" t="s">
        <v>160</v>
      </c>
      <c r="L26">
        <v>2</v>
      </c>
      <c r="M26" t="e">
        <v>#N/A</v>
      </c>
      <c r="N26" t="e">
        <f>VLOOKUP(H26,'Tree shrub sapling root eq'!$A$2:$C$12,3,)</f>
        <v>#N/A</v>
      </c>
      <c r="O26" t="e">
        <f t="shared" si="0"/>
        <v>#N/A</v>
      </c>
      <c r="P26" t="e" cm="1">
        <f t="array" ref="P26">eval_tr_dbh</f>
        <v>#N/A</v>
      </c>
      <c r="Q26" t="str">
        <f t="shared" si="1"/>
        <v>GM_4_NA_B2</v>
      </c>
    </row>
    <row r="27" spans="1:17" x14ac:dyDescent="0.15">
      <c r="A27" s="5" t="s">
        <v>18</v>
      </c>
      <c r="B27" s="5">
        <v>4</v>
      </c>
      <c r="C27" s="5" t="s">
        <v>21</v>
      </c>
      <c r="D27" s="5" t="s">
        <v>30</v>
      </c>
      <c r="E27" s="7">
        <v>44741</v>
      </c>
      <c r="F27" s="5" t="s">
        <v>7</v>
      </c>
      <c r="G27" s="5" t="s">
        <v>34</v>
      </c>
      <c r="H27" s="5" t="s">
        <v>21</v>
      </c>
      <c r="I27" s="4" t="s">
        <v>21</v>
      </c>
      <c r="J27" s="4" t="s">
        <v>21</v>
      </c>
      <c r="K27" t="s">
        <v>160</v>
      </c>
      <c r="L27">
        <v>2</v>
      </c>
      <c r="M27" t="e">
        <v>#N/A</v>
      </c>
      <c r="N27" t="e">
        <f>VLOOKUP(H27,'Tree shrub sapling root eq'!$A$2:$C$12,3,)</f>
        <v>#N/A</v>
      </c>
      <c r="O27" t="e">
        <f t="shared" si="0"/>
        <v>#N/A</v>
      </c>
      <c r="P27" t="e" cm="1">
        <f t="array" ref="P27">eval_tr_dbh</f>
        <v>#N/A</v>
      </c>
      <c r="Q27" t="str">
        <f t="shared" si="1"/>
        <v>GM_4_NA_B3</v>
      </c>
    </row>
    <row r="28" spans="1:17" x14ac:dyDescent="0.15">
      <c r="A28" s="5" t="s">
        <v>18</v>
      </c>
      <c r="B28" s="5">
        <v>4</v>
      </c>
      <c r="C28" s="5" t="s">
        <v>21</v>
      </c>
      <c r="D28" s="5" t="s">
        <v>30</v>
      </c>
      <c r="E28" s="7">
        <v>44741</v>
      </c>
      <c r="F28" s="5" t="s">
        <v>9</v>
      </c>
      <c r="G28" s="5" t="s">
        <v>37</v>
      </c>
      <c r="H28" s="5" t="s">
        <v>21</v>
      </c>
      <c r="I28" s="4" t="s">
        <v>21</v>
      </c>
      <c r="J28" s="4" t="s">
        <v>21</v>
      </c>
      <c r="K28" t="s">
        <v>160</v>
      </c>
      <c r="L28">
        <v>2</v>
      </c>
      <c r="M28" t="e">
        <v>#N/A</v>
      </c>
      <c r="N28" t="e">
        <f>VLOOKUP(H28,'Tree shrub sapling root eq'!$A$2:$C$12,3,)</f>
        <v>#N/A</v>
      </c>
      <c r="O28" t="e">
        <f t="shared" si="0"/>
        <v>#N/A</v>
      </c>
      <c r="P28" t="e" cm="1">
        <f t="array" ref="P28">eval_tr_dbh</f>
        <v>#N/A</v>
      </c>
      <c r="Q28" t="str">
        <f t="shared" si="1"/>
        <v>GM_4_NA_B4</v>
      </c>
    </row>
    <row r="29" spans="1:17" x14ac:dyDescent="0.15">
      <c r="A29" s="5" t="s">
        <v>18</v>
      </c>
      <c r="B29" s="5">
        <v>5</v>
      </c>
      <c r="C29" s="6" t="s">
        <v>22</v>
      </c>
      <c r="D29" s="5" t="s">
        <v>30</v>
      </c>
      <c r="E29" s="8">
        <v>44741</v>
      </c>
      <c r="F29" s="5" t="s">
        <v>5</v>
      </c>
      <c r="G29" s="5" t="s">
        <v>35</v>
      </c>
      <c r="H29" s="5" t="s">
        <v>21</v>
      </c>
      <c r="I29" s="4" t="s">
        <v>21</v>
      </c>
      <c r="J29" s="4" t="s">
        <v>21</v>
      </c>
      <c r="K29" t="s">
        <v>251</v>
      </c>
      <c r="L29">
        <v>1</v>
      </c>
      <c r="M29" t="e">
        <v>#N/A</v>
      </c>
      <c r="N29" t="e">
        <f>VLOOKUP(H29,'Tree shrub sapling root eq'!$A$2:$C$12,3,)</f>
        <v>#N/A</v>
      </c>
      <c r="O29" t="e">
        <f t="shared" si="0"/>
        <v>#N/A</v>
      </c>
      <c r="P29" t="e" cm="1">
        <f t="array" ref="P29">eval_tr_dbh</f>
        <v>#N/A</v>
      </c>
      <c r="Q29" t="str">
        <f t="shared" si="1"/>
        <v>GM_5_CTRL_B1</v>
      </c>
    </row>
    <row r="30" spans="1:17" x14ac:dyDescent="0.15">
      <c r="A30" s="5" t="s">
        <v>18</v>
      </c>
      <c r="B30" s="5">
        <v>5</v>
      </c>
      <c r="C30" s="6" t="s">
        <v>22</v>
      </c>
      <c r="D30" s="5" t="s">
        <v>30</v>
      </c>
      <c r="E30" s="8">
        <v>44741</v>
      </c>
      <c r="F30" s="5" t="s">
        <v>6</v>
      </c>
      <c r="G30" s="5" t="s">
        <v>36</v>
      </c>
      <c r="H30" s="5" t="s">
        <v>21</v>
      </c>
      <c r="I30" s="4" t="s">
        <v>21</v>
      </c>
      <c r="J30" s="4" t="s">
        <v>21</v>
      </c>
      <c r="K30" t="s">
        <v>251</v>
      </c>
      <c r="L30">
        <v>1</v>
      </c>
      <c r="M30" t="e">
        <v>#N/A</v>
      </c>
      <c r="N30" t="e">
        <f>VLOOKUP(H30,'Tree shrub sapling root eq'!$A$2:$C$12,3,)</f>
        <v>#N/A</v>
      </c>
      <c r="O30" t="e">
        <f t="shared" si="0"/>
        <v>#N/A</v>
      </c>
      <c r="P30" t="e" cm="1">
        <f t="array" ref="P30">eval_tr_dbh</f>
        <v>#N/A</v>
      </c>
      <c r="Q30" t="str">
        <f t="shared" si="1"/>
        <v>GM_5_CTRL_B2</v>
      </c>
    </row>
    <row r="31" spans="1:17" x14ac:dyDescent="0.15">
      <c r="A31" s="5" t="s">
        <v>18</v>
      </c>
      <c r="B31" s="5">
        <v>5</v>
      </c>
      <c r="C31" s="6" t="s">
        <v>22</v>
      </c>
      <c r="D31" s="5" t="s">
        <v>30</v>
      </c>
      <c r="E31" s="8">
        <v>44741</v>
      </c>
      <c r="F31" s="5" t="s">
        <v>7</v>
      </c>
      <c r="G31" s="5" t="s">
        <v>34</v>
      </c>
      <c r="H31" s="5" t="s">
        <v>21</v>
      </c>
      <c r="I31" s="4" t="s">
        <v>21</v>
      </c>
      <c r="J31" s="4" t="s">
        <v>21</v>
      </c>
      <c r="K31" t="s">
        <v>251</v>
      </c>
      <c r="L31">
        <v>1</v>
      </c>
      <c r="M31" t="e">
        <v>#N/A</v>
      </c>
      <c r="N31" t="e">
        <f>VLOOKUP(H31,'Tree shrub sapling root eq'!$A$2:$C$12,3,)</f>
        <v>#N/A</v>
      </c>
      <c r="O31" t="e">
        <f t="shared" si="0"/>
        <v>#N/A</v>
      </c>
      <c r="P31" t="e" cm="1">
        <f t="array" ref="P31">eval_tr_dbh</f>
        <v>#N/A</v>
      </c>
      <c r="Q31" t="str">
        <f t="shared" si="1"/>
        <v>GM_5_CTRL_B3</v>
      </c>
    </row>
    <row r="32" spans="1:17" x14ac:dyDescent="0.15">
      <c r="A32" s="5" t="s">
        <v>18</v>
      </c>
      <c r="B32" s="5">
        <v>5</v>
      </c>
      <c r="C32" s="6" t="s">
        <v>22</v>
      </c>
      <c r="D32" s="5" t="s">
        <v>30</v>
      </c>
      <c r="E32" s="8">
        <v>44741</v>
      </c>
      <c r="F32" s="5" t="s">
        <v>9</v>
      </c>
      <c r="G32" s="5" t="s">
        <v>37</v>
      </c>
      <c r="H32" s="5" t="s">
        <v>21</v>
      </c>
      <c r="I32" s="4" t="s">
        <v>21</v>
      </c>
      <c r="J32" s="4" t="s">
        <v>21</v>
      </c>
      <c r="K32" t="s">
        <v>251</v>
      </c>
      <c r="L32">
        <v>1</v>
      </c>
      <c r="M32" t="e">
        <v>#N/A</v>
      </c>
      <c r="N32" t="e">
        <f>VLOOKUP(H32,'Tree shrub sapling root eq'!$A$2:$C$12,3,)</f>
        <v>#N/A</v>
      </c>
      <c r="O32" t="e">
        <f t="shared" si="0"/>
        <v>#N/A</v>
      </c>
      <c r="P32" t="e" cm="1">
        <f t="array" ref="P32">eval_tr_dbh</f>
        <v>#N/A</v>
      </c>
      <c r="Q32" t="str">
        <f t="shared" si="1"/>
        <v>GM_5_CTRL_B4</v>
      </c>
    </row>
    <row r="33" spans="1:17" x14ac:dyDescent="0.15">
      <c r="A33" s="5" t="s">
        <v>18</v>
      </c>
      <c r="B33" s="5">
        <v>5</v>
      </c>
      <c r="C33" s="5" t="s">
        <v>23</v>
      </c>
      <c r="D33" s="5" t="s">
        <v>30</v>
      </c>
      <c r="E33" s="8">
        <v>44741</v>
      </c>
      <c r="F33" s="5" t="s">
        <v>5</v>
      </c>
      <c r="G33" s="5" t="s">
        <v>35</v>
      </c>
      <c r="H33" s="5" t="s">
        <v>11</v>
      </c>
      <c r="I33" s="4">
        <v>4.5</v>
      </c>
      <c r="J33" s="4">
        <v>2.5</v>
      </c>
      <c r="K33" t="s">
        <v>252</v>
      </c>
      <c r="L33">
        <v>1</v>
      </c>
      <c r="M33">
        <v>2223.4667804710925</v>
      </c>
      <c r="N33" t="str">
        <f>VLOOKUP(H33,'Tree shrub sapling root eq'!$A$2:$C$12,3,)</f>
        <v>=1.576*X6^0.615</v>
      </c>
      <c r="O33" t="str">
        <f t="shared" si="0"/>
        <v>=1.576*2223.46678047109^0.615</v>
      </c>
      <c r="P33" cm="1">
        <f t="array" ref="P33">eval_tr_dbh</f>
        <v>180.29349598522683</v>
      </c>
      <c r="Q33" t="str">
        <f t="shared" si="1"/>
        <v>GM_5_EX_B1</v>
      </c>
    </row>
    <row r="34" spans="1:17" x14ac:dyDescent="0.15">
      <c r="A34" s="5" t="s">
        <v>18</v>
      </c>
      <c r="B34" s="5">
        <v>5</v>
      </c>
      <c r="C34" s="5" t="s">
        <v>23</v>
      </c>
      <c r="D34" s="5" t="s">
        <v>30</v>
      </c>
      <c r="E34" s="8">
        <v>44741</v>
      </c>
      <c r="F34" s="5" t="s">
        <v>5</v>
      </c>
      <c r="G34" s="5" t="s">
        <v>35</v>
      </c>
      <c r="H34" s="5" t="s">
        <v>11</v>
      </c>
      <c r="I34" s="4">
        <v>3.14</v>
      </c>
      <c r="J34" s="4">
        <v>3</v>
      </c>
      <c r="K34" t="s">
        <v>252</v>
      </c>
      <c r="L34">
        <v>1</v>
      </c>
      <c r="M34">
        <v>3240.1542906291584</v>
      </c>
      <c r="N34" t="str">
        <f>VLOOKUP(H34,'Tree shrub sapling root eq'!$A$2:$C$12,3,)</f>
        <v>=1.576*X6^0.615</v>
      </c>
      <c r="O34" t="str">
        <f t="shared" si="0"/>
        <v>=1.576*3240.15429062916^0.615</v>
      </c>
      <c r="P34" cm="1">
        <f t="array" ref="P34">eval_tr_dbh</f>
        <v>227.2762804212486</v>
      </c>
      <c r="Q34" t="str">
        <f t="shared" si="1"/>
        <v>GM_5_EX_B1</v>
      </c>
    </row>
    <row r="35" spans="1:17" x14ac:dyDescent="0.15">
      <c r="A35" s="5" t="s">
        <v>18</v>
      </c>
      <c r="B35" s="5">
        <v>5</v>
      </c>
      <c r="C35" s="5" t="s">
        <v>23</v>
      </c>
      <c r="D35" s="5" t="s">
        <v>30</v>
      </c>
      <c r="E35" s="8">
        <v>44741</v>
      </c>
      <c r="F35" s="5" t="s">
        <v>5</v>
      </c>
      <c r="G35" s="5" t="s">
        <v>35</v>
      </c>
      <c r="H35" s="5" t="s">
        <v>11</v>
      </c>
      <c r="I35" s="4">
        <v>5</v>
      </c>
      <c r="J35" s="4">
        <v>3</v>
      </c>
      <c r="K35" t="s">
        <v>252</v>
      </c>
      <c r="L35">
        <v>1</v>
      </c>
      <c r="M35">
        <v>3240.1542906291584</v>
      </c>
      <c r="N35" t="str">
        <f>VLOOKUP(H35,'Tree shrub sapling root eq'!$A$2:$C$12,3,)</f>
        <v>=1.576*X6^0.615</v>
      </c>
      <c r="O35" t="str">
        <f t="shared" si="0"/>
        <v>=1.576*3240.15429062916^0.615</v>
      </c>
      <c r="P35" cm="1">
        <f t="array" ref="P35">eval_tr_dbh</f>
        <v>227.2762804212486</v>
      </c>
      <c r="Q35" t="str">
        <f t="shared" si="1"/>
        <v>GM_5_EX_B1</v>
      </c>
    </row>
    <row r="36" spans="1:17" x14ac:dyDescent="0.15">
      <c r="A36" s="5" t="s">
        <v>18</v>
      </c>
      <c r="B36" s="5">
        <v>5</v>
      </c>
      <c r="C36" s="5" t="s">
        <v>23</v>
      </c>
      <c r="D36" s="5" t="s">
        <v>30</v>
      </c>
      <c r="E36" s="8">
        <v>44741</v>
      </c>
      <c r="F36" s="5" t="s">
        <v>5</v>
      </c>
      <c r="G36" s="5" t="s">
        <v>35</v>
      </c>
      <c r="H36" s="5" t="s">
        <v>11</v>
      </c>
      <c r="I36" s="4">
        <v>6</v>
      </c>
      <c r="J36" s="4">
        <v>3.25</v>
      </c>
      <c r="K36" t="s">
        <v>252</v>
      </c>
      <c r="L36">
        <v>1</v>
      </c>
      <c r="M36">
        <v>3826.4655670617776</v>
      </c>
      <c r="N36" t="str">
        <f>VLOOKUP(H36,'Tree shrub sapling root eq'!$A$2:$C$12,3,)</f>
        <v>=1.576*X6^0.615</v>
      </c>
      <c r="O36" t="str">
        <f t="shared" si="0"/>
        <v>=1.576*3826.46556706178^0.615</v>
      </c>
      <c r="P36" cm="1">
        <f t="array" ref="P36">eval_tr_dbh</f>
        <v>251.75428201433979</v>
      </c>
      <c r="Q36" t="str">
        <f t="shared" si="1"/>
        <v>GM_5_EX_B1</v>
      </c>
    </row>
    <row r="37" spans="1:17" x14ac:dyDescent="0.15">
      <c r="A37" s="5" t="s">
        <v>18</v>
      </c>
      <c r="B37" s="5">
        <v>5</v>
      </c>
      <c r="C37" s="5" t="s">
        <v>23</v>
      </c>
      <c r="D37" s="5" t="s">
        <v>30</v>
      </c>
      <c r="E37" s="8">
        <v>44741</v>
      </c>
      <c r="F37" s="5" t="s">
        <v>7</v>
      </c>
      <c r="G37" s="5" t="s">
        <v>34</v>
      </c>
      <c r="H37" s="3" t="s">
        <v>10</v>
      </c>
      <c r="I37" s="4">
        <v>5</v>
      </c>
      <c r="J37" s="4">
        <v>4.75</v>
      </c>
      <c r="K37" t="s">
        <v>252</v>
      </c>
      <c r="L37">
        <v>1</v>
      </c>
      <c r="M37">
        <v>4203.2134672808215</v>
      </c>
      <c r="N37" t="str">
        <f>VLOOKUP(H37,'Tree shrub sapling root eq'!$A$2:$C$12,3,)</f>
        <v>=0.25*X6</v>
      </c>
      <c r="O37" t="str">
        <f t="shared" si="0"/>
        <v>=0.25*4203.21346728082</v>
      </c>
      <c r="P37" cm="1">
        <f t="array" ref="P37">eval_tr_dbh</f>
        <v>1050.8033668202049</v>
      </c>
      <c r="Q37" t="str">
        <f t="shared" si="1"/>
        <v>GM_5_EX_B3</v>
      </c>
    </row>
    <row r="38" spans="1:17" x14ac:dyDescent="0.15">
      <c r="A38" s="5" t="s">
        <v>18</v>
      </c>
      <c r="B38" s="5">
        <v>5</v>
      </c>
      <c r="C38" s="5" t="s">
        <v>23</v>
      </c>
      <c r="D38" s="5" t="s">
        <v>30</v>
      </c>
      <c r="E38" s="8">
        <v>44741</v>
      </c>
      <c r="F38" s="5" t="s">
        <v>7</v>
      </c>
      <c r="G38" s="5" t="s">
        <v>34</v>
      </c>
      <c r="H38" s="3" t="s">
        <v>10</v>
      </c>
      <c r="I38" s="4">
        <v>5.5</v>
      </c>
      <c r="J38" s="4">
        <v>5.5</v>
      </c>
      <c r="K38" t="s">
        <v>252</v>
      </c>
      <c r="L38">
        <v>1</v>
      </c>
      <c r="M38">
        <v>5819.6547415251471</v>
      </c>
      <c r="N38" t="str">
        <f>VLOOKUP(H38,'Tree shrub sapling root eq'!$A$2:$C$12,3,)</f>
        <v>=0.25*X6</v>
      </c>
      <c r="O38" t="str">
        <f t="shared" si="0"/>
        <v>=0.25*5819.65474152515</v>
      </c>
      <c r="P38" cm="1">
        <f t="array" ref="P38">eval_tr_dbh</f>
        <v>1454.9136853812875</v>
      </c>
      <c r="Q38" t="str">
        <f t="shared" si="1"/>
        <v>GM_5_EX_B3</v>
      </c>
    </row>
    <row r="39" spans="1:17" x14ac:dyDescent="0.15">
      <c r="A39" s="5" t="s">
        <v>18</v>
      </c>
      <c r="B39" s="5">
        <v>5</v>
      </c>
      <c r="C39" s="5" t="s">
        <v>23</v>
      </c>
      <c r="D39" s="5" t="s">
        <v>30</v>
      </c>
      <c r="E39" s="8">
        <v>44741</v>
      </c>
      <c r="F39" s="5" t="s">
        <v>6</v>
      </c>
      <c r="G39" s="5" t="s">
        <v>36</v>
      </c>
      <c r="H39" s="5" t="s">
        <v>15</v>
      </c>
      <c r="I39" s="4">
        <v>7</v>
      </c>
      <c r="J39" s="4">
        <v>5</v>
      </c>
      <c r="K39" t="s">
        <v>252</v>
      </c>
      <c r="L39">
        <v>1</v>
      </c>
      <c r="M39">
        <v>5545.5964997282672</v>
      </c>
      <c r="N39" t="str">
        <f>VLOOKUP(H39,'Tree shrub sapling root eq'!$A$2:$C$12,3,)</f>
        <v>=1.576*X6^0.615</v>
      </c>
      <c r="O39" t="str">
        <f t="shared" si="0"/>
        <v>=1.576*5545.59649972827^0.615</v>
      </c>
      <c r="P39" cm="1">
        <f t="array" ref="P39">eval_tr_dbh</f>
        <v>316.28922515639465</v>
      </c>
      <c r="Q39" t="str">
        <f t="shared" si="1"/>
        <v>GM_5_EX_B2</v>
      </c>
    </row>
    <row r="40" spans="1:17" x14ac:dyDescent="0.15">
      <c r="A40" s="5" t="s">
        <v>18</v>
      </c>
      <c r="B40" s="5">
        <v>5</v>
      </c>
      <c r="C40" s="5" t="s">
        <v>23</v>
      </c>
      <c r="D40" s="5" t="s">
        <v>30</v>
      </c>
      <c r="E40" s="8">
        <v>44741</v>
      </c>
      <c r="F40" s="5" t="s">
        <v>6</v>
      </c>
      <c r="G40" s="5" t="s">
        <v>36</v>
      </c>
      <c r="H40" s="5" t="s">
        <v>15</v>
      </c>
      <c r="I40" s="4">
        <v>9</v>
      </c>
      <c r="J40" s="4">
        <v>7.5</v>
      </c>
      <c r="K40" t="s">
        <v>252</v>
      </c>
      <c r="L40">
        <v>1</v>
      </c>
      <c r="M40">
        <v>14659.248168184085</v>
      </c>
      <c r="N40" t="str">
        <f>VLOOKUP(H40,'Tree shrub sapling root eq'!$A$2:$C$12,3,)</f>
        <v>=1.576*X6^0.615</v>
      </c>
      <c r="O40" t="str">
        <f t="shared" si="0"/>
        <v>=1.576*14659.2481681841^0.615</v>
      </c>
      <c r="P40" cm="1">
        <f t="array" ref="P40">eval_tr_dbh</f>
        <v>575.0623130868571</v>
      </c>
      <c r="Q40" t="str">
        <f t="shared" si="1"/>
        <v>GM_5_EX_B2</v>
      </c>
    </row>
    <row r="41" spans="1:17" x14ac:dyDescent="0.15">
      <c r="A41" s="5" t="s">
        <v>18</v>
      </c>
      <c r="B41" s="5">
        <v>5</v>
      </c>
      <c r="C41" s="5" t="s">
        <v>23</v>
      </c>
      <c r="D41" s="5" t="s">
        <v>30</v>
      </c>
      <c r="E41" s="8">
        <v>44741</v>
      </c>
      <c r="F41" s="5" t="s">
        <v>6</v>
      </c>
      <c r="G41" s="5" t="s">
        <v>36</v>
      </c>
      <c r="H41" s="3" t="s">
        <v>10</v>
      </c>
      <c r="I41" s="4">
        <v>6</v>
      </c>
      <c r="J41" s="4">
        <v>11</v>
      </c>
      <c r="K41" t="s">
        <v>252</v>
      </c>
      <c r="L41">
        <v>1</v>
      </c>
      <c r="M41">
        <v>27889.025811586031</v>
      </c>
      <c r="N41" t="str">
        <f>VLOOKUP(H41,'Tree shrub sapling root eq'!$A$2:$C$12,3,)</f>
        <v>=0.25*X6</v>
      </c>
      <c r="O41" t="str">
        <f t="shared" si="0"/>
        <v>=0.25*27889.025811586</v>
      </c>
      <c r="P41" cm="1">
        <f t="array" ref="P41">eval_tr_dbh</f>
        <v>6972.2564528965004</v>
      </c>
      <c r="Q41" t="str">
        <f t="shared" si="1"/>
        <v>GM_5_EX_B2</v>
      </c>
    </row>
    <row r="42" spans="1:17" x14ac:dyDescent="0.15">
      <c r="A42" s="5" t="s">
        <v>18</v>
      </c>
      <c r="B42" s="5">
        <v>5</v>
      </c>
      <c r="C42" s="5" t="s">
        <v>23</v>
      </c>
      <c r="D42" s="5" t="s">
        <v>30</v>
      </c>
      <c r="E42" s="8">
        <v>44741</v>
      </c>
      <c r="F42" s="5" t="s">
        <v>7</v>
      </c>
      <c r="G42" s="5" t="s">
        <v>34</v>
      </c>
      <c r="H42" s="3" t="s">
        <v>10</v>
      </c>
      <c r="I42" s="4">
        <v>10</v>
      </c>
      <c r="J42" s="4">
        <v>13</v>
      </c>
      <c r="K42" t="s">
        <v>252</v>
      </c>
      <c r="L42">
        <v>1</v>
      </c>
      <c r="M42">
        <v>40936.394779230584</v>
      </c>
      <c r="N42" t="str">
        <f>VLOOKUP(H42,'Tree shrub sapling root eq'!$A$2:$C$12,3,)</f>
        <v>=0.25*X6</v>
      </c>
      <c r="O42" t="str">
        <f t="shared" si="0"/>
        <v>=0.25*40936.3947792306</v>
      </c>
      <c r="P42" cm="1">
        <f t="array" ref="P42">eval_tr_dbh</f>
        <v>10234.09869480765</v>
      </c>
      <c r="Q42" t="str">
        <f t="shared" si="1"/>
        <v>GM_5_EX_B3</v>
      </c>
    </row>
    <row r="43" spans="1:17" x14ac:dyDescent="0.15">
      <c r="A43" s="5" t="s">
        <v>18</v>
      </c>
      <c r="B43" s="6">
        <v>6</v>
      </c>
      <c r="C43" s="6" t="s">
        <v>21</v>
      </c>
      <c r="D43" s="5" t="s">
        <v>30</v>
      </c>
      <c r="E43" s="8">
        <v>44740</v>
      </c>
      <c r="F43" s="6" t="s">
        <v>9</v>
      </c>
      <c r="G43" s="6" t="s">
        <v>37</v>
      </c>
      <c r="H43" s="6" t="s">
        <v>15</v>
      </c>
      <c r="I43" s="2">
        <v>12.2</v>
      </c>
      <c r="J43" s="2">
        <v>21.75</v>
      </c>
      <c r="K43" t="s">
        <v>148</v>
      </c>
      <c r="L43">
        <v>1</v>
      </c>
      <c r="M43">
        <v>197357.56039671315</v>
      </c>
      <c r="N43" t="str">
        <f>VLOOKUP(H43,'Tree shrub sapling root eq'!$A$2:$C$12,3,)</f>
        <v>=1.576*X6^0.615</v>
      </c>
      <c r="O43" t="str">
        <f t="shared" si="0"/>
        <v>=1.576*197357.560396713^0.615</v>
      </c>
      <c r="P43" cm="1">
        <f t="array" ref="P43">eval_tr_dbh</f>
        <v>2845.3603838666986</v>
      </c>
      <c r="Q43" t="str">
        <f t="shared" si="1"/>
        <v>GM_6_NA_B4</v>
      </c>
    </row>
    <row r="44" spans="1:17" x14ac:dyDescent="0.15">
      <c r="A44" s="5" t="s">
        <v>18</v>
      </c>
      <c r="B44" s="6">
        <v>6</v>
      </c>
      <c r="C44" s="6" t="s">
        <v>21</v>
      </c>
      <c r="D44" s="5" t="s">
        <v>30</v>
      </c>
      <c r="E44" s="8">
        <v>44740</v>
      </c>
      <c r="F44" s="6" t="s">
        <v>5</v>
      </c>
      <c r="G44" s="6" t="s">
        <v>35</v>
      </c>
      <c r="H44" s="6" t="s">
        <v>21</v>
      </c>
      <c r="I44" s="2" t="s">
        <v>21</v>
      </c>
      <c r="J44" s="2" t="s">
        <v>21</v>
      </c>
      <c r="K44" t="s">
        <v>148</v>
      </c>
      <c r="L44">
        <v>1</v>
      </c>
      <c r="M44" t="e">
        <v>#N/A</v>
      </c>
      <c r="N44" t="e">
        <f>VLOOKUP(H44,'Tree shrub sapling root eq'!$A$2:$C$12,3,)</f>
        <v>#N/A</v>
      </c>
      <c r="O44" t="e">
        <f t="shared" si="0"/>
        <v>#N/A</v>
      </c>
      <c r="P44" t="e" cm="1">
        <f t="array" ref="P44">eval_tr_dbh</f>
        <v>#N/A</v>
      </c>
      <c r="Q44" t="str">
        <f t="shared" si="1"/>
        <v>GM_6_NA_B1</v>
      </c>
    </row>
    <row r="45" spans="1:17" x14ac:dyDescent="0.15">
      <c r="A45" s="5" t="s">
        <v>18</v>
      </c>
      <c r="B45" s="6">
        <v>6</v>
      </c>
      <c r="C45" s="6" t="s">
        <v>21</v>
      </c>
      <c r="D45" s="5" t="s">
        <v>30</v>
      </c>
      <c r="E45" s="8">
        <v>44740</v>
      </c>
      <c r="F45" s="6" t="s">
        <v>6</v>
      </c>
      <c r="G45" s="6" t="s">
        <v>36</v>
      </c>
      <c r="H45" s="6" t="s">
        <v>21</v>
      </c>
      <c r="I45" s="2" t="s">
        <v>21</v>
      </c>
      <c r="J45" s="2" t="s">
        <v>21</v>
      </c>
      <c r="K45" t="s">
        <v>148</v>
      </c>
      <c r="L45">
        <v>1</v>
      </c>
      <c r="M45" t="e">
        <v>#N/A</v>
      </c>
      <c r="N45" t="e">
        <f>VLOOKUP(H45,'Tree shrub sapling root eq'!$A$2:$C$12,3,)</f>
        <v>#N/A</v>
      </c>
      <c r="O45" t="e">
        <f t="shared" si="0"/>
        <v>#N/A</v>
      </c>
      <c r="P45" t="e" cm="1">
        <f t="array" ref="P45">eval_tr_dbh</f>
        <v>#N/A</v>
      </c>
      <c r="Q45" t="str">
        <f t="shared" si="1"/>
        <v>GM_6_NA_B2</v>
      </c>
    </row>
    <row r="46" spans="1:17" x14ac:dyDescent="0.15">
      <c r="A46" s="5" t="s">
        <v>18</v>
      </c>
      <c r="B46" s="6">
        <v>6</v>
      </c>
      <c r="C46" s="6" t="s">
        <v>21</v>
      </c>
      <c r="D46" s="5" t="s">
        <v>30</v>
      </c>
      <c r="E46" s="8">
        <v>44740</v>
      </c>
      <c r="F46" s="6" t="s">
        <v>7</v>
      </c>
      <c r="G46" s="6" t="s">
        <v>34</v>
      </c>
      <c r="H46" s="6" t="s">
        <v>21</v>
      </c>
      <c r="I46" s="2" t="s">
        <v>21</v>
      </c>
      <c r="J46" s="2" t="s">
        <v>21</v>
      </c>
      <c r="K46" t="s">
        <v>148</v>
      </c>
      <c r="L46">
        <v>1</v>
      </c>
      <c r="M46" t="e">
        <v>#N/A</v>
      </c>
      <c r="N46" t="e">
        <f>VLOOKUP(H46,'Tree shrub sapling root eq'!$A$2:$C$12,3,)</f>
        <v>#N/A</v>
      </c>
      <c r="O46" t="e">
        <f t="shared" si="0"/>
        <v>#N/A</v>
      </c>
      <c r="P46" t="e" cm="1">
        <f t="array" ref="P46">eval_tr_dbh</f>
        <v>#N/A</v>
      </c>
      <c r="Q46" t="str">
        <f t="shared" si="1"/>
        <v>GM_6_NA_B3</v>
      </c>
    </row>
    <row r="47" spans="1:17" x14ac:dyDescent="0.15">
      <c r="A47" s="5" t="s">
        <v>18</v>
      </c>
      <c r="B47" s="5">
        <v>7</v>
      </c>
      <c r="C47" s="6" t="s">
        <v>21</v>
      </c>
      <c r="D47" s="5" t="s">
        <v>30</v>
      </c>
      <c r="E47" s="8">
        <v>44742</v>
      </c>
      <c r="F47" s="5" t="s">
        <v>5</v>
      </c>
      <c r="G47" s="5" t="s">
        <v>35</v>
      </c>
      <c r="H47" s="5" t="s">
        <v>21</v>
      </c>
      <c r="I47" s="4" t="s">
        <v>21</v>
      </c>
      <c r="J47" s="4" t="s">
        <v>21</v>
      </c>
      <c r="K47" t="s">
        <v>149</v>
      </c>
      <c r="L47">
        <v>1</v>
      </c>
      <c r="M47" t="e">
        <v>#N/A</v>
      </c>
      <c r="N47" t="e">
        <f>VLOOKUP(H47,'Tree shrub sapling root eq'!$A$2:$C$12,3,)</f>
        <v>#N/A</v>
      </c>
      <c r="O47" t="e">
        <f t="shared" si="0"/>
        <v>#N/A</v>
      </c>
      <c r="P47" t="e" cm="1">
        <f t="array" ref="P47">eval_tr_dbh</f>
        <v>#N/A</v>
      </c>
      <c r="Q47" t="str">
        <f t="shared" si="1"/>
        <v>GM_7_NA_B1</v>
      </c>
    </row>
    <row r="48" spans="1:17" x14ac:dyDescent="0.15">
      <c r="A48" s="5" t="s">
        <v>18</v>
      </c>
      <c r="B48" s="5">
        <v>7</v>
      </c>
      <c r="C48" s="6" t="s">
        <v>21</v>
      </c>
      <c r="D48" s="5" t="s">
        <v>30</v>
      </c>
      <c r="E48" s="8">
        <v>44742</v>
      </c>
      <c r="F48" s="5" t="s">
        <v>6</v>
      </c>
      <c r="G48" s="5" t="s">
        <v>36</v>
      </c>
      <c r="H48" s="5" t="s">
        <v>21</v>
      </c>
      <c r="I48" s="4" t="s">
        <v>21</v>
      </c>
      <c r="J48" s="4" t="s">
        <v>21</v>
      </c>
      <c r="K48" t="s">
        <v>149</v>
      </c>
      <c r="L48">
        <v>1</v>
      </c>
      <c r="M48" t="e">
        <v>#N/A</v>
      </c>
      <c r="N48" t="e">
        <f>VLOOKUP(H48,'Tree shrub sapling root eq'!$A$2:$C$12,3,)</f>
        <v>#N/A</v>
      </c>
      <c r="O48" t="e">
        <f t="shared" si="0"/>
        <v>#N/A</v>
      </c>
      <c r="P48" t="e" cm="1">
        <f t="array" ref="P48">eval_tr_dbh</f>
        <v>#N/A</v>
      </c>
      <c r="Q48" t="str">
        <f t="shared" si="1"/>
        <v>GM_7_NA_B2</v>
      </c>
    </row>
    <row r="49" spans="1:17" x14ac:dyDescent="0.15">
      <c r="A49" s="5" t="s">
        <v>18</v>
      </c>
      <c r="B49" s="5">
        <v>7</v>
      </c>
      <c r="C49" s="6" t="s">
        <v>21</v>
      </c>
      <c r="D49" s="5" t="s">
        <v>30</v>
      </c>
      <c r="E49" s="8">
        <v>44742</v>
      </c>
      <c r="F49" s="5" t="s">
        <v>7</v>
      </c>
      <c r="G49" s="5" t="s">
        <v>34</v>
      </c>
      <c r="H49" s="5" t="s">
        <v>21</v>
      </c>
      <c r="I49" s="4" t="s">
        <v>21</v>
      </c>
      <c r="J49" s="4" t="s">
        <v>21</v>
      </c>
      <c r="K49" t="s">
        <v>149</v>
      </c>
      <c r="L49">
        <v>1</v>
      </c>
      <c r="M49" t="e">
        <v>#N/A</v>
      </c>
      <c r="N49" t="e">
        <f>VLOOKUP(H49,'Tree shrub sapling root eq'!$A$2:$C$12,3,)</f>
        <v>#N/A</v>
      </c>
      <c r="O49" t="e">
        <f t="shared" si="0"/>
        <v>#N/A</v>
      </c>
      <c r="P49" t="e" cm="1">
        <f t="array" ref="P49">eval_tr_dbh</f>
        <v>#N/A</v>
      </c>
      <c r="Q49" t="str">
        <f t="shared" si="1"/>
        <v>GM_7_NA_B3</v>
      </c>
    </row>
    <row r="50" spans="1:17" x14ac:dyDescent="0.15">
      <c r="A50" s="5" t="s">
        <v>18</v>
      </c>
      <c r="B50" s="5">
        <v>7</v>
      </c>
      <c r="C50" s="6" t="s">
        <v>21</v>
      </c>
      <c r="D50" s="5" t="s">
        <v>30</v>
      </c>
      <c r="E50" s="8">
        <v>44742</v>
      </c>
      <c r="F50" s="5" t="s">
        <v>9</v>
      </c>
      <c r="G50" s="5" t="s">
        <v>37</v>
      </c>
      <c r="H50" s="5" t="s">
        <v>21</v>
      </c>
      <c r="I50" s="4" t="s">
        <v>21</v>
      </c>
      <c r="J50" s="4" t="s">
        <v>21</v>
      </c>
      <c r="K50" t="s">
        <v>149</v>
      </c>
      <c r="L50">
        <v>1</v>
      </c>
      <c r="M50" t="e">
        <v>#N/A</v>
      </c>
      <c r="N50" t="e">
        <f>VLOOKUP(H50,'Tree shrub sapling root eq'!$A$2:$C$12,3,)</f>
        <v>#N/A</v>
      </c>
      <c r="O50" t="e">
        <f t="shared" si="0"/>
        <v>#N/A</v>
      </c>
      <c r="P50" t="e" cm="1">
        <f t="array" ref="P50">eval_tr_dbh</f>
        <v>#N/A</v>
      </c>
      <c r="Q50" t="str">
        <f t="shared" si="1"/>
        <v>GM_7_NA_B4</v>
      </c>
    </row>
    <row r="51" spans="1:17" x14ac:dyDescent="0.15">
      <c r="A51" s="5" t="s">
        <v>18</v>
      </c>
      <c r="B51" s="5">
        <v>8</v>
      </c>
      <c r="C51" s="6" t="s">
        <v>21</v>
      </c>
      <c r="D51" s="5" t="s">
        <v>30</v>
      </c>
      <c r="E51" s="8">
        <v>44756</v>
      </c>
      <c r="F51" s="5" t="s">
        <v>6</v>
      </c>
      <c r="G51" s="5" t="s">
        <v>36</v>
      </c>
      <c r="H51" s="3" t="s">
        <v>8</v>
      </c>
      <c r="I51" s="4">
        <v>7</v>
      </c>
      <c r="J51" s="4">
        <v>16</v>
      </c>
      <c r="K51" t="s">
        <v>152</v>
      </c>
      <c r="L51">
        <v>1</v>
      </c>
      <c r="M51">
        <v>75854.868550937084</v>
      </c>
      <c r="N51" t="str">
        <f>VLOOKUP(H51,'Tree shrub sapling root eq'!$A$2:$C$12,3,)</f>
        <v>=0.222*X6</v>
      </c>
      <c r="O51" t="str">
        <f t="shared" si="0"/>
        <v>=0.222*75854.8685509371</v>
      </c>
      <c r="P51" cm="1">
        <f t="array" ref="P51">eval_tr_dbh</f>
        <v>16839.780818308038</v>
      </c>
      <c r="Q51" t="str">
        <f t="shared" si="1"/>
        <v>GM_8_NA_B2</v>
      </c>
    </row>
    <row r="52" spans="1:17" x14ac:dyDescent="0.15">
      <c r="A52" s="5" t="s">
        <v>18</v>
      </c>
      <c r="B52" s="5">
        <v>8</v>
      </c>
      <c r="C52" s="6" t="s">
        <v>21</v>
      </c>
      <c r="D52" s="5" t="s">
        <v>30</v>
      </c>
      <c r="E52" s="8">
        <v>44756</v>
      </c>
      <c r="F52" s="5" t="s">
        <v>5</v>
      </c>
      <c r="G52" s="5" t="s">
        <v>35</v>
      </c>
      <c r="H52" s="5" t="s">
        <v>21</v>
      </c>
      <c r="I52" s="4" t="s">
        <v>21</v>
      </c>
      <c r="J52" s="4" t="s">
        <v>21</v>
      </c>
      <c r="K52" t="s">
        <v>152</v>
      </c>
      <c r="L52">
        <v>1</v>
      </c>
      <c r="M52" t="e">
        <v>#N/A</v>
      </c>
      <c r="N52" t="e">
        <f>VLOOKUP(H52,'Tree shrub sapling root eq'!$A$2:$C$12,3,)</f>
        <v>#N/A</v>
      </c>
      <c r="O52" t="e">
        <f t="shared" si="0"/>
        <v>#N/A</v>
      </c>
      <c r="P52" t="e" cm="1">
        <f t="array" ref="P52">eval_tr_dbh</f>
        <v>#N/A</v>
      </c>
      <c r="Q52" t="str">
        <f t="shared" si="1"/>
        <v>GM_8_NA_B1</v>
      </c>
    </row>
    <row r="53" spans="1:17" x14ac:dyDescent="0.15">
      <c r="A53" s="5" t="s">
        <v>18</v>
      </c>
      <c r="B53" s="5">
        <v>8</v>
      </c>
      <c r="C53" s="6" t="s">
        <v>21</v>
      </c>
      <c r="D53" s="5" t="s">
        <v>30</v>
      </c>
      <c r="E53" s="8">
        <v>44756</v>
      </c>
      <c r="F53" s="5" t="s">
        <v>7</v>
      </c>
      <c r="G53" s="5" t="s">
        <v>34</v>
      </c>
      <c r="H53" s="5" t="s">
        <v>21</v>
      </c>
      <c r="I53" s="4" t="s">
        <v>21</v>
      </c>
      <c r="J53" s="4" t="s">
        <v>21</v>
      </c>
      <c r="K53" t="s">
        <v>152</v>
      </c>
      <c r="L53">
        <v>1</v>
      </c>
      <c r="M53" t="e">
        <v>#N/A</v>
      </c>
      <c r="N53" t="e">
        <f>VLOOKUP(H53,'Tree shrub sapling root eq'!$A$2:$C$12,3,)</f>
        <v>#N/A</v>
      </c>
      <c r="O53" t="e">
        <f t="shared" si="0"/>
        <v>#N/A</v>
      </c>
      <c r="P53" t="e" cm="1">
        <f t="array" ref="P53">eval_tr_dbh</f>
        <v>#N/A</v>
      </c>
      <c r="Q53" t="str">
        <f t="shared" si="1"/>
        <v>GM_8_NA_B3</v>
      </c>
    </row>
    <row r="54" spans="1:17" x14ac:dyDescent="0.15">
      <c r="A54" s="5" t="s">
        <v>18</v>
      </c>
      <c r="B54" s="5">
        <v>8</v>
      </c>
      <c r="C54" s="6" t="s">
        <v>21</v>
      </c>
      <c r="D54" s="5" t="s">
        <v>30</v>
      </c>
      <c r="E54" s="8">
        <v>44756</v>
      </c>
      <c r="F54" s="5" t="s">
        <v>9</v>
      </c>
      <c r="G54" s="5" t="s">
        <v>37</v>
      </c>
      <c r="H54" s="5" t="s">
        <v>21</v>
      </c>
      <c r="I54" s="4" t="s">
        <v>21</v>
      </c>
      <c r="J54" s="4" t="s">
        <v>21</v>
      </c>
      <c r="K54" t="s">
        <v>152</v>
      </c>
      <c r="L54">
        <v>1</v>
      </c>
      <c r="M54" t="e">
        <v>#N/A</v>
      </c>
      <c r="N54" t="e">
        <f>VLOOKUP(H54,'Tree shrub sapling root eq'!$A$2:$C$12,3,)</f>
        <v>#N/A</v>
      </c>
      <c r="O54" t="e">
        <f t="shared" si="0"/>
        <v>#N/A</v>
      </c>
      <c r="P54" t="e" cm="1">
        <f t="array" ref="P54">eval_tr_dbh</f>
        <v>#N/A</v>
      </c>
      <c r="Q54" t="str">
        <f t="shared" si="1"/>
        <v>GM_8_NA_B4</v>
      </c>
    </row>
    <row r="55" spans="1:17" x14ac:dyDescent="0.15">
      <c r="A55" s="5" t="s">
        <v>18</v>
      </c>
      <c r="B55" s="5">
        <v>9</v>
      </c>
      <c r="C55" s="6" t="s">
        <v>21</v>
      </c>
      <c r="D55" s="5" t="s">
        <v>30</v>
      </c>
      <c r="E55" s="8">
        <v>44756</v>
      </c>
      <c r="F55" s="5" t="s">
        <v>5</v>
      </c>
      <c r="G55" s="5" t="s">
        <v>35</v>
      </c>
      <c r="H55" s="5" t="s">
        <v>21</v>
      </c>
      <c r="I55" s="4" t="s">
        <v>21</v>
      </c>
      <c r="J55" s="4" t="s">
        <v>21</v>
      </c>
      <c r="K55" t="s">
        <v>165</v>
      </c>
      <c r="L55">
        <v>2</v>
      </c>
      <c r="M55" t="e">
        <v>#N/A</v>
      </c>
      <c r="N55" t="e">
        <f>VLOOKUP(H55,'Tree shrub sapling root eq'!$A$2:$C$12,3,)</f>
        <v>#N/A</v>
      </c>
      <c r="O55" t="e">
        <f t="shared" si="0"/>
        <v>#N/A</v>
      </c>
      <c r="P55" t="e" cm="1">
        <f t="array" ref="P55">eval_tr_dbh</f>
        <v>#N/A</v>
      </c>
      <c r="Q55" t="str">
        <f t="shared" si="1"/>
        <v>GM_9_NA_B1</v>
      </c>
    </row>
    <row r="56" spans="1:17" x14ac:dyDescent="0.15">
      <c r="A56" s="5" t="s">
        <v>18</v>
      </c>
      <c r="B56" s="5">
        <v>9</v>
      </c>
      <c r="C56" s="6" t="s">
        <v>21</v>
      </c>
      <c r="D56" s="5" t="s">
        <v>30</v>
      </c>
      <c r="E56" s="8">
        <v>44756</v>
      </c>
      <c r="F56" s="5" t="s">
        <v>6</v>
      </c>
      <c r="G56" s="5" t="s">
        <v>36</v>
      </c>
      <c r="H56" s="5" t="s">
        <v>21</v>
      </c>
      <c r="I56" s="4" t="s">
        <v>21</v>
      </c>
      <c r="J56" s="4" t="s">
        <v>21</v>
      </c>
      <c r="K56" t="s">
        <v>165</v>
      </c>
      <c r="L56">
        <v>2</v>
      </c>
      <c r="M56" t="e">
        <v>#N/A</v>
      </c>
      <c r="N56" t="e">
        <f>VLOOKUP(H56,'Tree shrub sapling root eq'!$A$2:$C$12,3,)</f>
        <v>#N/A</v>
      </c>
      <c r="O56" t="e">
        <f t="shared" si="0"/>
        <v>#N/A</v>
      </c>
      <c r="P56" t="e" cm="1">
        <f t="array" ref="P56">eval_tr_dbh</f>
        <v>#N/A</v>
      </c>
      <c r="Q56" t="str">
        <f t="shared" si="1"/>
        <v>GM_9_NA_B2</v>
      </c>
    </row>
    <row r="57" spans="1:17" x14ac:dyDescent="0.15">
      <c r="A57" s="5" t="s">
        <v>18</v>
      </c>
      <c r="B57" s="5">
        <v>9</v>
      </c>
      <c r="C57" s="6" t="s">
        <v>21</v>
      </c>
      <c r="D57" s="5" t="s">
        <v>30</v>
      </c>
      <c r="E57" s="8">
        <v>44756</v>
      </c>
      <c r="F57" s="5" t="s">
        <v>7</v>
      </c>
      <c r="G57" s="5" t="s">
        <v>34</v>
      </c>
      <c r="H57" s="5" t="s">
        <v>21</v>
      </c>
      <c r="I57" s="4" t="s">
        <v>21</v>
      </c>
      <c r="J57" s="4" t="s">
        <v>21</v>
      </c>
      <c r="K57" t="s">
        <v>165</v>
      </c>
      <c r="L57">
        <v>2</v>
      </c>
      <c r="M57" t="e">
        <v>#N/A</v>
      </c>
      <c r="N57" t="e">
        <f>VLOOKUP(H57,'Tree shrub sapling root eq'!$A$2:$C$12,3,)</f>
        <v>#N/A</v>
      </c>
      <c r="O57" t="e">
        <f t="shared" si="0"/>
        <v>#N/A</v>
      </c>
      <c r="P57" t="e" cm="1">
        <f t="array" ref="P57">eval_tr_dbh</f>
        <v>#N/A</v>
      </c>
      <c r="Q57" t="str">
        <f t="shared" si="1"/>
        <v>GM_9_NA_B3</v>
      </c>
    </row>
    <row r="58" spans="1:17" x14ac:dyDescent="0.15">
      <c r="A58" s="5" t="s">
        <v>18</v>
      </c>
      <c r="B58" s="5">
        <v>9</v>
      </c>
      <c r="C58" s="6" t="s">
        <v>21</v>
      </c>
      <c r="D58" s="5" t="s">
        <v>30</v>
      </c>
      <c r="E58" s="8">
        <v>44756</v>
      </c>
      <c r="F58" s="5" t="s">
        <v>9</v>
      </c>
      <c r="G58" s="5" t="s">
        <v>37</v>
      </c>
      <c r="H58" s="5" t="s">
        <v>21</v>
      </c>
      <c r="I58" s="4" t="s">
        <v>21</v>
      </c>
      <c r="J58" s="4" t="s">
        <v>21</v>
      </c>
      <c r="K58" t="s">
        <v>165</v>
      </c>
      <c r="L58">
        <v>2</v>
      </c>
      <c r="M58" t="e">
        <v>#N/A</v>
      </c>
      <c r="N58" t="e">
        <f>VLOOKUP(H58,'Tree shrub sapling root eq'!$A$2:$C$12,3,)</f>
        <v>#N/A</v>
      </c>
      <c r="O58" t="e">
        <f t="shared" si="0"/>
        <v>#N/A</v>
      </c>
      <c r="P58" t="e" cm="1">
        <f t="array" ref="P58">eval_tr_dbh</f>
        <v>#N/A</v>
      </c>
      <c r="Q58" t="str">
        <f t="shared" si="1"/>
        <v>GM_9_NA_B4</v>
      </c>
    </row>
    <row r="59" spans="1:17" x14ac:dyDescent="0.15">
      <c r="A59" s="5" t="s">
        <v>18</v>
      </c>
      <c r="B59" s="5">
        <v>10</v>
      </c>
      <c r="C59" s="6" t="s">
        <v>21</v>
      </c>
      <c r="D59" s="5" t="s">
        <v>30</v>
      </c>
      <c r="E59" s="8">
        <v>44756</v>
      </c>
      <c r="F59" s="5" t="s">
        <v>5</v>
      </c>
      <c r="G59" s="5" t="s">
        <v>35</v>
      </c>
      <c r="H59" s="5" t="s">
        <v>21</v>
      </c>
      <c r="I59" s="4" t="s">
        <v>21</v>
      </c>
      <c r="J59" s="4" t="s">
        <v>21</v>
      </c>
      <c r="K59" t="s">
        <v>166</v>
      </c>
      <c r="L59">
        <v>2</v>
      </c>
      <c r="M59" t="e">
        <v>#N/A</v>
      </c>
      <c r="N59" t="e">
        <f>VLOOKUP(H59,'Tree shrub sapling root eq'!$A$2:$C$12,3,)</f>
        <v>#N/A</v>
      </c>
      <c r="O59" t="e">
        <f t="shared" si="0"/>
        <v>#N/A</v>
      </c>
      <c r="P59" t="e" cm="1">
        <f t="array" ref="P59">eval_tr_dbh</f>
        <v>#N/A</v>
      </c>
      <c r="Q59" t="str">
        <f t="shared" si="1"/>
        <v>GM_10_NA_B1</v>
      </c>
    </row>
    <row r="60" spans="1:17" x14ac:dyDescent="0.15">
      <c r="A60" s="5" t="s">
        <v>18</v>
      </c>
      <c r="B60" s="5">
        <v>10</v>
      </c>
      <c r="C60" s="6" t="s">
        <v>21</v>
      </c>
      <c r="D60" s="5" t="s">
        <v>30</v>
      </c>
      <c r="E60" s="8">
        <v>44756</v>
      </c>
      <c r="F60" s="5" t="s">
        <v>6</v>
      </c>
      <c r="G60" s="5" t="s">
        <v>36</v>
      </c>
      <c r="H60" s="5" t="s">
        <v>21</v>
      </c>
      <c r="I60" s="4" t="s">
        <v>21</v>
      </c>
      <c r="J60" s="4" t="s">
        <v>21</v>
      </c>
      <c r="K60" t="s">
        <v>166</v>
      </c>
      <c r="L60">
        <v>2</v>
      </c>
      <c r="M60" t="e">
        <v>#N/A</v>
      </c>
      <c r="N60" t="e">
        <f>VLOOKUP(H60,'Tree shrub sapling root eq'!$A$2:$C$12,3,)</f>
        <v>#N/A</v>
      </c>
      <c r="O60" t="e">
        <f t="shared" si="0"/>
        <v>#N/A</v>
      </c>
      <c r="P60" t="e" cm="1">
        <f t="array" ref="P60">eval_tr_dbh</f>
        <v>#N/A</v>
      </c>
      <c r="Q60" t="str">
        <f t="shared" si="1"/>
        <v>GM_10_NA_B2</v>
      </c>
    </row>
    <row r="61" spans="1:17" x14ac:dyDescent="0.15">
      <c r="A61" s="5" t="s">
        <v>18</v>
      </c>
      <c r="B61" s="5">
        <v>10</v>
      </c>
      <c r="C61" s="6" t="s">
        <v>21</v>
      </c>
      <c r="D61" s="5" t="s">
        <v>30</v>
      </c>
      <c r="E61" s="8">
        <v>44756</v>
      </c>
      <c r="F61" s="5" t="s">
        <v>7</v>
      </c>
      <c r="G61" s="5" t="s">
        <v>34</v>
      </c>
      <c r="H61" s="5" t="s">
        <v>21</v>
      </c>
      <c r="I61" s="4" t="s">
        <v>21</v>
      </c>
      <c r="J61" s="4" t="s">
        <v>21</v>
      </c>
      <c r="K61" t="s">
        <v>166</v>
      </c>
      <c r="L61">
        <v>2</v>
      </c>
      <c r="M61" t="e">
        <v>#N/A</v>
      </c>
      <c r="N61" t="e">
        <f>VLOOKUP(H61,'Tree shrub sapling root eq'!$A$2:$C$12,3,)</f>
        <v>#N/A</v>
      </c>
      <c r="O61" t="e">
        <f t="shared" si="0"/>
        <v>#N/A</v>
      </c>
      <c r="P61" t="e" cm="1">
        <f t="array" ref="P61">eval_tr_dbh</f>
        <v>#N/A</v>
      </c>
      <c r="Q61" t="str">
        <f t="shared" si="1"/>
        <v>GM_10_NA_B3</v>
      </c>
    </row>
    <row r="62" spans="1:17" x14ac:dyDescent="0.15">
      <c r="A62" s="5" t="s">
        <v>18</v>
      </c>
      <c r="B62" s="5">
        <v>10</v>
      </c>
      <c r="C62" s="6" t="s">
        <v>21</v>
      </c>
      <c r="D62" s="5" t="s">
        <v>30</v>
      </c>
      <c r="E62" s="8">
        <v>44756</v>
      </c>
      <c r="F62" s="5" t="s">
        <v>9</v>
      </c>
      <c r="G62" s="5" t="s">
        <v>37</v>
      </c>
      <c r="H62" s="5" t="s">
        <v>21</v>
      </c>
      <c r="I62" s="4" t="s">
        <v>21</v>
      </c>
      <c r="J62" s="4" t="s">
        <v>21</v>
      </c>
      <c r="K62" t="s">
        <v>166</v>
      </c>
      <c r="L62">
        <v>2</v>
      </c>
      <c r="M62" t="e">
        <v>#N/A</v>
      </c>
      <c r="N62" t="e">
        <f>VLOOKUP(H62,'Tree shrub sapling root eq'!$A$2:$C$12,3,)</f>
        <v>#N/A</v>
      </c>
      <c r="O62" t="e">
        <f t="shared" si="0"/>
        <v>#N/A</v>
      </c>
      <c r="P62" t="e" cm="1">
        <f t="array" ref="P62">eval_tr_dbh</f>
        <v>#N/A</v>
      </c>
      <c r="Q62" t="str">
        <f t="shared" si="1"/>
        <v>GM_10_NA_B4</v>
      </c>
    </row>
    <row r="63" spans="1:17" x14ac:dyDescent="0.15">
      <c r="A63" s="5" t="s">
        <v>18</v>
      </c>
      <c r="B63" s="5">
        <v>11</v>
      </c>
      <c r="C63" s="6" t="s">
        <v>21</v>
      </c>
      <c r="D63" s="5" t="s">
        <v>30</v>
      </c>
      <c r="E63" s="8">
        <v>44741</v>
      </c>
      <c r="F63" s="5" t="s">
        <v>9</v>
      </c>
      <c r="G63" s="5" t="s">
        <v>37</v>
      </c>
      <c r="H63" s="3" t="s">
        <v>10</v>
      </c>
      <c r="I63" s="4">
        <v>3</v>
      </c>
      <c r="J63" s="4">
        <v>10.5</v>
      </c>
      <c r="K63" t="s">
        <v>161</v>
      </c>
      <c r="L63">
        <v>2</v>
      </c>
      <c r="M63">
        <v>25071.774854189476</v>
      </c>
      <c r="N63" t="str">
        <f>VLOOKUP(H63,'Tree shrub sapling root eq'!$A$2:$C$12,3,)</f>
        <v>=0.25*X6</v>
      </c>
      <c r="O63" t="str">
        <f t="shared" si="0"/>
        <v>=0.25*25071.7748541895</v>
      </c>
      <c r="P63" cm="1">
        <f t="array" ref="P63">eval_tr_dbh</f>
        <v>6267.9437135473754</v>
      </c>
      <c r="Q63" t="str">
        <f t="shared" si="1"/>
        <v>GM_11_NA_B4</v>
      </c>
    </row>
    <row r="64" spans="1:17" x14ac:dyDescent="0.15">
      <c r="A64" s="5" t="s">
        <v>18</v>
      </c>
      <c r="B64" s="5">
        <v>11</v>
      </c>
      <c r="C64" s="6" t="s">
        <v>21</v>
      </c>
      <c r="D64" s="5" t="s">
        <v>30</v>
      </c>
      <c r="E64" s="8">
        <v>44741</v>
      </c>
      <c r="F64" s="5" t="s">
        <v>5</v>
      </c>
      <c r="G64" s="5" t="s">
        <v>35</v>
      </c>
      <c r="H64" s="5" t="s">
        <v>21</v>
      </c>
      <c r="I64" s="4" t="s">
        <v>21</v>
      </c>
      <c r="J64" s="4" t="s">
        <v>21</v>
      </c>
      <c r="K64" t="s">
        <v>161</v>
      </c>
      <c r="L64">
        <v>2</v>
      </c>
      <c r="M64" t="e">
        <v>#N/A</v>
      </c>
      <c r="N64" t="e">
        <f>VLOOKUP(H64,'Tree shrub sapling root eq'!$A$2:$C$12,3,)</f>
        <v>#N/A</v>
      </c>
      <c r="O64" t="e">
        <f t="shared" si="0"/>
        <v>#N/A</v>
      </c>
      <c r="P64" t="e" cm="1">
        <f t="array" ref="P64">eval_tr_dbh</f>
        <v>#N/A</v>
      </c>
      <c r="Q64" t="str">
        <f t="shared" si="1"/>
        <v>GM_11_NA_B1</v>
      </c>
    </row>
    <row r="65" spans="1:17" x14ac:dyDescent="0.15">
      <c r="A65" s="5" t="s">
        <v>18</v>
      </c>
      <c r="B65" s="5">
        <v>11</v>
      </c>
      <c r="C65" s="6" t="s">
        <v>21</v>
      </c>
      <c r="D65" s="5" t="s">
        <v>30</v>
      </c>
      <c r="E65" s="8">
        <v>44741</v>
      </c>
      <c r="F65" s="5" t="s">
        <v>6</v>
      </c>
      <c r="G65" s="5" t="s">
        <v>36</v>
      </c>
      <c r="H65" s="5" t="s">
        <v>21</v>
      </c>
      <c r="I65" s="4" t="s">
        <v>21</v>
      </c>
      <c r="J65" s="4" t="s">
        <v>21</v>
      </c>
      <c r="K65" t="s">
        <v>161</v>
      </c>
      <c r="L65">
        <v>2</v>
      </c>
      <c r="M65" t="e">
        <v>#N/A</v>
      </c>
      <c r="N65" t="e">
        <f>VLOOKUP(H65,'Tree shrub sapling root eq'!$A$2:$C$12,3,)</f>
        <v>#N/A</v>
      </c>
      <c r="O65" t="e">
        <f t="shared" si="0"/>
        <v>#N/A</v>
      </c>
      <c r="P65" t="e" cm="1">
        <f t="array" ref="P65">eval_tr_dbh</f>
        <v>#N/A</v>
      </c>
      <c r="Q65" t="str">
        <f t="shared" si="1"/>
        <v>GM_11_NA_B2</v>
      </c>
    </row>
    <row r="66" spans="1:17" x14ac:dyDescent="0.15">
      <c r="A66" s="5" t="s">
        <v>18</v>
      </c>
      <c r="B66" s="5">
        <v>11</v>
      </c>
      <c r="C66" s="6" t="s">
        <v>21</v>
      </c>
      <c r="D66" s="5" t="s">
        <v>30</v>
      </c>
      <c r="E66" s="7">
        <v>44741</v>
      </c>
      <c r="F66" s="5" t="s">
        <v>7</v>
      </c>
      <c r="G66" s="5" t="s">
        <v>34</v>
      </c>
      <c r="H66" s="5" t="s">
        <v>21</v>
      </c>
      <c r="I66" s="4" t="s">
        <v>21</v>
      </c>
      <c r="J66" s="4" t="s">
        <v>21</v>
      </c>
      <c r="K66" t="s">
        <v>161</v>
      </c>
      <c r="L66">
        <v>2</v>
      </c>
      <c r="M66" t="e">
        <v>#N/A</v>
      </c>
      <c r="N66" t="e">
        <f>VLOOKUP(H66,'Tree shrub sapling root eq'!$A$2:$C$12,3,)</f>
        <v>#N/A</v>
      </c>
      <c r="O66" t="e">
        <f t="shared" si="0"/>
        <v>#N/A</v>
      </c>
      <c r="P66" t="e" cm="1">
        <f t="array" ref="P66">eval_tr_dbh</f>
        <v>#N/A</v>
      </c>
      <c r="Q66" t="str">
        <f t="shared" si="1"/>
        <v>GM_11_NA_B3</v>
      </c>
    </row>
    <row r="67" spans="1:17" x14ac:dyDescent="0.15">
      <c r="A67" s="5" t="s">
        <v>18</v>
      </c>
      <c r="B67" s="5">
        <v>12</v>
      </c>
      <c r="C67" s="6" t="s">
        <v>21</v>
      </c>
      <c r="D67" s="5" t="s">
        <v>30</v>
      </c>
      <c r="E67" s="8">
        <v>44740</v>
      </c>
      <c r="F67" s="5" t="s">
        <v>5</v>
      </c>
      <c r="G67" s="5" t="s">
        <v>35</v>
      </c>
      <c r="H67" s="5" t="s">
        <v>21</v>
      </c>
      <c r="I67" s="4" t="s">
        <v>21</v>
      </c>
      <c r="J67" s="4" t="s">
        <v>21</v>
      </c>
      <c r="K67" t="s">
        <v>162</v>
      </c>
      <c r="L67">
        <v>2</v>
      </c>
      <c r="M67" t="e">
        <v>#N/A</v>
      </c>
      <c r="N67" t="e">
        <f>VLOOKUP(H67,'Tree shrub sapling root eq'!$A$2:$C$12,3,)</f>
        <v>#N/A</v>
      </c>
      <c r="O67" t="e">
        <f t="shared" ref="O67:O130" si="2">SUBSTITUTE(N67,"X6",M67)</f>
        <v>#N/A</v>
      </c>
      <c r="P67" t="e" cm="1">
        <f t="array" ref="P67">eval_tr_dbh</f>
        <v>#N/A</v>
      </c>
      <c r="Q67" t="str">
        <f t="shared" ref="Q67:Q130" si="3">A67&amp;"_"&amp;B67&amp;"_"&amp;C67&amp;"_"&amp;G67</f>
        <v>GM_12_NA_B1</v>
      </c>
    </row>
    <row r="68" spans="1:17" x14ac:dyDescent="0.15">
      <c r="A68" s="5" t="s">
        <v>18</v>
      </c>
      <c r="B68" s="5">
        <v>12</v>
      </c>
      <c r="C68" s="6" t="s">
        <v>21</v>
      </c>
      <c r="D68" s="5" t="s">
        <v>30</v>
      </c>
      <c r="E68" s="8">
        <v>44740</v>
      </c>
      <c r="F68" s="5" t="s">
        <v>6</v>
      </c>
      <c r="G68" s="5" t="s">
        <v>36</v>
      </c>
      <c r="H68" s="5" t="s">
        <v>21</v>
      </c>
      <c r="I68" s="4" t="s">
        <v>21</v>
      </c>
      <c r="J68" s="4" t="s">
        <v>21</v>
      </c>
      <c r="K68" t="s">
        <v>162</v>
      </c>
      <c r="L68">
        <v>2</v>
      </c>
      <c r="M68" t="e">
        <v>#N/A</v>
      </c>
      <c r="N68" t="e">
        <f>VLOOKUP(H68,'Tree shrub sapling root eq'!$A$2:$C$12,3,)</f>
        <v>#N/A</v>
      </c>
      <c r="O68" t="e">
        <f t="shared" si="2"/>
        <v>#N/A</v>
      </c>
      <c r="P68" t="e" cm="1">
        <f t="array" ref="P68">eval_tr_dbh</f>
        <v>#N/A</v>
      </c>
      <c r="Q68" t="str">
        <f t="shared" si="3"/>
        <v>GM_12_NA_B2</v>
      </c>
    </row>
    <row r="69" spans="1:17" x14ac:dyDescent="0.15">
      <c r="A69" s="5" t="s">
        <v>18</v>
      </c>
      <c r="B69" s="5">
        <v>12</v>
      </c>
      <c r="C69" s="6" t="s">
        <v>21</v>
      </c>
      <c r="D69" s="5" t="s">
        <v>30</v>
      </c>
      <c r="E69" s="8">
        <v>44740</v>
      </c>
      <c r="F69" s="5" t="s">
        <v>7</v>
      </c>
      <c r="G69" s="5" t="s">
        <v>34</v>
      </c>
      <c r="H69" s="5" t="s">
        <v>21</v>
      </c>
      <c r="I69" s="4" t="s">
        <v>21</v>
      </c>
      <c r="J69" s="4" t="s">
        <v>21</v>
      </c>
      <c r="K69" t="s">
        <v>162</v>
      </c>
      <c r="L69">
        <v>2</v>
      </c>
      <c r="M69" t="e">
        <v>#N/A</v>
      </c>
      <c r="N69" t="e">
        <f>VLOOKUP(H69,'Tree shrub sapling root eq'!$A$2:$C$12,3,)</f>
        <v>#N/A</v>
      </c>
      <c r="O69" t="e">
        <f t="shared" si="2"/>
        <v>#N/A</v>
      </c>
      <c r="P69" t="e" cm="1">
        <f t="array" ref="P69">eval_tr_dbh</f>
        <v>#N/A</v>
      </c>
      <c r="Q69" t="str">
        <f t="shared" si="3"/>
        <v>GM_12_NA_B3</v>
      </c>
    </row>
    <row r="70" spans="1:17" x14ac:dyDescent="0.15">
      <c r="A70" s="5" t="s">
        <v>18</v>
      </c>
      <c r="B70" s="5">
        <v>12</v>
      </c>
      <c r="C70" s="6" t="s">
        <v>21</v>
      </c>
      <c r="D70" s="5" t="s">
        <v>30</v>
      </c>
      <c r="E70" s="8">
        <v>44740</v>
      </c>
      <c r="F70" s="5" t="s">
        <v>9</v>
      </c>
      <c r="G70" s="5" t="s">
        <v>37</v>
      </c>
      <c r="H70" s="5" t="s">
        <v>21</v>
      </c>
      <c r="I70" s="4" t="s">
        <v>21</v>
      </c>
      <c r="J70" s="4" t="s">
        <v>21</v>
      </c>
      <c r="K70" t="s">
        <v>162</v>
      </c>
      <c r="L70">
        <v>2</v>
      </c>
      <c r="M70" t="e">
        <v>#N/A</v>
      </c>
      <c r="N70" t="e">
        <f>VLOOKUP(H70,'Tree shrub sapling root eq'!$A$2:$C$12,3,)</f>
        <v>#N/A</v>
      </c>
      <c r="O70" t="e">
        <f t="shared" si="2"/>
        <v>#N/A</v>
      </c>
      <c r="P70" t="e" cm="1">
        <f t="array" ref="P70">eval_tr_dbh</f>
        <v>#N/A</v>
      </c>
      <c r="Q70" t="str">
        <f t="shared" si="3"/>
        <v>GM_12_NA_B4</v>
      </c>
    </row>
    <row r="71" spans="1:17" x14ac:dyDescent="0.15">
      <c r="A71" s="5" t="s">
        <v>18</v>
      </c>
      <c r="B71" s="5">
        <v>13</v>
      </c>
      <c r="C71" s="5" t="s">
        <v>22</v>
      </c>
      <c r="D71" s="5" t="s">
        <v>32</v>
      </c>
      <c r="E71" s="7">
        <v>44742</v>
      </c>
      <c r="F71" s="5" t="s">
        <v>9</v>
      </c>
      <c r="G71" s="5" t="s">
        <v>37</v>
      </c>
      <c r="H71" s="3" t="s">
        <v>10</v>
      </c>
      <c r="I71" s="4">
        <v>3</v>
      </c>
      <c r="J71" s="4">
        <v>14</v>
      </c>
      <c r="K71" t="s">
        <v>175</v>
      </c>
      <c r="L71">
        <v>2</v>
      </c>
      <c r="M71">
        <v>48566.408743122432</v>
      </c>
      <c r="N71" t="str">
        <f>VLOOKUP(H71,'Tree shrub sapling root eq'!$A$2:$C$12,3,)</f>
        <v>=0.25*X6</v>
      </c>
      <c r="O71" t="str">
        <f t="shared" si="2"/>
        <v>=0.25*48566.4087431224</v>
      </c>
      <c r="P71" cm="1">
        <f t="array" ref="P71">eval_tr_dbh</f>
        <v>12141.602185780601</v>
      </c>
      <c r="Q71" t="str">
        <f t="shared" si="3"/>
        <v>GM_13_CTRL_B4</v>
      </c>
    </row>
    <row r="72" spans="1:17" x14ac:dyDescent="0.15">
      <c r="A72" s="5" t="s">
        <v>18</v>
      </c>
      <c r="B72" s="5">
        <v>13</v>
      </c>
      <c r="C72" s="5" t="s">
        <v>22</v>
      </c>
      <c r="D72" s="5" t="s">
        <v>32</v>
      </c>
      <c r="E72" s="7">
        <v>44742</v>
      </c>
      <c r="F72" s="5" t="s">
        <v>5</v>
      </c>
      <c r="G72" s="5" t="s">
        <v>35</v>
      </c>
      <c r="H72" s="3" t="s">
        <v>10</v>
      </c>
      <c r="I72" s="4">
        <v>4</v>
      </c>
      <c r="J72" s="4">
        <v>16</v>
      </c>
      <c r="K72" t="s">
        <v>175</v>
      </c>
      <c r="L72">
        <v>2</v>
      </c>
      <c r="M72">
        <v>66145.129655790064</v>
      </c>
      <c r="N72" t="str">
        <f>VLOOKUP(H72,'Tree shrub sapling root eq'!$A$2:$C$12,3,)</f>
        <v>=0.25*X6</v>
      </c>
      <c r="O72" t="str">
        <f t="shared" si="2"/>
        <v>=0.25*66145.1296557901</v>
      </c>
      <c r="P72" cm="1">
        <f t="array" ref="P72">eval_tr_dbh</f>
        <v>16536.282413947523</v>
      </c>
      <c r="Q72" t="str">
        <f t="shared" si="3"/>
        <v>GM_13_CTRL_B1</v>
      </c>
    </row>
    <row r="73" spans="1:17" x14ac:dyDescent="0.15">
      <c r="A73" s="5" t="s">
        <v>18</v>
      </c>
      <c r="B73" s="5">
        <v>13</v>
      </c>
      <c r="C73" s="5" t="s">
        <v>22</v>
      </c>
      <c r="D73" s="5" t="s">
        <v>32</v>
      </c>
      <c r="E73" s="7">
        <v>44742</v>
      </c>
      <c r="F73" s="5" t="s">
        <v>7</v>
      </c>
      <c r="G73" s="5" t="s">
        <v>34</v>
      </c>
      <c r="H73" s="3" t="s">
        <v>10</v>
      </c>
      <c r="I73" s="4">
        <v>6</v>
      </c>
      <c r="J73" s="4">
        <v>26</v>
      </c>
      <c r="K73" t="s">
        <v>175</v>
      </c>
      <c r="L73">
        <v>2</v>
      </c>
      <c r="M73">
        <v>205266.17932106816</v>
      </c>
      <c r="N73" t="str">
        <f>VLOOKUP(H73,'Tree shrub sapling root eq'!$A$2:$C$12,3,)</f>
        <v>=0.25*X6</v>
      </c>
      <c r="O73" t="str">
        <f t="shared" si="2"/>
        <v>=0.25*205266.179321068</v>
      </c>
      <c r="P73" cm="1">
        <f t="array" ref="P73">eval_tr_dbh</f>
        <v>51316.544830266997</v>
      </c>
      <c r="Q73" t="str">
        <f t="shared" si="3"/>
        <v>GM_13_CTRL_B3</v>
      </c>
    </row>
    <row r="74" spans="1:17" x14ac:dyDescent="0.15">
      <c r="A74" s="5" t="s">
        <v>18</v>
      </c>
      <c r="B74" s="5">
        <v>13</v>
      </c>
      <c r="C74" s="5" t="s">
        <v>22</v>
      </c>
      <c r="D74" s="5" t="s">
        <v>32</v>
      </c>
      <c r="E74" s="7">
        <v>44742</v>
      </c>
      <c r="F74" s="5" t="s">
        <v>9</v>
      </c>
      <c r="G74" s="5" t="s">
        <v>37</v>
      </c>
      <c r="H74" s="5" t="s">
        <v>15</v>
      </c>
      <c r="I74" s="4">
        <v>7</v>
      </c>
      <c r="J74" s="4">
        <v>40</v>
      </c>
      <c r="K74" t="s">
        <v>175</v>
      </c>
      <c r="L74">
        <v>2</v>
      </c>
      <c r="M74">
        <v>890332.86289830494</v>
      </c>
      <c r="N74" t="str">
        <f>VLOOKUP(H74,'Tree shrub sapling root eq'!$A$2:$C$12,3,)</f>
        <v>=1.576*X6^0.615</v>
      </c>
      <c r="O74" t="str">
        <f t="shared" si="2"/>
        <v>=1.576*890332.862898305^0.615</v>
      </c>
      <c r="P74" cm="1">
        <f t="array" ref="P74">eval_tr_dbh</f>
        <v>7186.7235869618744</v>
      </c>
      <c r="Q74" t="str">
        <f t="shared" si="3"/>
        <v>GM_13_CTRL_B4</v>
      </c>
    </row>
    <row r="75" spans="1:17" x14ac:dyDescent="0.15">
      <c r="A75" s="5" t="s">
        <v>18</v>
      </c>
      <c r="B75" s="5">
        <v>13</v>
      </c>
      <c r="C75" s="5" t="s">
        <v>22</v>
      </c>
      <c r="D75" s="5" t="s">
        <v>32</v>
      </c>
      <c r="E75" s="7">
        <v>44742</v>
      </c>
      <c r="F75" s="5" t="s">
        <v>7</v>
      </c>
      <c r="G75" s="5" t="s">
        <v>34</v>
      </c>
      <c r="H75" s="3" t="s">
        <v>10</v>
      </c>
      <c r="I75" s="4">
        <v>5.5</v>
      </c>
      <c r="J75" s="4">
        <v>40</v>
      </c>
      <c r="K75" t="s">
        <v>175</v>
      </c>
      <c r="L75">
        <v>2</v>
      </c>
      <c r="M75">
        <v>566340.39574475179</v>
      </c>
      <c r="N75" t="str">
        <f>VLOOKUP(H75,'Tree shrub sapling root eq'!$A$2:$C$12,3,)</f>
        <v>=0.25*X6</v>
      </c>
      <c r="O75" t="str">
        <f t="shared" si="2"/>
        <v>=0.25*566340.395744752</v>
      </c>
      <c r="P75" cm="1">
        <f t="array" ref="P75">eval_tr_dbh</f>
        <v>141585.09893618801</v>
      </c>
      <c r="Q75" t="str">
        <f t="shared" si="3"/>
        <v>GM_13_CTRL_B3</v>
      </c>
    </row>
    <row r="76" spans="1:17" x14ac:dyDescent="0.15">
      <c r="A76" s="5" t="s">
        <v>18</v>
      </c>
      <c r="B76" s="5">
        <v>13</v>
      </c>
      <c r="C76" s="5" t="s">
        <v>22</v>
      </c>
      <c r="D76" s="5" t="s">
        <v>32</v>
      </c>
      <c r="E76" s="7">
        <v>44742</v>
      </c>
      <c r="F76" s="5" t="s">
        <v>6</v>
      </c>
      <c r="G76" s="5" t="s">
        <v>36</v>
      </c>
      <c r="H76" s="3" t="s">
        <v>10</v>
      </c>
      <c r="I76" s="4">
        <v>6</v>
      </c>
      <c r="J76" s="4">
        <v>45</v>
      </c>
      <c r="K76" t="s">
        <v>175</v>
      </c>
      <c r="L76">
        <v>2</v>
      </c>
      <c r="M76">
        <v>748473.91531468858</v>
      </c>
      <c r="N76" t="str">
        <f>VLOOKUP(H76,'Tree shrub sapling root eq'!$A$2:$C$12,3,)</f>
        <v>=0.25*X6</v>
      </c>
      <c r="O76" t="str">
        <f t="shared" si="2"/>
        <v>=0.25*748473.915314689</v>
      </c>
      <c r="P76" cm="1">
        <f t="array" ref="P76">eval_tr_dbh</f>
        <v>187118.47882867226</v>
      </c>
      <c r="Q76" t="str">
        <f t="shared" si="3"/>
        <v>GM_13_CTRL_B2</v>
      </c>
    </row>
    <row r="77" spans="1:17" x14ac:dyDescent="0.15">
      <c r="A77" s="5" t="s">
        <v>18</v>
      </c>
      <c r="B77" s="5">
        <v>13</v>
      </c>
      <c r="C77" s="5" t="s">
        <v>23</v>
      </c>
      <c r="D77" s="5" t="s">
        <v>32</v>
      </c>
      <c r="E77" s="7">
        <v>44740</v>
      </c>
      <c r="F77" s="5" t="s">
        <v>6</v>
      </c>
      <c r="G77" s="5" t="s">
        <v>36</v>
      </c>
      <c r="H77" s="3" t="s">
        <v>10</v>
      </c>
      <c r="I77" s="4">
        <v>4</v>
      </c>
      <c r="J77" s="4">
        <v>11.1</v>
      </c>
      <c r="K77" t="s">
        <v>255</v>
      </c>
      <c r="L77">
        <v>2</v>
      </c>
      <c r="M77">
        <v>28473.375478088361</v>
      </c>
      <c r="N77" t="str">
        <f>VLOOKUP(H77,'Tree shrub sapling root eq'!$A$2:$C$12,3,)</f>
        <v>=0.25*X6</v>
      </c>
      <c r="O77" t="str">
        <f t="shared" si="2"/>
        <v>=0.25*28473.3754780884</v>
      </c>
      <c r="P77" cm="1">
        <f t="array" ref="P77">eval_tr_dbh</f>
        <v>7118.3438695221002</v>
      </c>
      <c r="Q77" t="str">
        <f t="shared" si="3"/>
        <v>GM_13_EX_B2</v>
      </c>
    </row>
    <row r="78" spans="1:17" x14ac:dyDescent="0.15">
      <c r="A78" s="5" t="s">
        <v>18</v>
      </c>
      <c r="B78" s="5">
        <v>13</v>
      </c>
      <c r="C78" s="5" t="s">
        <v>23</v>
      </c>
      <c r="D78" s="5" t="s">
        <v>32</v>
      </c>
      <c r="E78" s="7">
        <v>44740</v>
      </c>
      <c r="F78" s="5" t="s">
        <v>5</v>
      </c>
      <c r="G78" s="5" t="s">
        <v>35</v>
      </c>
      <c r="H78" s="3" t="s">
        <v>10</v>
      </c>
      <c r="I78" s="4">
        <v>6</v>
      </c>
      <c r="J78" s="4">
        <v>15.4</v>
      </c>
      <c r="K78" t="s">
        <v>255</v>
      </c>
      <c r="L78">
        <v>2</v>
      </c>
      <c r="M78">
        <v>60540.072870274598</v>
      </c>
      <c r="N78" t="str">
        <f>VLOOKUP(H78,'Tree shrub sapling root eq'!$A$2:$C$12,3,)</f>
        <v>=0.25*X6</v>
      </c>
      <c r="O78" t="str">
        <f t="shared" si="2"/>
        <v>=0.25*60540.0728702746</v>
      </c>
      <c r="P78" cm="1">
        <f t="array" ref="P78">eval_tr_dbh</f>
        <v>15135.01821756865</v>
      </c>
      <c r="Q78" t="str">
        <f t="shared" si="3"/>
        <v>GM_13_EX_B1</v>
      </c>
    </row>
    <row r="79" spans="1:17" x14ac:dyDescent="0.15">
      <c r="A79" s="5" t="s">
        <v>18</v>
      </c>
      <c r="B79" s="5">
        <v>13</v>
      </c>
      <c r="C79" s="5" t="s">
        <v>23</v>
      </c>
      <c r="D79" s="5" t="s">
        <v>32</v>
      </c>
      <c r="E79" s="7">
        <v>44740</v>
      </c>
      <c r="F79" s="5" t="s">
        <v>5</v>
      </c>
      <c r="G79" s="5" t="s">
        <v>35</v>
      </c>
      <c r="H79" s="3" t="s">
        <v>10</v>
      </c>
      <c r="I79" s="4">
        <v>5.5</v>
      </c>
      <c r="J79" s="4">
        <v>15.3</v>
      </c>
      <c r="K79" t="s">
        <v>255</v>
      </c>
      <c r="L79">
        <v>2</v>
      </c>
      <c r="M79">
        <v>59633.818298459424</v>
      </c>
      <c r="N79" t="str">
        <f>VLOOKUP(H79,'Tree shrub sapling root eq'!$A$2:$C$12,3,)</f>
        <v>=0.25*X6</v>
      </c>
      <c r="O79" t="str">
        <f t="shared" si="2"/>
        <v>=0.25*59633.8182984594</v>
      </c>
      <c r="P79" cm="1">
        <f t="array" ref="P79">eval_tr_dbh</f>
        <v>14908.454574614851</v>
      </c>
      <c r="Q79" t="str">
        <f t="shared" si="3"/>
        <v>GM_13_EX_B1</v>
      </c>
    </row>
    <row r="80" spans="1:17" x14ac:dyDescent="0.15">
      <c r="A80" s="5" t="s">
        <v>18</v>
      </c>
      <c r="B80" s="5">
        <v>13</v>
      </c>
      <c r="C80" s="5" t="s">
        <v>23</v>
      </c>
      <c r="D80" s="5" t="s">
        <v>32</v>
      </c>
      <c r="E80" s="7">
        <v>44740</v>
      </c>
      <c r="F80" s="5" t="s">
        <v>6</v>
      </c>
      <c r="G80" s="5" t="s">
        <v>36</v>
      </c>
      <c r="H80" s="3" t="s">
        <v>10</v>
      </c>
      <c r="I80" s="4">
        <v>6</v>
      </c>
      <c r="J80" s="4">
        <v>24.1</v>
      </c>
      <c r="K80" t="s">
        <v>255</v>
      </c>
      <c r="L80">
        <v>2</v>
      </c>
      <c r="M80">
        <v>171818.16525422924</v>
      </c>
      <c r="N80" t="str">
        <f>VLOOKUP(H80,'Tree shrub sapling root eq'!$A$2:$C$12,3,)</f>
        <v>=0.25*X6</v>
      </c>
      <c r="O80" t="str">
        <f t="shared" si="2"/>
        <v>=0.25*171818.165254229</v>
      </c>
      <c r="P80" cm="1">
        <f t="array" ref="P80">eval_tr_dbh</f>
        <v>42954.541313557253</v>
      </c>
      <c r="Q80" t="str">
        <f t="shared" si="3"/>
        <v>GM_13_EX_B2</v>
      </c>
    </row>
    <row r="81" spans="1:17" x14ac:dyDescent="0.15">
      <c r="A81" s="5" t="s">
        <v>18</v>
      </c>
      <c r="B81" s="5">
        <v>13</v>
      </c>
      <c r="C81" s="5" t="s">
        <v>23</v>
      </c>
      <c r="D81" s="5" t="s">
        <v>32</v>
      </c>
      <c r="E81" s="7">
        <v>44740</v>
      </c>
      <c r="F81" s="5" t="s">
        <v>7</v>
      </c>
      <c r="G81" s="5" t="s">
        <v>34</v>
      </c>
      <c r="H81" s="5" t="s">
        <v>21</v>
      </c>
      <c r="I81" s="4" t="s">
        <v>21</v>
      </c>
      <c r="J81" s="4" t="s">
        <v>21</v>
      </c>
      <c r="K81" t="s">
        <v>255</v>
      </c>
      <c r="L81">
        <v>2</v>
      </c>
      <c r="M81" t="e">
        <v>#N/A</v>
      </c>
      <c r="N81" t="e">
        <f>VLOOKUP(H81,'Tree shrub sapling root eq'!$A$2:$C$12,3,)</f>
        <v>#N/A</v>
      </c>
      <c r="O81" t="e">
        <f t="shared" si="2"/>
        <v>#N/A</v>
      </c>
      <c r="P81" t="e" cm="1">
        <f t="array" ref="P81">eval_tr_dbh</f>
        <v>#N/A</v>
      </c>
      <c r="Q81" t="str">
        <f t="shared" si="3"/>
        <v>GM_13_EX_B3</v>
      </c>
    </row>
    <row r="82" spans="1:17" x14ac:dyDescent="0.15">
      <c r="A82" s="5" t="s">
        <v>18</v>
      </c>
      <c r="B82" s="5">
        <v>14</v>
      </c>
      <c r="C82" s="5" t="s">
        <v>21</v>
      </c>
      <c r="D82" s="5" t="s">
        <v>32</v>
      </c>
      <c r="E82" s="7">
        <v>44742</v>
      </c>
      <c r="F82" s="5" t="s">
        <v>9</v>
      </c>
      <c r="G82" s="5" t="s">
        <v>37</v>
      </c>
      <c r="H82" s="3" t="s">
        <v>10</v>
      </c>
      <c r="I82" s="4">
        <v>4.5</v>
      </c>
      <c r="J82" s="4">
        <v>3.5</v>
      </c>
      <c r="K82" t="s">
        <v>146</v>
      </c>
      <c r="L82">
        <v>1</v>
      </c>
      <c r="M82">
        <v>2150.6724889929069</v>
      </c>
      <c r="N82" t="str">
        <f>VLOOKUP(H82,'Tree shrub sapling root eq'!$A$2:$C$12,3,)</f>
        <v>=0.25*X6</v>
      </c>
      <c r="O82" t="str">
        <f t="shared" si="2"/>
        <v>=0.25*2150.67248899291</v>
      </c>
      <c r="P82" cm="1">
        <f t="array" ref="P82">eval_tr_dbh</f>
        <v>537.66812224822752</v>
      </c>
      <c r="Q82" t="str">
        <f t="shared" si="3"/>
        <v>GM_14_NA_B4</v>
      </c>
    </row>
    <row r="83" spans="1:17" x14ac:dyDescent="0.15">
      <c r="A83" s="5" t="s">
        <v>18</v>
      </c>
      <c r="B83" s="5">
        <v>14</v>
      </c>
      <c r="C83" s="5" t="s">
        <v>21</v>
      </c>
      <c r="D83" s="5" t="s">
        <v>32</v>
      </c>
      <c r="E83" s="7">
        <v>44742</v>
      </c>
      <c r="F83" s="5" t="s">
        <v>6</v>
      </c>
      <c r="G83" s="5" t="s">
        <v>36</v>
      </c>
      <c r="H83" s="3" t="s">
        <v>10</v>
      </c>
      <c r="I83" s="4">
        <v>6</v>
      </c>
      <c r="J83" s="4">
        <v>6</v>
      </c>
      <c r="K83" t="s">
        <v>146</v>
      </c>
      <c r="L83">
        <v>1</v>
      </c>
      <c r="M83">
        <v>7067.0252069550461</v>
      </c>
      <c r="N83" t="str">
        <f>VLOOKUP(H83,'Tree shrub sapling root eq'!$A$2:$C$12,3,)</f>
        <v>=0.25*X6</v>
      </c>
      <c r="O83" t="str">
        <f t="shared" si="2"/>
        <v>=0.25*7067.02520695505</v>
      </c>
      <c r="P83" cm="1">
        <f t="array" ref="P83">eval_tr_dbh</f>
        <v>1766.7563017387624</v>
      </c>
      <c r="Q83" t="str">
        <f t="shared" si="3"/>
        <v>GM_14_NA_B2</v>
      </c>
    </row>
    <row r="84" spans="1:17" x14ac:dyDescent="0.15">
      <c r="A84" s="5" t="s">
        <v>18</v>
      </c>
      <c r="B84" s="5">
        <v>14</v>
      </c>
      <c r="C84" s="5" t="s">
        <v>21</v>
      </c>
      <c r="D84" s="5" t="s">
        <v>32</v>
      </c>
      <c r="E84" s="7">
        <v>44742</v>
      </c>
      <c r="F84" s="5" t="s">
        <v>5</v>
      </c>
      <c r="G84" s="5" t="s">
        <v>35</v>
      </c>
      <c r="H84" s="3" t="s">
        <v>10</v>
      </c>
      <c r="I84" s="4">
        <v>9</v>
      </c>
      <c r="J84" s="4">
        <v>6.25</v>
      </c>
      <c r="K84" t="s">
        <v>146</v>
      </c>
      <c r="L84">
        <v>1</v>
      </c>
      <c r="M84">
        <v>7743.2081466870886</v>
      </c>
      <c r="N84" t="str">
        <f>VLOOKUP(H84,'Tree shrub sapling root eq'!$A$2:$C$12,3,)</f>
        <v>=0.25*X6</v>
      </c>
      <c r="O84" t="str">
        <f t="shared" si="2"/>
        <v>=0.25*7743.20814668709</v>
      </c>
      <c r="P84" cm="1">
        <f t="array" ref="P84">eval_tr_dbh</f>
        <v>1935.8020366717726</v>
      </c>
      <c r="Q84" t="str">
        <f t="shared" si="3"/>
        <v>GM_14_NA_B1</v>
      </c>
    </row>
    <row r="85" spans="1:17" x14ac:dyDescent="0.15">
      <c r="A85" s="5" t="s">
        <v>18</v>
      </c>
      <c r="B85" s="5">
        <v>14</v>
      </c>
      <c r="C85" s="5" t="s">
        <v>21</v>
      </c>
      <c r="D85" s="5" t="s">
        <v>32</v>
      </c>
      <c r="E85" s="7">
        <v>44742</v>
      </c>
      <c r="F85" s="5" t="s">
        <v>5</v>
      </c>
      <c r="G85" s="5" t="s">
        <v>35</v>
      </c>
      <c r="H85" s="5" t="s">
        <v>15</v>
      </c>
      <c r="I85" s="4">
        <v>7</v>
      </c>
      <c r="J85" s="4">
        <v>6</v>
      </c>
      <c r="K85" t="s">
        <v>146</v>
      </c>
      <c r="L85">
        <v>1</v>
      </c>
      <c r="M85">
        <v>8571.8396920973228</v>
      </c>
      <c r="N85" t="str">
        <f>VLOOKUP(H85,'Tree shrub sapling root eq'!$A$2:$C$12,3,)</f>
        <v>=1.576*X6^0.615</v>
      </c>
      <c r="O85" t="str">
        <f t="shared" si="2"/>
        <v>=1.576*8571.83969209732^0.615</v>
      </c>
      <c r="P85" cm="1">
        <f t="array" ref="P85">eval_tr_dbh</f>
        <v>413.4250123083242</v>
      </c>
      <c r="Q85" t="str">
        <f t="shared" si="3"/>
        <v>GM_14_NA_B1</v>
      </c>
    </row>
    <row r="86" spans="1:17" x14ac:dyDescent="0.15">
      <c r="A86" s="5" t="s">
        <v>18</v>
      </c>
      <c r="B86" s="5">
        <v>14</v>
      </c>
      <c r="C86" s="5" t="s">
        <v>21</v>
      </c>
      <c r="D86" s="5" t="s">
        <v>32</v>
      </c>
      <c r="E86" s="7">
        <v>44742</v>
      </c>
      <c r="F86" s="5" t="s">
        <v>7</v>
      </c>
      <c r="G86" s="5" t="s">
        <v>34</v>
      </c>
      <c r="H86" s="3" t="s">
        <v>10</v>
      </c>
      <c r="I86" s="4">
        <v>9</v>
      </c>
      <c r="J86" s="4">
        <v>7</v>
      </c>
      <c r="K86" t="s">
        <v>146</v>
      </c>
      <c r="L86">
        <v>1</v>
      </c>
      <c r="M86">
        <v>9987.7466724096248</v>
      </c>
      <c r="N86" t="str">
        <f>VLOOKUP(H86,'Tree shrub sapling root eq'!$A$2:$C$12,3,)</f>
        <v>=0.25*X6</v>
      </c>
      <c r="O86" t="str">
        <f t="shared" si="2"/>
        <v>=0.25*9987.74667240962</v>
      </c>
      <c r="P86" cm="1">
        <f t="array" ref="P86">eval_tr_dbh</f>
        <v>2496.9366681024048</v>
      </c>
      <c r="Q86" t="str">
        <f t="shared" si="3"/>
        <v>GM_14_NA_B3</v>
      </c>
    </row>
    <row r="87" spans="1:17" x14ac:dyDescent="0.15">
      <c r="A87" s="5" t="s">
        <v>18</v>
      </c>
      <c r="B87" s="5">
        <v>14</v>
      </c>
      <c r="C87" s="5" t="s">
        <v>21</v>
      </c>
      <c r="D87" s="5" t="s">
        <v>32</v>
      </c>
      <c r="E87" s="7">
        <v>44742</v>
      </c>
      <c r="F87" s="5" t="s">
        <v>6</v>
      </c>
      <c r="G87" s="5" t="s">
        <v>36</v>
      </c>
      <c r="H87" s="3" t="s">
        <v>10</v>
      </c>
      <c r="I87" s="4">
        <v>8</v>
      </c>
      <c r="J87" s="4">
        <v>7.25</v>
      </c>
      <c r="K87" t="s">
        <v>146</v>
      </c>
      <c r="L87">
        <v>1</v>
      </c>
      <c r="M87">
        <v>10809.531358577111</v>
      </c>
      <c r="N87" t="str">
        <f>VLOOKUP(H87,'Tree shrub sapling root eq'!$A$2:$C$12,3,)</f>
        <v>=0.25*X6</v>
      </c>
      <c r="O87" t="str">
        <f t="shared" si="2"/>
        <v>=0.25*10809.5313585771</v>
      </c>
      <c r="P87" cm="1">
        <f t="array" ref="P87">eval_tr_dbh</f>
        <v>2702.382839644275</v>
      </c>
      <c r="Q87" t="str">
        <f t="shared" si="3"/>
        <v>GM_14_NA_B2</v>
      </c>
    </row>
    <row r="88" spans="1:17" x14ac:dyDescent="0.15">
      <c r="A88" s="5" t="s">
        <v>18</v>
      </c>
      <c r="B88" s="5">
        <v>14</v>
      </c>
      <c r="C88" s="5" t="s">
        <v>21</v>
      </c>
      <c r="D88" s="5" t="s">
        <v>32</v>
      </c>
      <c r="E88" s="7">
        <v>44742</v>
      </c>
      <c r="F88" s="5" t="s">
        <v>7</v>
      </c>
      <c r="G88" s="5" t="s">
        <v>34</v>
      </c>
      <c r="H88" s="3" t="s">
        <v>15</v>
      </c>
      <c r="I88" s="4">
        <v>7.5</v>
      </c>
      <c r="J88" s="4">
        <v>7</v>
      </c>
      <c r="K88" t="s">
        <v>146</v>
      </c>
      <c r="L88">
        <v>1</v>
      </c>
      <c r="M88">
        <v>12413.345768382282</v>
      </c>
      <c r="N88" t="str">
        <f>VLOOKUP(H88,'Tree shrub sapling root eq'!$A$2:$C$12,3,)</f>
        <v>=1.576*X6^0.615</v>
      </c>
      <c r="O88" t="str">
        <f t="shared" si="2"/>
        <v>=1.576*12413.3457683823^0.615</v>
      </c>
      <c r="P88" cm="1">
        <f t="array" ref="P88">eval_tr_dbh</f>
        <v>519.15597598892339</v>
      </c>
      <c r="Q88" t="str">
        <f t="shared" si="3"/>
        <v>GM_14_NA_B3</v>
      </c>
    </row>
    <row r="89" spans="1:17" x14ac:dyDescent="0.15">
      <c r="A89" s="5" t="s">
        <v>18</v>
      </c>
      <c r="B89" s="5">
        <v>14</v>
      </c>
      <c r="C89" s="5" t="s">
        <v>21</v>
      </c>
      <c r="D89" s="5" t="s">
        <v>32</v>
      </c>
      <c r="E89" s="7">
        <v>44742</v>
      </c>
      <c r="F89" s="5" t="s">
        <v>6</v>
      </c>
      <c r="G89" s="5" t="s">
        <v>36</v>
      </c>
      <c r="H89" s="3" t="s">
        <v>10</v>
      </c>
      <c r="I89" s="4">
        <v>7.5</v>
      </c>
      <c r="J89" s="4">
        <v>9.5</v>
      </c>
      <c r="K89" t="s">
        <v>146</v>
      </c>
      <c r="L89">
        <v>1</v>
      </c>
      <c r="M89">
        <v>19950.075047172792</v>
      </c>
      <c r="N89" t="str">
        <f>VLOOKUP(H89,'Tree shrub sapling root eq'!$A$2:$C$12,3,)</f>
        <v>=0.25*X6</v>
      </c>
      <c r="O89" t="str">
        <f t="shared" si="2"/>
        <v>=0.25*19950.0750471728</v>
      </c>
      <c r="P89" cm="1">
        <f t="array" ref="P89">eval_tr_dbh</f>
        <v>4987.5187617931997</v>
      </c>
      <c r="Q89" t="str">
        <f t="shared" si="3"/>
        <v>GM_14_NA_B2</v>
      </c>
    </row>
    <row r="90" spans="1:17" x14ac:dyDescent="0.15">
      <c r="A90" s="5" t="s">
        <v>18</v>
      </c>
      <c r="B90" s="5">
        <v>14</v>
      </c>
      <c r="C90" s="5" t="s">
        <v>21</v>
      </c>
      <c r="D90" s="5" t="s">
        <v>32</v>
      </c>
      <c r="E90" s="7">
        <v>44742</v>
      </c>
      <c r="F90" s="5" t="s">
        <v>6</v>
      </c>
      <c r="G90" s="5" t="s">
        <v>36</v>
      </c>
      <c r="H90" s="3" t="s">
        <v>10</v>
      </c>
      <c r="I90" s="4">
        <v>9</v>
      </c>
      <c r="J90" s="4">
        <v>10</v>
      </c>
      <c r="K90" t="s">
        <v>146</v>
      </c>
      <c r="L90">
        <v>1</v>
      </c>
      <c r="M90">
        <v>22426.481047355999</v>
      </c>
      <c r="N90" t="str">
        <f>VLOOKUP(H90,'Tree shrub sapling root eq'!$A$2:$C$12,3,)</f>
        <v>=0.25*X6</v>
      </c>
      <c r="O90" t="str">
        <f t="shared" si="2"/>
        <v>=0.25*22426.481047356</v>
      </c>
      <c r="P90" cm="1">
        <f t="array" ref="P90">eval_tr_dbh</f>
        <v>5606.6202618389998</v>
      </c>
      <c r="Q90" t="str">
        <f t="shared" si="3"/>
        <v>GM_14_NA_B2</v>
      </c>
    </row>
    <row r="91" spans="1:17" x14ac:dyDescent="0.15">
      <c r="A91" s="5" t="s">
        <v>18</v>
      </c>
      <c r="B91" s="5">
        <v>14</v>
      </c>
      <c r="C91" s="5" t="s">
        <v>21</v>
      </c>
      <c r="D91" s="5" t="s">
        <v>32</v>
      </c>
      <c r="E91" s="7">
        <v>44742</v>
      </c>
      <c r="F91" s="5" t="s">
        <v>9</v>
      </c>
      <c r="G91" s="5" t="s">
        <v>37</v>
      </c>
      <c r="H91" s="5" t="s">
        <v>10</v>
      </c>
      <c r="I91" s="4">
        <v>11.5</v>
      </c>
      <c r="J91" s="4">
        <v>12</v>
      </c>
      <c r="K91" t="s">
        <v>146</v>
      </c>
      <c r="L91">
        <v>1</v>
      </c>
      <c r="M91">
        <v>34051.296349522345</v>
      </c>
      <c r="N91" t="str">
        <f>VLOOKUP(H91,'Tree shrub sapling root eq'!$A$2:$C$12,3,)</f>
        <v>=0.25*X6</v>
      </c>
      <c r="O91" t="str">
        <f t="shared" si="2"/>
        <v>=0.25*34051.2963495223</v>
      </c>
      <c r="P91" cm="1">
        <f t="array" ref="P91">eval_tr_dbh</f>
        <v>8512.8240873805753</v>
      </c>
      <c r="Q91" t="str">
        <f t="shared" si="3"/>
        <v>GM_14_NA_B4</v>
      </c>
    </row>
    <row r="92" spans="1:17" x14ac:dyDescent="0.15">
      <c r="A92" s="5" t="s">
        <v>18</v>
      </c>
      <c r="B92" s="5">
        <v>14</v>
      </c>
      <c r="C92" s="5" t="s">
        <v>21</v>
      </c>
      <c r="D92" s="5" t="s">
        <v>32</v>
      </c>
      <c r="E92" s="7">
        <v>44742</v>
      </c>
      <c r="F92" s="5" t="s">
        <v>5</v>
      </c>
      <c r="G92" s="5" t="s">
        <v>35</v>
      </c>
      <c r="H92" s="5" t="s">
        <v>15</v>
      </c>
      <c r="I92" s="4">
        <v>11</v>
      </c>
      <c r="J92" s="4">
        <v>10.75</v>
      </c>
      <c r="K92" t="s">
        <v>146</v>
      </c>
      <c r="L92">
        <v>1</v>
      </c>
      <c r="M92">
        <v>35086.837512767182</v>
      </c>
      <c r="N92" t="str">
        <f>VLOOKUP(H92,'Tree shrub sapling root eq'!$A$2:$C$12,3,)</f>
        <v>=1.576*X6^0.615</v>
      </c>
      <c r="O92" t="str">
        <f t="shared" si="2"/>
        <v>=1.576*35086.8375127672^0.615</v>
      </c>
      <c r="P92" cm="1">
        <f t="array" ref="P92">eval_tr_dbh</f>
        <v>983.60315232365701</v>
      </c>
      <c r="Q92" t="str">
        <f t="shared" si="3"/>
        <v>GM_14_NA_B1</v>
      </c>
    </row>
    <row r="93" spans="1:17" x14ac:dyDescent="0.15">
      <c r="A93" s="5" t="s">
        <v>18</v>
      </c>
      <c r="B93" s="5">
        <v>14</v>
      </c>
      <c r="C93" s="5" t="s">
        <v>21</v>
      </c>
      <c r="D93" s="5" t="s">
        <v>32</v>
      </c>
      <c r="E93" s="7">
        <v>44742</v>
      </c>
      <c r="F93" s="5" t="s">
        <v>5</v>
      </c>
      <c r="G93" s="5" t="s">
        <v>35</v>
      </c>
      <c r="H93" s="3" t="s">
        <v>10</v>
      </c>
      <c r="I93" s="4">
        <v>11</v>
      </c>
      <c r="J93" s="4">
        <v>14.25</v>
      </c>
      <c r="K93" t="s">
        <v>146</v>
      </c>
      <c r="L93">
        <v>1</v>
      </c>
      <c r="M93">
        <v>50592.806582462814</v>
      </c>
      <c r="N93" t="str">
        <f>VLOOKUP(H93,'Tree shrub sapling root eq'!$A$2:$C$12,3,)</f>
        <v>=0.25*X6</v>
      </c>
      <c r="O93" t="str">
        <f t="shared" si="2"/>
        <v>=0.25*50592.8065824628</v>
      </c>
      <c r="P93" cm="1">
        <f t="array" ref="P93">eval_tr_dbh</f>
        <v>12648.2016456157</v>
      </c>
      <c r="Q93" t="str">
        <f t="shared" si="3"/>
        <v>GM_14_NA_B1</v>
      </c>
    </row>
    <row r="94" spans="1:17" x14ac:dyDescent="0.15">
      <c r="A94" s="5" t="s">
        <v>18</v>
      </c>
      <c r="B94" s="5">
        <v>14</v>
      </c>
      <c r="C94" s="5" t="s">
        <v>21</v>
      </c>
      <c r="D94" s="5" t="s">
        <v>32</v>
      </c>
      <c r="E94" s="7">
        <v>44742</v>
      </c>
      <c r="F94" s="5" t="s">
        <v>5</v>
      </c>
      <c r="G94" s="5" t="s">
        <v>35</v>
      </c>
      <c r="H94" s="3" t="s">
        <v>10</v>
      </c>
      <c r="I94" s="4">
        <v>11</v>
      </c>
      <c r="J94" s="4">
        <v>15.25</v>
      </c>
      <c r="K94" t="s">
        <v>146</v>
      </c>
      <c r="L94">
        <v>1</v>
      </c>
      <c r="M94">
        <v>59183.664178583953</v>
      </c>
      <c r="N94" t="str">
        <f>VLOOKUP(H94,'Tree shrub sapling root eq'!$A$2:$C$12,3,)</f>
        <v>=0.25*X6</v>
      </c>
      <c r="O94" t="str">
        <f t="shared" si="2"/>
        <v>=0.25*59183.664178584</v>
      </c>
      <c r="P94" cm="1">
        <f t="array" ref="P94">eval_tr_dbh</f>
        <v>14795.916044645999</v>
      </c>
      <c r="Q94" t="str">
        <f t="shared" si="3"/>
        <v>GM_14_NA_B1</v>
      </c>
    </row>
    <row r="95" spans="1:17" x14ac:dyDescent="0.15">
      <c r="A95" s="5" t="s">
        <v>18</v>
      </c>
      <c r="B95" s="5">
        <v>14</v>
      </c>
      <c r="C95" s="5" t="s">
        <v>21</v>
      </c>
      <c r="D95" s="5" t="s">
        <v>32</v>
      </c>
      <c r="E95" s="7">
        <v>44742</v>
      </c>
      <c r="F95" s="5" t="s">
        <v>7</v>
      </c>
      <c r="G95" s="5" t="s">
        <v>34</v>
      </c>
      <c r="H95" s="3" t="s">
        <v>10</v>
      </c>
      <c r="I95" s="4">
        <v>12</v>
      </c>
      <c r="J95" s="4">
        <v>16</v>
      </c>
      <c r="K95" t="s">
        <v>146</v>
      </c>
      <c r="L95">
        <v>1</v>
      </c>
      <c r="M95">
        <v>66145.129655790064</v>
      </c>
      <c r="N95" t="str">
        <f>VLOOKUP(H95,'Tree shrub sapling root eq'!$A$2:$C$12,3,)</f>
        <v>=0.25*X6</v>
      </c>
      <c r="O95" t="str">
        <f t="shared" si="2"/>
        <v>=0.25*66145.1296557901</v>
      </c>
      <c r="P95" cm="1">
        <f t="array" ref="P95">eval_tr_dbh</f>
        <v>16536.282413947523</v>
      </c>
      <c r="Q95" t="str">
        <f t="shared" si="3"/>
        <v>GM_14_NA_B3</v>
      </c>
    </row>
    <row r="96" spans="1:17" x14ac:dyDescent="0.15">
      <c r="A96" s="5" t="s">
        <v>18</v>
      </c>
      <c r="B96" s="5">
        <v>14</v>
      </c>
      <c r="C96" s="5" t="s">
        <v>21</v>
      </c>
      <c r="D96" s="5" t="s">
        <v>32</v>
      </c>
      <c r="E96" s="7">
        <v>44742</v>
      </c>
      <c r="F96" s="5" t="s">
        <v>9</v>
      </c>
      <c r="G96" s="5" t="s">
        <v>37</v>
      </c>
      <c r="H96" s="3" t="s">
        <v>10</v>
      </c>
      <c r="I96" s="4">
        <v>13</v>
      </c>
      <c r="J96" s="4">
        <v>16.75</v>
      </c>
      <c r="K96" t="s">
        <v>146</v>
      </c>
      <c r="L96">
        <v>1</v>
      </c>
      <c r="M96">
        <v>73560.064397047827</v>
      </c>
      <c r="N96" t="str">
        <f>VLOOKUP(H96,'Tree shrub sapling root eq'!$A$2:$C$12,3,)</f>
        <v>=0.25*X6</v>
      </c>
      <c r="O96" t="str">
        <f t="shared" si="2"/>
        <v>=0.25*73560.0643970478</v>
      </c>
      <c r="P96" cm="1">
        <f t="array" ref="P96">eval_tr_dbh</f>
        <v>18390.016099261949</v>
      </c>
      <c r="Q96" t="str">
        <f t="shared" si="3"/>
        <v>GM_14_NA_B4</v>
      </c>
    </row>
    <row r="97" spans="1:17" x14ac:dyDescent="0.15">
      <c r="A97" s="5" t="s">
        <v>18</v>
      </c>
      <c r="B97" s="5">
        <v>15</v>
      </c>
      <c r="C97" s="5" t="s">
        <v>21</v>
      </c>
      <c r="D97" s="5" t="s">
        <v>32</v>
      </c>
      <c r="E97" s="7">
        <v>44741</v>
      </c>
      <c r="F97" s="5" t="s">
        <v>6</v>
      </c>
      <c r="G97" s="5" t="s">
        <v>36</v>
      </c>
      <c r="H97" s="3" t="s">
        <v>10</v>
      </c>
      <c r="I97" s="4">
        <v>3.5</v>
      </c>
      <c r="J97" s="4">
        <v>4</v>
      </c>
      <c r="K97" t="s">
        <v>150</v>
      </c>
      <c r="L97">
        <v>1</v>
      </c>
      <c r="M97">
        <v>2879.0111589721196</v>
      </c>
      <c r="N97" t="str">
        <f>VLOOKUP(H97,'Tree shrub sapling root eq'!$A$2:$C$12,3,)</f>
        <v>=0.25*X6</v>
      </c>
      <c r="O97" t="str">
        <f t="shared" si="2"/>
        <v>=0.25*2879.01115897212</v>
      </c>
      <c r="P97" cm="1">
        <f t="array" ref="P97">eval_tr_dbh</f>
        <v>719.75278974303001</v>
      </c>
      <c r="Q97" t="str">
        <f t="shared" si="3"/>
        <v>GM_15_NA_B2</v>
      </c>
    </row>
    <row r="98" spans="1:17" x14ac:dyDescent="0.15">
      <c r="A98" s="5" t="s">
        <v>18</v>
      </c>
      <c r="B98" s="5">
        <v>15</v>
      </c>
      <c r="C98" s="5" t="s">
        <v>21</v>
      </c>
      <c r="D98" s="5" t="s">
        <v>32</v>
      </c>
      <c r="E98" s="7">
        <v>44741</v>
      </c>
      <c r="F98" s="5" t="s">
        <v>7</v>
      </c>
      <c r="G98" s="5" t="s">
        <v>34</v>
      </c>
      <c r="H98" s="3" t="s">
        <v>10</v>
      </c>
      <c r="I98" s="4">
        <v>5</v>
      </c>
      <c r="J98" s="4">
        <v>5</v>
      </c>
      <c r="K98" t="s">
        <v>150</v>
      </c>
      <c r="L98">
        <v>1</v>
      </c>
      <c r="M98">
        <v>4708.7989898844462</v>
      </c>
      <c r="N98" t="str">
        <f>VLOOKUP(H98,'Tree shrub sapling root eq'!$A$2:$C$12,3,)</f>
        <v>=0.25*X6</v>
      </c>
      <c r="O98" t="str">
        <f t="shared" si="2"/>
        <v>=0.25*4708.79898988445</v>
      </c>
      <c r="P98" cm="1">
        <f t="array" ref="P98">eval_tr_dbh</f>
        <v>1177.1997474711125</v>
      </c>
      <c r="Q98" t="str">
        <f t="shared" si="3"/>
        <v>GM_15_NA_B3</v>
      </c>
    </row>
    <row r="99" spans="1:17" x14ac:dyDescent="0.15">
      <c r="A99" s="5" t="s">
        <v>18</v>
      </c>
      <c r="B99" s="5">
        <v>15</v>
      </c>
      <c r="C99" s="5" t="s">
        <v>21</v>
      </c>
      <c r="D99" s="5" t="s">
        <v>32</v>
      </c>
      <c r="E99" s="7">
        <v>44741</v>
      </c>
      <c r="F99" s="5" t="s">
        <v>6</v>
      </c>
      <c r="G99" s="5" t="s">
        <v>36</v>
      </c>
      <c r="H99" s="3" t="s">
        <v>10</v>
      </c>
      <c r="I99" s="4">
        <v>4</v>
      </c>
      <c r="J99" s="4">
        <v>5</v>
      </c>
      <c r="K99" t="s">
        <v>150</v>
      </c>
      <c r="L99">
        <v>1</v>
      </c>
      <c r="M99">
        <v>4708.7989898844462</v>
      </c>
      <c r="N99" t="str">
        <f>VLOOKUP(H99,'Tree shrub sapling root eq'!$A$2:$C$12,3,)</f>
        <v>=0.25*X6</v>
      </c>
      <c r="O99" t="str">
        <f t="shared" si="2"/>
        <v>=0.25*4708.79898988445</v>
      </c>
      <c r="P99" cm="1">
        <f t="array" ref="P99">eval_tr_dbh</f>
        <v>1177.1997474711125</v>
      </c>
      <c r="Q99" t="str">
        <f t="shared" si="3"/>
        <v>GM_15_NA_B2</v>
      </c>
    </row>
    <row r="100" spans="1:17" x14ac:dyDescent="0.15">
      <c r="A100" s="5" t="s">
        <v>18</v>
      </c>
      <c r="B100" s="5">
        <v>15</v>
      </c>
      <c r="C100" s="5" t="s">
        <v>21</v>
      </c>
      <c r="D100" s="5" t="s">
        <v>32</v>
      </c>
      <c r="E100" s="7">
        <v>44741</v>
      </c>
      <c r="F100" s="5" t="s">
        <v>5</v>
      </c>
      <c r="G100" s="5" t="s">
        <v>35</v>
      </c>
      <c r="H100" s="3" t="s">
        <v>10</v>
      </c>
      <c r="I100" s="4">
        <v>5.5</v>
      </c>
      <c r="J100" s="4">
        <v>5.25</v>
      </c>
      <c r="K100" t="s">
        <v>150</v>
      </c>
      <c r="L100">
        <v>1</v>
      </c>
      <c r="M100">
        <v>5247.4294354510921</v>
      </c>
      <c r="N100" t="str">
        <f>VLOOKUP(H100,'Tree shrub sapling root eq'!$A$2:$C$12,3,)</f>
        <v>=0.25*X6</v>
      </c>
      <c r="O100" t="str">
        <f t="shared" si="2"/>
        <v>=0.25*5247.42943545109</v>
      </c>
      <c r="P100" cm="1">
        <f t="array" ref="P100">eval_tr_dbh</f>
        <v>1311.8573588627726</v>
      </c>
      <c r="Q100" t="str">
        <f t="shared" si="3"/>
        <v>GM_15_NA_B1</v>
      </c>
    </row>
    <row r="101" spans="1:17" x14ac:dyDescent="0.15">
      <c r="A101" s="5" t="s">
        <v>18</v>
      </c>
      <c r="B101" s="5">
        <v>15</v>
      </c>
      <c r="C101" s="5" t="s">
        <v>21</v>
      </c>
      <c r="D101" s="5" t="s">
        <v>32</v>
      </c>
      <c r="E101" s="7">
        <v>44741</v>
      </c>
      <c r="F101" s="5" t="s">
        <v>6</v>
      </c>
      <c r="G101" s="5" t="s">
        <v>36</v>
      </c>
      <c r="H101" s="3" t="s">
        <v>10</v>
      </c>
      <c r="I101" s="4">
        <v>5</v>
      </c>
      <c r="J101" s="4">
        <v>6.5</v>
      </c>
      <c r="K101" t="s">
        <v>150</v>
      </c>
      <c r="L101">
        <v>1</v>
      </c>
      <c r="M101">
        <v>8455.062918442316</v>
      </c>
      <c r="N101" t="str">
        <f>VLOOKUP(H101,'Tree shrub sapling root eq'!$A$2:$C$12,3,)</f>
        <v>=0.25*X6</v>
      </c>
      <c r="O101" t="str">
        <f t="shared" si="2"/>
        <v>=0.25*8455.06291844232</v>
      </c>
      <c r="P101" cm="1">
        <f t="array" ref="P101">eval_tr_dbh</f>
        <v>2113.7657296105799</v>
      </c>
      <c r="Q101" t="str">
        <f t="shared" si="3"/>
        <v>GM_15_NA_B2</v>
      </c>
    </row>
    <row r="102" spans="1:17" x14ac:dyDescent="0.15">
      <c r="A102" s="5" t="s">
        <v>18</v>
      </c>
      <c r="B102" s="5">
        <v>15</v>
      </c>
      <c r="C102" s="5" t="s">
        <v>21</v>
      </c>
      <c r="D102" s="5" t="s">
        <v>32</v>
      </c>
      <c r="E102" s="7">
        <v>44741</v>
      </c>
      <c r="F102" s="5" t="s">
        <v>5</v>
      </c>
      <c r="G102" s="5" t="s">
        <v>35</v>
      </c>
      <c r="H102" s="3" t="s">
        <v>10</v>
      </c>
      <c r="I102" s="4">
        <v>7</v>
      </c>
      <c r="J102" s="4">
        <v>8</v>
      </c>
      <c r="K102" t="s">
        <v>150</v>
      </c>
      <c r="L102">
        <v>1</v>
      </c>
      <c r="M102">
        <v>13502.208090886372</v>
      </c>
      <c r="N102" t="str">
        <f>VLOOKUP(H102,'Tree shrub sapling root eq'!$A$2:$C$12,3,)</f>
        <v>=0.25*X6</v>
      </c>
      <c r="O102" t="str">
        <f t="shared" si="2"/>
        <v>=0.25*13502.2080908864</v>
      </c>
      <c r="P102" cm="1">
        <f t="array" ref="P102">eval_tr_dbh</f>
        <v>3375.5520227216002</v>
      </c>
      <c r="Q102" t="str">
        <f t="shared" si="3"/>
        <v>GM_15_NA_B1</v>
      </c>
    </row>
    <row r="103" spans="1:17" x14ac:dyDescent="0.15">
      <c r="A103" s="5" t="s">
        <v>18</v>
      </c>
      <c r="B103" s="5">
        <v>15</v>
      </c>
      <c r="C103" s="5" t="s">
        <v>21</v>
      </c>
      <c r="D103" s="5" t="s">
        <v>32</v>
      </c>
      <c r="E103" s="7">
        <v>44741</v>
      </c>
      <c r="F103" s="5" t="s">
        <v>5</v>
      </c>
      <c r="G103" s="5" t="s">
        <v>35</v>
      </c>
      <c r="H103" s="3" t="s">
        <v>10</v>
      </c>
      <c r="I103" s="4">
        <v>7</v>
      </c>
      <c r="J103" s="4">
        <v>9</v>
      </c>
      <c r="K103" t="s">
        <v>150</v>
      </c>
      <c r="L103">
        <v>1</v>
      </c>
      <c r="M103">
        <v>17639.404679580217</v>
      </c>
      <c r="N103" t="str">
        <f>VLOOKUP(H103,'Tree shrub sapling root eq'!$A$2:$C$12,3,)</f>
        <v>=0.25*X6</v>
      </c>
      <c r="O103" t="str">
        <f t="shared" si="2"/>
        <v>=0.25*17639.4046795802</v>
      </c>
      <c r="P103" cm="1">
        <f t="array" ref="P103">eval_tr_dbh</f>
        <v>4409.8511698950497</v>
      </c>
      <c r="Q103" t="str">
        <f t="shared" si="3"/>
        <v>GM_15_NA_B1</v>
      </c>
    </row>
    <row r="104" spans="1:17" x14ac:dyDescent="0.15">
      <c r="A104" s="5" t="s">
        <v>18</v>
      </c>
      <c r="B104" s="5">
        <v>15</v>
      </c>
      <c r="C104" s="5" t="s">
        <v>21</v>
      </c>
      <c r="D104" s="5" t="s">
        <v>32</v>
      </c>
      <c r="E104" s="7">
        <v>44741</v>
      </c>
      <c r="F104" s="5" t="s">
        <v>5</v>
      </c>
      <c r="G104" s="5" t="s">
        <v>35</v>
      </c>
      <c r="H104" s="3" t="s">
        <v>10</v>
      </c>
      <c r="I104" s="4">
        <v>5.5</v>
      </c>
      <c r="J104" s="4">
        <v>10</v>
      </c>
      <c r="K104" t="s">
        <v>150</v>
      </c>
      <c r="L104">
        <v>1</v>
      </c>
      <c r="M104">
        <v>22426.481047355999</v>
      </c>
      <c r="N104" t="str">
        <f>VLOOKUP(H104,'Tree shrub sapling root eq'!$A$2:$C$12,3,)</f>
        <v>=0.25*X6</v>
      </c>
      <c r="O104" t="str">
        <f t="shared" si="2"/>
        <v>=0.25*22426.481047356</v>
      </c>
      <c r="P104" cm="1">
        <f t="array" ref="P104">eval_tr_dbh</f>
        <v>5606.6202618389998</v>
      </c>
      <c r="Q104" t="str">
        <f t="shared" si="3"/>
        <v>GM_15_NA_B1</v>
      </c>
    </row>
    <row r="105" spans="1:17" x14ac:dyDescent="0.15">
      <c r="A105" s="5" t="s">
        <v>18</v>
      </c>
      <c r="B105" s="5">
        <v>15</v>
      </c>
      <c r="C105" s="5" t="s">
        <v>21</v>
      </c>
      <c r="D105" s="5" t="s">
        <v>32</v>
      </c>
      <c r="E105" s="7">
        <v>44741</v>
      </c>
      <c r="F105" s="5" t="s">
        <v>6</v>
      </c>
      <c r="G105" s="5" t="s">
        <v>36</v>
      </c>
      <c r="H105" s="3" t="s">
        <v>10</v>
      </c>
      <c r="I105" s="4">
        <v>12</v>
      </c>
      <c r="J105" s="4">
        <v>20</v>
      </c>
      <c r="K105" t="s">
        <v>150</v>
      </c>
      <c r="L105">
        <v>1</v>
      </c>
      <c r="M105">
        <v>111124.02061331196</v>
      </c>
      <c r="N105" t="str">
        <f>VLOOKUP(H105,'Tree shrub sapling root eq'!$A$2:$C$12,3,)</f>
        <v>=0.25*X6</v>
      </c>
      <c r="O105" t="str">
        <f t="shared" si="2"/>
        <v>=0.25*111124.020613312</v>
      </c>
      <c r="P105" cm="1">
        <f t="array" ref="P105">eval_tr_dbh</f>
        <v>27781.005153327998</v>
      </c>
      <c r="Q105" t="str">
        <f t="shared" si="3"/>
        <v>GM_15_NA_B2</v>
      </c>
    </row>
    <row r="106" spans="1:17" x14ac:dyDescent="0.15">
      <c r="A106" s="5" t="s">
        <v>18</v>
      </c>
      <c r="B106" s="5">
        <v>15</v>
      </c>
      <c r="C106" s="5" t="s">
        <v>21</v>
      </c>
      <c r="D106" s="5" t="s">
        <v>32</v>
      </c>
      <c r="E106" s="7">
        <v>44741</v>
      </c>
      <c r="F106" s="5" t="s">
        <v>9</v>
      </c>
      <c r="G106" s="5" t="s">
        <v>37</v>
      </c>
      <c r="H106" s="5" t="s">
        <v>21</v>
      </c>
      <c r="I106" s="4" t="s">
        <v>4</v>
      </c>
      <c r="J106" s="4" t="s">
        <v>4</v>
      </c>
      <c r="K106" t="s">
        <v>150</v>
      </c>
      <c r="L106">
        <v>1</v>
      </c>
      <c r="M106" t="e">
        <v>#N/A</v>
      </c>
      <c r="N106" t="e">
        <f>VLOOKUP(H106,'Tree shrub sapling root eq'!$A$2:$C$12,3,)</f>
        <v>#N/A</v>
      </c>
      <c r="O106" t="e">
        <f t="shared" si="2"/>
        <v>#N/A</v>
      </c>
      <c r="P106" t="e" cm="1">
        <f t="array" ref="P106">eval_tr_dbh</f>
        <v>#N/A</v>
      </c>
      <c r="Q106" t="str">
        <f t="shared" si="3"/>
        <v>GM_15_NA_B4</v>
      </c>
    </row>
    <row r="107" spans="1:17" x14ac:dyDescent="0.15">
      <c r="A107" s="5" t="s">
        <v>18</v>
      </c>
      <c r="B107" s="5">
        <v>16</v>
      </c>
      <c r="C107" s="5" t="s">
        <v>21</v>
      </c>
      <c r="D107" s="5" t="s">
        <v>32</v>
      </c>
      <c r="E107" s="7">
        <v>44756</v>
      </c>
      <c r="F107" s="5" t="s">
        <v>5</v>
      </c>
      <c r="G107" s="5" t="s">
        <v>35</v>
      </c>
      <c r="H107" s="3" t="s">
        <v>10</v>
      </c>
      <c r="I107" s="4">
        <v>5</v>
      </c>
      <c r="J107" s="4">
        <v>5.5</v>
      </c>
      <c r="K107" t="s">
        <v>153</v>
      </c>
      <c r="L107">
        <v>1</v>
      </c>
      <c r="M107">
        <v>5819.6547415251471</v>
      </c>
      <c r="N107" t="str">
        <f>VLOOKUP(H107,'Tree shrub sapling root eq'!$A$2:$C$12,3,)</f>
        <v>=0.25*X6</v>
      </c>
      <c r="O107" t="str">
        <f t="shared" si="2"/>
        <v>=0.25*5819.65474152515</v>
      </c>
      <c r="P107" cm="1">
        <f t="array" ref="P107">eval_tr_dbh</f>
        <v>1454.9136853812875</v>
      </c>
      <c r="Q107" t="str">
        <f t="shared" si="3"/>
        <v>GM_16_NA_B1</v>
      </c>
    </row>
    <row r="108" spans="1:17" x14ac:dyDescent="0.15">
      <c r="A108" s="5" t="s">
        <v>18</v>
      </c>
      <c r="B108" s="5">
        <v>16</v>
      </c>
      <c r="C108" s="5" t="s">
        <v>21</v>
      </c>
      <c r="D108" s="5" t="s">
        <v>32</v>
      </c>
      <c r="E108" s="7">
        <v>44756</v>
      </c>
      <c r="F108" s="5" t="s">
        <v>5</v>
      </c>
      <c r="G108" s="5" t="s">
        <v>35</v>
      </c>
      <c r="H108" s="3" t="s">
        <v>10</v>
      </c>
      <c r="I108" s="4">
        <v>4</v>
      </c>
      <c r="J108" s="4">
        <v>6.5</v>
      </c>
      <c r="K108" t="s">
        <v>153</v>
      </c>
      <c r="L108">
        <v>1</v>
      </c>
      <c r="M108">
        <v>8455.062918442316</v>
      </c>
      <c r="N108" t="str">
        <f>VLOOKUP(H108,'Tree shrub sapling root eq'!$A$2:$C$12,3,)</f>
        <v>=0.25*X6</v>
      </c>
      <c r="O108" t="str">
        <f t="shared" si="2"/>
        <v>=0.25*8455.06291844232</v>
      </c>
      <c r="P108" cm="1">
        <f t="array" ref="P108">eval_tr_dbh</f>
        <v>2113.7657296105799</v>
      </c>
      <c r="Q108" t="str">
        <f t="shared" si="3"/>
        <v>GM_16_NA_B1</v>
      </c>
    </row>
    <row r="109" spans="1:17" x14ac:dyDescent="0.15">
      <c r="A109" s="5" t="s">
        <v>18</v>
      </c>
      <c r="B109" s="5">
        <v>16</v>
      </c>
      <c r="C109" s="5" t="s">
        <v>21</v>
      </c>
      <c r="D109" s="5" t="s">
        <v>32</v>
      </c>
      <c r="E109" s="7">
        <v>44756</v>
      </c>
      <c r="F109" s="5" t="s">
        <v>5</v>
      </c>
      <c r="G109" s="5" t="s">
        <v>35</v>
      </c>
      <c r="H109" s="5" t="s">
        <v>14</v>
      </c>
      <c r="I109" s="4">
        <v>7</v>
      </c>
      <c r="J109" s="4">
        <v>6.5</v>
      </c>
      <c r="K109" t="s">
        <v>153</v>
      </c>
      <c r="L109">
        <v>1</v>
      </c>
      <c r="M109">
        <v>11712.906150440074</v>
      </c>
      <c r="N109" t="str">
        <f>VLOOKUP(H109,'Tree shrub sapling root eq'!$A$2:$C$12,3,)</f>
        <v>=1.576*X6^0.615</v>
      </c>
      <c r="O109" t="str">
        <f t="shared" si="2"/>
        <v>=1.576*11712.9061504401^0.615</v>
      </c>
      <c r="P109" cm="1">
        <f t="array" ref="P109">eval_tr_dbh</f>
        <v>500.9391577238095</v>
      </c>
      <c r="Q109" t="str">
        <f t="shared" si="3"/>
        <v>GM_16_NA_B1</v>
      </c>
    </row>
    <row r="110" spans="1:17" x14ac:dyDescent="0.15">
      <c r="A110" s="5" t="s">
        <v>18</v>
      </c>
      <c r="B110" s="5">
        <v>16</v>
      </c>
      <c r="C110" s="5" t="s">
        <v>21</v>
      </c>
      <c r="D110" s="5" t="s">
        <v>32</v>
      </c>
      <c r="E110" s="7">
        <v>44756</v>
      </c>
      <c r="F110" s="6" t="s">
        <v>7</v>
      </c>
      <c r="G110" s="6" t="s">
        <v>34</v>
      </c>
      <c r="H110" s="3" t="s">
        <v>10</v>
      </c>
      <c r="I110" s="2">
        <v>8</v>
      </c>
      <c r="J110" s="2">
        <v>7.5</v>
      </c>
      <c r="K110" t="s">
        <v>153</v>
      </c>
      <c r="L110">
        <v>1</v>
      </c>
      <c r="M110">
        <v>11668.900257010284</v>
      </c>
      <c r="N110" t="str">
        <f>VLOOKUP(H110,'Tree shrub sapling root eq'!$A$2:$C$12,3,)</f>
        <v>=0.25*X6</v>
      </c>
      <c r="O110" t="str">
        <f t="shared" si="2"/>
        <v>=0.25*11668.9002570103</v>
      </c>
      <c r="P110" cm="1">
        <f t="array" ref="P110">eval_tr_dbh</f>
        <v>2917.2250642525751</v>
      </c>
      <c r="Q110" t="str">
        <f t="shared" si="3"/>
        <v>GM_16_NA_B3</v>
      </c>
    </row>
    <row r="111" spans="1:17" x14ac:dyDescent="0.15">
      <c r="A111" s="5" t="s">
        <v>18</v>
      </c>
      <c r="B111" s="5">
        <v>16</v>
      </c>
      <c r="C111" s="5" t="s">
        <v>21</v>
      </c>
      <c r="D111" s="5" t="s">
        <v>32</v>
      </c>
      <c r="E111" s="7">
        <v>44756</v>
      </c>
      <c r="F111" s="6" t="s">
        <v>9</v>
      </c>
      <c r="G111" s="6" t="s">
        <v>37</v>
      </c>
      <c r="H111" s="6" t="s">
        <v>10</v>
      </c>
      <c r="I111" s="2">
        <v>8</v>
      </c>
      <c r="J111" s="2">
        <v>8.75</v>
      </c>
      <c r="K111" t="s">
        <v>153</v>
      </c>
      <c r="L111">
        <v>1</v>
      </c>
      <c r="M111">
        <v>16545.211071519803</v>
      </c>
      <c r="N111" t="str">
        <f>VLOOKUP(H111,'Tree shrub sapling root eq'!$A$2:$C$12,3,)</f>
        <v>=0.25*X6</v>
      </c>
      <c r="O111" t="str">
        <f t="shared" si="2"/>
        <v>=0.25*16545.2110715198</v>
      </c>
      <c r="P111" cm="1">
        <f t="array" ref="P111">eval_tr_dbh</f>
        <v>4136.3027678799499</v>
      </c>
      <c r="Q111" t="str">
        <f t="shared" si="3"/>
        <v>GM_16_NA_B4</v>
      </c>
    </row>
    <row r="112" spans="1:17" x14ac:dyDescent="0.15">
      <c r="A112" s="5" t="s">
        <v>18</v>
      </c>
      <c r="B112" s="5">
        <v>16</v>
      </c>
      <c r="C112" s="5" t="s">
        <v>21</v>
      </c>
      <c r="D112" s="5" t="s">
        <v>32</v>
      </c>
      <c r="E112" s="7">
        <v>44756</v>
      </c>
      <c r="F112" s="6" t="s">
        <v>7</v>
      </c>
      <c r="G112" s="6" t="s">
        <v>34</v>
      </c>
      <c r="H112" s="3" t="s">
        <v>10</v>
      </c>
      <c r="I112" s="2">
        <v>7</v>
      </c>
      <c r="J112" s="2">
        <v>9.25</v>
      </c>
      <c r="K112" t="s">
        <v>153</v>
      </c>
      <c r="L112">
        <v>1</v>
      </c>
      <c r="M112">
        <v>18774.22332793858</v>
      </c>
      <c r="N112" t="str">
        <f>VLOOKUP(H112,'Tree shrub sapling root eq'!$A$2:$C$12,3,)</f>
        <v>=0.25*X6</v>
      </c>
      <c r="O112" t="str">
        <f t="shared" si="2"/>
        <v>=0.25*18774.2233279386</v>
      </c>
      <c r="P112" cm="1">
        <f t="array" ref="P112">eval_tr_dbh</f>
        <v>4693.5558319846496</v>
      </c>
      <c r="Q112" t="str">
        <f t="shared" si="3"/>
        <v>GM_16_NA_B3</v>
      </c>
    </row>
    <row r="113" spans="1:17" x14ac:dyDescent="0.15">
      <c r="A113" s="5" t="s">
        <v>18</v>
      </c>
      <c r="B113" s="5">
        <v>16</v>
      </c>
      <c r="C113" s="5" t="s">
        <v>21</v>
      </c>
      <c r="D113" s="5" t="s">
        <v>32</v>
      </c>
      <c r="E113" s="7">
        <v>44756</v>
      </c>
      <c r="F113" s="6" t="s">
        <v>6</v>
      </c>
      <c r="G113" s="6" t="s">
        <v>36</v>
      </c>
      <c r="H113" s="3" t="s">
        <v>10</v>
      </c>
      <c r="I113" s="2">
        <v>8.5</v>
      </c>
      <c r="J113" s="2">
        <v>10.5</v>
      </c>
      <c r="K113" t="s">
        <v>153</v>
      </c>
      <c r="L113">
        <v>1</v>
      </c>
      <c r="M113">
        <v>25071.774854189476</v>
      </c>
      <c r="N113" t="str">
        <f>VLOOKUP(H113,'Tree shrub sapling root eq'!$A$2:$C$12,3,)</f>
        <v>=0.25*X6</v>
      </c>
      <c r="O113" t="str">
        <f t="shared" si="2"/>
        <v>=0.25*25071.7748541895</v>
      </c>
      <c r="P113" cm="1">
        <f t="array" ref="P113">eval_tr_dbh</f>
        <v>6267.9437135473754</v>
      </c>
      <c r="Q113" t="str">
        <f t="shared" si="3"/>
        <v>GM_16_NA_B2</v>
      </c>
    </row>
    <row r="114" spans="1:17" x14ac:dyDescent="0.15">
      <c r="A114" s="5" t="s">
        <v>18</v>
      </c>
      <c r="B114" s="5">
        <v>16</v>
      </c>
      <c r="C114" s="5" t="s">
        <v>21</v>
      </c>
      <c r="D114" s="5" t="s">
        <v>32</v>
      </c>
      <c r="E114" s="7">
        <v>44756</v>
      </c>
      <c r="F114" s="6" t="s">
        <v>7</v>
      </c>
      <c r="G114" s="6" t="s">
        <v>34</v>
      </c>
      <c r="H114" s="3" t="s">
        <v>10</v>
      </c>
      <c r="I114" s="2">
        <v>8</v>
      </c>
      <c r="J114" s="2">
        <v>11</v>
      </c>
      <c r="K114" t="s">
        <v>153</v>
      </c>
      <c r="L114">
        <v>1</v>
      </c>
      <c r="M114">
        <v>27889.025811586031</v>
      </c>
      <c r="N114" t="str">
        <f>VLOOKUP(H114,'Tree shrub sapling root eq'!$A$2:$C$12,3,)</f>
        <v>=0.25*X6</v>
      </c>
      <c r="O114" t="str">
        <f t="shared" si="2"/>
        <v>=0.25*27889.025811586</v>
      </c>
      <c r="P114" cm="1">
        <f t="array" ref="P114">eval_tr_dbh</f>
        <v>6972.2564528965004</v>
      </c>
      <c r="Q114" t="str">
        <f t="shared" si="3"/>
        <v>GM_16_NA_B3</v>
      </c>
    </row>
    <row r="115" spans="1:17" x14ac:dyDescent="0.15">
      <c r="A115" s="5" t="s">
        <v>18</v>
      </c>
      <c r="B115" s="5">
        <v>16</v>
      </c>
      <c r="C115" s="5" t="s">
        <v>21</v>
      </c>
      <c r="D115" s="5" t="s">
        <v>32</v>
      </c>
      <c r="E115" s="7">
        <v>44756</v>
      </c>
      <c r="F115" s="6" t="s">
        <v>9</v>
      </c>
      <c r="G115" s="6" t="s">
        <v>37</v>
      </c>
      <c r="H115" s="3" t="s">
        <v>10</v>
      </c>
      <c r="I115" s="2">
        <v>8</v>
      </c>
      <c r="J115" s="2">
        <v>11.25</v>
      </c>
      <c r="K115" t="s">
        <v>153</v>
      </c>
      <c r="L115">
        <v>1</v>
      </c>
      <c r="M115">
        <v>29363.073174310335</v>
      </c>
      <c r="N115" t="str">
        <f>VLOOKUP(H115,'Tree shrub sapling root eq'!$A$2:$C$12,3,)</f>
        <v>=0.25*X6</v>
      </c>
      <c r="O115" t="str">
        <f t="shared" si="2"/>
        <v>=0.25*29363.0731743103</v>
      </c>
      <c r="P115" cm="1">
        <f t="array" ref="P115">eval_tr_dbh</f>
        <v>7340.7682935775747</v>
      </c>
      <c r="Q115" t="str">
        <f t="shared" si="3"/>
        <v>GM_16_NA_B4</v>
      </c>
    </row>
    <row r="116" spans="1:17" x14ac:dyDescent="0.15">
      <c r="A116" s="5" t="s">
        <v>18</v>
      </c>
      <c r="B116" s="5">
        <v>16</v>
      </c>
      <c r="C116" s="5" t="s">
        <v>21</v>
      </c>
      <c r="D116" s="5" t="s">
        <v>32</v>
      </c>
      <c r="E116" s="7">
        <v>44756</v>
      </c>
      <c r="F116" s="6" t="s">
        <v>7</v>
      </c>
      <c r="G116" s="6" t="s">
        <v>34</v>
      </c>
      <c r="H116" s="3" t="s">
        <v>10</v>
      </c>
      <c r="I116" s="2">
        <v>9</v>
      </c>
      <c r="J116" s="2">
        <v>11.25</v>
      </c>
      <c r="K116" t="s">
        <v>153</v>
      </c>
      <c r="L116">
        <v>1</v>
      </c>
      <c r="M116">
        <v>29363.073174310335</v>
      </c>
      <c r="N116" t="str">
        <f>VLOOKUP(H116,'Tree shrub sapling root eq'!$A$2:$C$12,3,)</f>
        <v>=0.25*X6</v>
      </c>
      <c r="O116" t="str">
        <f t="shared" si="2"/>
        <v>=0.25*29363.0731743103</v>
      </c>
      <c r="P116" cm="1">
        <f t="array" ref="P116">eval_tr_dbh</f>
        <v>7340.7682935775747</v>
      </c>
      <c r="Q116" t="str">
        <f t="shared" si="3"/>
        <v>GM_16_NA_B3</v>
      </c>
    </row>
    <row r="117" spans="1:17" x14ac:dyDescent="0.15">
      <c r="A117" s="5" t="s">
        <v>18</v>
      </c>
      <c r="B117" s="5">
        <v>16</v>
      </c>
      <c r="C117" s="5" t="s">
        <v>21</v>
      </c>
      <c r="D117" s="5" t="s">
        <v>32</v>
      </c>
      <c r="E117" s="7">
        <v>44756</v>
      </c>
      <c r="F117" s="6" t="s">
        <v>7</v>
      </c>
      <c r="G117" s="6" t="s">
        <v>34</v>
      </c>
      <c r="H117" s="3" t="s">
        <v>10</v>
      </c>
      <c r="I117" s="2">
        <v>8.5</v>
      </c>
      <c r="J117" s="2">
        <v>11.5</v>
      </c>
      <c r="K117" t="s">
        <v>153</v>
      </c>
      <c r="L117">
        <v>1</v>
      </c>
      <c r="M117">
        <v>30881.226195893552</v>
      </c>
      <c r="N117" t="str">
        <f>VLOOKUP(H117,'Tree shrub sapling root eq'!$A$2:$C$12,3,)</f>
        <v>=0.25*X6</v>
      </c>
      <c r="O117" t="str">
        <f t="shared" si="2"/>
        <v>=0.25*30881.2261958936</v>
      </c>
      <c r="P117" cm="1">
        <f t="array" ref="P117">eval_tr_dbh</f>
        <v>7720.3065489733999</v>
      </c>
      <c r="Q117" t="str">
        <f t="shared" si="3"/>
        <v>GM_16_NA_B3</v>
      </c>
    </row>
    <row r="118" spans="1:17" x14ac:dyDescent="0.15">
      <c r="A118" s="5" t="s">
        <v>18</v>
      </c>
      <c r="B118" s="5">
        <v>16</v>
      </c>
      <c r="C118" s="5" t="s">
        <v>21</v>
      </c>
      <c r="D118" s="5" t="s">
        <v>32</v>
      </c>
      <c r="E118" s="7">
        <v>44756</v>
      </c>
      <c r="F118" s="6" t="s">
        <v>7</v>
      </c>
      <c r="G118" s="6" t="s">
        <v>34</v>
      </c>
      <c r="H118" s="3" t="s">
        <v>10</v>
      </c>
      <c r="I118" s="2">
        <v>9</v>
      </c>
      <c r="J118" s="2">
        <v>11.5</v>
      </c>
      <c r="K118" t="s">
        <v>153</v>
      </c>
      <c r="L118">
        <v>1</v>
      </c>
      <c r="M118">
        <v>30881.226195893552</v>
      </c>
      <c r="N118" t="str">
        <f>VLOOKUP(H118,'Tree shrub sapling root eq'!$A$2:$C$12,3,)</f>
        <v>=0.25*X6</v>
      </c>
      <c r="O118" t="str">
        <f t="shared" si="2"/>
        <v>=0.25*30881.2261958936</v>
      </c>
      <c r="P118" cm="1">
        <f t="array" ref="P118">eval_tr_dbh</f>
        <v>7720.3065489733999</v>
      </c>
      <c r="Q118" t="str">
        <f t="shared" si="3"/>
        <v>GM_16_NA_B3</v>
      </c>
    </row>
    <row r="119" spans="1:17" x14ac:dyDescent="0.15">
      <c r="A119" s="5" t="s">
        <v>18</v>
      </c>
      <c r="B119" s="5">
        <v>16</v>
      </c>
      <c r="C119" s="5" t="s">
        <v>21</v>
      </c>
      <c r="D119" s="5" t="s">
        <v>32</v>
      </c>
      <c r="E119" s="7">
        <v>44756</v>
      </c>
      <c r="F119" s="6" t="s">
        <v>7</v>
      </c>
      <c r="G119" s="6" t="s">
        <v>34</v>
      </c>
      <c r="H119" s="3" t="s">
        <v>10</v>
      </c>
      <c r="I119" s="2">
        <v>10</v>
      </c>
      <c r="J119" s="2">
        <v>11.75</v>
      </c>
      <c r="K119" t="s">
        <v>153</v>
      </c>
      <c r="L119">
        <v>1</v>
      </c>
      <c r="M119">
        <v>32443.847711060924</v>
      </c>
      <c r="N119" t="str">
        <f>VLOOKUP(H119,'Tree shrub sapling root eq'!$A$2:$C$12,3,)</f>
        <v>=0.25*X6</v>
      </c>
      <c r="O119" t="str">
        <f t="shared" si="2"/>
        <v>=0.25*32443.8477110609</v>
      </c>
      <c r="P119" cm="1">
        <f t="array" ref="P119">eval_tr_dbh</f>
        <v>8110.9619277652246</v>
      </c>
      <c r="Q119" t="str">
        <f t="shared" si="3"/>
        <v>GM_16_NA_B3</v>
      </c>
    </row>
    <row r="120" spans="1:17" x14ac:dyDescent="0.15">
      <c r="A120" s="5" t="s">
        <v>18</v>
      </c>
      <c r="B120" s="5">
        <v>16</v>
      </c>
      <c r="C120" s="5" t="s">
        <v>21</v>
      </c>
      <c r="D120" s="5" t="s">
        <v>32</v>
      </c>
      <c r="E120" s="7">
        <v>44756</v>
      </c>
      <c r="F120" s="5" t="s">
        <v>5</v>
      </c>
      <c r="G120" s="5" t="s">
        <v>35</v>
      </c>
      <c r="H120" s="3" t="s">
        <v>10</v>
      </c>
      <c r="I120" s="4">
        <v>7</v>
      </c>
      <c r="J120" s="4">
        <v>13</v>
      </c>
      <c r="K120" t="s">
        <v>153</v>
      </c>
      <c r="L120">
        <v>1</v>
      </c>
      <c r="M120">
        <v>40936.394779230584</v>
      </c>
      <c r="N120" t="str">
        <f>VLOOKUP(H120,'Tree shrub sapling root eq'!$A$2:$C$12,3,)</f>
        <v>=0.25*X6</v>
      </c>
      <c r="O120" t="str">
        <f t="shared" si="2"/>
        <v>=0.25*40936.3947792306</v>
      </c>
      <c r="P120" cm="1">
        <f t="array" ref="P120">eval_tr_dbh</f>
        <v>10234.09869480765</v>
      </c>
      <c r="Q120" t="str">
        <f t="shared" si="3"/>
        <v>GM_16_NA_B1</v>
      </c>
    </row>
    <row r="121" spans="1:17" x14ac:dyDescent="0.15">
      <c r="A121" s="5" t="s">
        <v>18</v>
      </c>
      <c r="B121" s="5">
        <v>16</v>
      </c>
      <c r="C121" s="5" t="s">
        <v>21</v>
      </c>
      <c r="D121" s="5" t="s">
        <v>32</v>
      </c>
      <c r="E121" s="7">
        <v>44756</v>
      </c>
      <c r="F121" s="6" t="s">
        <v>9</v>
      </c>
      <c r="G121" s="6" t="s">
        <v>37</v>
      </c>
      <c r="H121" s="3" t="s">
        <v>10</v>
      </c>
      <c r="I121" s="2">
        <v>9</v>
      </c>
      <c r="J121" s="2">
        <v>13</v>
      </c>
      <c r="K121" t="s">
        <v>153</v>
      </c>
      <c r="L121">
        <v>1</v>
      </c>
      <c r="M121">
        <v>40936.394779230584</v>
      </c>
      <c r="N121" t="str">
        <f>VLOOKUP(H121,'Tree shrub sapling root eq'!$A$2:$C$12,3,)</f>
        <v>=0.25*X6</v>
      </c>
      <c r="O121" t="str">
        <f t="shared" si="2"/>
        <v>=0.25*40936.3947792306</v>
      </c>
      <c r="P121" cm="1">
        <f t="array" ref="P121">eval_tr_dbh</f>
        <v>10234.09869480765</v>
      </c>
      <c r="Q121" t="str">
        <f t="shared" si="3"/>
        <v>GM_16_NA_B4</v>
      </c>
    </row>
    <row r="122" spans="1:17" x14ac:dyDescent="0.15">
      <c r="A122" s="5" t="s">
        <v>18</v>
      </c>
      <c r="B122" s="5">
        <v>16</v>
      </c>
      <c r="C122" s="5" t="s">
        <v>21</v>
      </c>
      <c r="D122" s="5" t="s">
        <v>32</v>
      </c>
      <c r="E122" s="7">
        <v>44756</v>
      </c>
      <c r="F122" s="5" t="s">
        <v>5</v>
      </c>
      <c r="G122" s="5" t="s">
        <v>35</v>
      </c>
      <c r="H122" s="3" t="s">
        <v>10</v>
      </c>
      <c r="I122" s="4">
        <v>10</v>
      </c>
      <c r="J122" s="4">
        <v>13.5</v>
      </c>
      <c r="K122" t="s">
        <v>153</v>
      </c>
      <c r="L122">
        <v>1</v>
      </c>
      <c r="M122">
        <v>44656.943186176934</v>
      </c>
      <c r="N122" t="str">
        <f>VLOOKUP(H122,'Tree shrub sapling root eq'!$A$2:$C$12,3,)</f>
        <v>=0.25*X6</v>
      </c>
      <c r="O122" t="str">
        <f t="shared" si="2"/>
        <v>=0.25*44656.9431861769</v>
      </c>
      <c r="P122" cm="1">
        <f t="array" ref="P122">eval_tr_dbh</f>
        <v>11164.235796544224</v>
      </c>
      <c r="Q122" t="str">
        <f t="shared" si="3"/>
        <v>GM_16_NA_B1</v>
      </c>
    </row>
    <row r="123" spans="1:17" x14ac:dyDescent="0.15">
      <c r="A123" s="5" t="s">
        <v>18</v>
      </c>
      <c r="B123" s="5">
        <v>16</v>
      </c>
      <c r="C123" s="5" t="s">
        <v>21</v>
      </c>
      <c r="D123" s="5" t="s">
        <v>32</v>
      </c>
      <c r="E123" s="7">
        <v>44756</v>
      </c>
      <c r="F123" s="6" t="s">
        <v>9</v>
      </c>
      <c r="G123" s="6" t="s">
        <v>37</v>
      </c>
      <c r="H123" s="3" t="s">
        <v>10</v>
      </c>
      <c r="I123" s="2">
        <v>10</v>
      </c>
      <c r="J123" s="2">
        <v>14</v>
      </c>
      <c r="K123" t="s">
        <v>153</v>
      </c>
      <c r="L123">
        <v>1</v>
      </c>
      <c r="M123">
        <v>48566.408743122432</v>
      </c>
      <c r="N123" t="str">
        <f>VLOOKUP(H123,'Tree shrub sapling root eq'!$A$2:$C$12,3,)</f>
        <v>=0.25*X6</v>
      </c>
      <c r="O123" t="str">
        <f t="shared" si="2"/>
        <v>=0.25*48566.4087431224</v>
      </c>
      <c r="P123" cm="1">
        <f t="array" ref="P123">eval_tr_dbh</f>
        <v>12141.602185780601</v>
      </c>
      <c r="Q123" t="str">
        <f t="shared" si="3"/>
        <v>GM_16_NA_B4</v>
      </c>
    </row>
    <row r="124" spans="1:17" x14ac:dyDescent="0.15">
      <c r="A124" s="5" t="s">
        <v>18</v>
      </c>
      <c r="B124" s="5">
        <v>16</v>
      </c>
      <c r="C124" s="5" t="s">
        <v>21</v>
      </c>
      <c r="D124" s="5" t="s">
        <v>32</v>
      </c>
      <c r="E124" s="7">
        <v>44756</v>
      </c>
      <c r="F124" s="6" t="s">
        <v>6</v>
      </c>
      <c r="G124" s="6" t="s">
        <v>36</v>
      </c>
      <c r="H124" s="3" t="s">
        <v>10</v>
      </c>
      <c r="I124" s="2">
        <v>12</v>
      </c>
      <c r="J124" s="2">
        <v>20.5</v>
      </c>
      <c r="K124" t="s">
        <v>153</v>
      </c>
      <c r="L124">
        <v>1</v>
      </c>
      <c r="M124">
        <v>117711.89058085489</v>
      </c>
      <c r="N124" t="str">
        <f>VLOOKUP(H124,'Tree shrub sapling root eq'!$A$2:$C$12,3,)</f>
        <v>=0.25*X6</v>
      </c>
      <c r="O124" t="str">
        <f t="shared" si="2"/>
        <v>=0.25*117711.890580855</v>
      </c>
      <c r="P124" cm="1">
        <f t="array" ref="P124">eval_tr_dbh</f>
        <v>29427.972645213751</v>
      </c>
      <c r="Q124" t="str">
        <f t="shared" si="3"/>
        <v>GM_16_NA_B2</v>
      </c>
    </row>
    <row r="125" spans="1:17" x14ac:dyDescent="0.15">
      <c r="A125" s="5" t="s">
        <v>18</v>
      </c>
      <c r="B125" s="5">
        <v>17</v>
      </c>
      <c r="C125" s="5" t="s">
        <v>21</v>
      </c>
      <c r="D125" s="5" t="s">
        <v>32</v>
      </c>
      <c r="E125" s="7">
        <v>44748</v>
      </c>
      <c r="F125" s="5" t="s">
        <v>9</v>
      </c>
      <c r="G125" s="5" t="s">
        <v>37</v>
      </c>
      <c r="H125" s="3" t="s">
        <v>10</v>
      </c>
      <c r="I125" s="4">
        <v>3.2</v>
      </c>
      <c r="J125" s="4">
        <v>3.6</v>
      </c>
      <c r="K125" t="s">
        <v>163</v>
      </c>
      <c r="L125">
        <v>2</v>
      </c>
      <c r="M125">
        <v>2286.761293133959</v>
      </c>
      <c r="N125" t="str">
        <f>VLOOKUP(H125,'Tree shrub sapling root eq'!$A$2:$C$12,3,)</f>
        <v>=0.25*X6</v>
      </c>
      <c r="O125" t="str">
        <f t="shared" si="2"/>
        <v>=0.25*2286.76129313396</v>
      </c>
      <c r="P125" cm="1">
        <f t="array" ref="P125">eval_tr_dbh</f>
        <v>571.69032328348999</v>
      </c>
      <c r="Q125" t="str">
        <f t="shared" si="3"/>
        <v>GM_17_NA_B4</v>
      </c>
    </row>
    <row r="126" spans="1:17" x14ac:dyDescent="0.15">
      <c r="A126" s="5" t="s">
        <v>18</v>
      </c>
      <c r="B126" s="5">
        <v>17</v>
      </c>
      <c r="C126" s="5" t="s">
        <v>21</v>
      </c>
      <c r="D126" s="5" t="s">
        <v>32</v>
      </c>
      <c r="E126" s="7">
        <v>44748</v>
      </c>
      <c r="F126" s="5" t="s">
        <v>7</v>
      </c>
      <c r="G126" s="5" t="s">
        <v>34</v>
      </c>
      <c r="H126" s="3" t="s">
        <v>10</v>
      </c>
      <c r="I126" s="4">
        <v>3.3</v>
      </c>
      <c r="J126" s="4">
        <v>4.0999999999999996</v>
      </c>
      <c r="K126" t="s">
        <v>163</v>
      </c>
      <c r="L126">
        <v>2</v>
      </c>
      <c r="M126">
        <v>3039.2512612293908</v>
      </c>
      <c r="N126" t="str">
        <f>VLOOKUP(H126,'Tree shrub sapling root eq'!$A$2:$C$12,3,)</f>
        <v>=0.25*X6</v>
      </c>
      <c r="O126" t="str">
        <f t="shared" si="2"/>
        <v>=0.25*3039.25126122939</v>
      </c>
      <c r="P126" cm="1">
        <f t="array" ref="P126">eval_tr_dbh</f>
        <v>759.81281530734748</v>
      </c>
      <c r="Q126" t="str">
        <f t="shared" si="3"/>
        <v>GM_17_NA_B3</v>
      </c>
    </row>
    <row r="127" spans="1:17" x14ac:dyDescent="0.15">
      <c r="A127" s="5" t="s">
        <v>18</v>
      </c>
      <c r="B127" s="5">
        <v>17</v>
      </c>
      <c r="C127" s="5" t="s">
        <v>21</v>
      </c>
      <c r="D127" s="5" t="s">
        <v>32</v>
      </c>
      <c r="E127" s="7">
        <v>44748</v>
      </c>
      <c r="F127" s="5" t="s">
        <v>9</v>
      </c>
      <c r="G127" s="5" t="s">
        <v>37</v>
      </c>
      <c r="H127" s="3" t="s">
        <v>10</v>
      </c>
      <c r="I127" s="4">
        <v>3.3</v>
      </c>
      <c r="J127" s="4">
        <v>4.5</v>
      </c>
      <c r="K127" t="s">
        <v>163</v>
      </c>
      <c r="L127">
        <v>2</v>
      </c>
      <c r="M127">
        <v>3730.1089548214127</v>
      </c>
      <c r="N127" t="str">
        <f>VLOOKUP(H127,'Tree shrub sapling root eq'!$A$2:$C$12,3,)</f>
        <v>=0.25*X6</v>
      </c>
      <c r="O127" t="str">
        <f t="shared" si="2"/>
        <v>=0.25*3730.10895482141</v>
      </c>
      <c r="P127" cm="1">
        <f t="array" ref="P127">eval_tr_dbh</f>
        <v>932.52723870535249</v>
      </c>
      <c r="Q127" t="str">
        <f t="shared" si="3"/>
        <v>GM_17_NA_B4</v>
      </c>
    </row>
    <row r="128" spans="1:17" x14ac:dyDescent="0.15">
      <c r="A128" s="5" t="s">
        <v>18</v>
      </c>
      <c r="B128" s="5">
        <v>17</v>
      </c>
      <c r="C128" s="5" t="s">
        <v>21</v>
      </c>
      <c r="D128" s="5" t="s">
        <v>32</v>
      </c>
      <c r="E128" s="7">
        <v>44748</v>
      </c>
      <c r="F128" s="5" t="s">
        <v>7</v>
      </c>
      <c r="G128" s="5" t="s">
        <v>34</v>
      </c>
      <c r="H128" s="3" t="s">
        <v>10</v>
      </c>
      <c r="I128" s="4">
        <v>3</v>
      </c>
      <c r="J128" s="4">
        <v>4.7</v>
      </c>
      <c r="K128" t="s">
        <v>163</v>
      </c>
      <c r="L128">
        <v>2</v>
      </c>
      <c r="M128">
        <v>4106.0123862868741</v>
      </c>
      <c r="N128" t="str">
        <f>VLOOKUP(H128,'Tree shrub sapling root eq'!$A$2:$C$12,3,)</f>
        <v>=0.25*X6</v>
      </c>
      <c r="O128" t="str">
        <f t="shared" si="2"/>
        <v>=0.25*4106.01238628687</v>
      </c>
      <c r="P128" cm="1">
        <f t="array" ref="P128">eval_tr_dbh</f>
        <v>1026.5030965717176</v>
      </c>
      <c r="Q128" t="str">
        <f t="shared" si="3"/>
        <v>GM_17_NA_B3</v>
      </c>
    </row>
    <row r="129" spans="1:17" x14ac:dyDescent="0.15">
      <c r="A129" s="5" t="s">
        <v>18</v>
      </c>
      <c r="B129" s="5">
        <v>17</v>
      </c>
      <c r="C129" s="5" t="s">
        <v>21</v>
      </c>
      <c r="D129" s="5" t="s">
        <v>32</v>
      </c>
      <c r="E129" s="7">
        <v>44748</v>
      </c>
      <c r="F129" s="5" t="s">
        <v>7</v>
      </c>
      <c r="G129" s="5" t="s">
        <v>34</v>
      </c>
      <c r="H129" s="3" t="s">
        <v>10</v>
      </c>
      <c r="I129" s="4">
        <v>3.8</v>
      </c>
      <c r="J129" s="4">
        <v>5.0999999999999996</v>
      </c>
      <c r="K129" t="s">
        <v>163</v>
      </c>
      <c r="L129">
        <v>2</v>
      </c>
      <c r="M129">
        <v>4920.2546781183783</v>
      </c>
      <c r="N129" t="str">
        <f>VLOOKUP(H129,'Tree shrub sapling root eq'!$A$2:$C$12,3,)</f>
        <v>=0.25*X6</v>
      </c>
      <c r="O129" t="str">
        <f t="shared" si="2"/>
        <v>=0.25*4920.25467811838</v>
      </c>
      <c r="P129" cm="1">
        <f t="array" ref="P129">eval_tr_dbh</f>
        <v>1230.063669529595</v>
      </c>
      <c r="Q129" t="str">
        <f t="shared" si="3"/>
        <v>GM_17_NA_B3</v>
      </c>
    </row>
    <row r="130" spans="1:17" x14ac:dyDescent="0.15">
      <c r="A130" s="5" t="s">
        <v>18</v>
      </c>
      <c r="B130" s="5">
        <v>17</v>
      </c>
      <c r="C130" s="5" t="s">
        <v>21</v>
      </c>
      <c r="D130" s="5" t="s">
        <v>32</v>
      </c>
      <c r="E130" s="7">
        <v>44748</v>
      </c>
      <c r="F130" s="5" t="s">
        <v>7</v>
      </c>
      <c r="G130" s="5" t="s">
        <v>34</v>
      </c>
      <c r="H130" s="3" t="s">
        <v>10</v>
      </c>
      <c r="I130" s="4">
        <v>4</v>
      </c>
      <c r="J130" s="4">
        <v>5.7</v>
      </c>
      <c r="K130" t="s">
        <v>163</v>
      </c>
      <c r="L130">
        <v>2</v>
      </c>
      <c r="M130">
        <v>6301.9844850661711</v>
      </c>
      <c r="N130" t="str">
        <f>VLOOKUP(H130,'Tree shrub sapling root eq'!$A$2:$C$12,3,)</f>
        <v>=0.25*X6</v>
      </c>
      <c r="O130" t="str">
        <f t="shared" si="2"/>
        <v>=0.25*6301.98448506617</v>
      </c>
      <c r="P130" cm="1">
        <f t="array" ref="P130">eval_tr_dbh</f>
        <v>1575.4961212665426</v>
      </c>
      <c r="Q130" t="str">
        <f t="shared" si="3"/>
        <v>GM_17_NA_B3</v>
      </c>
    </row>
    <row r="131" spans="1:17" x14ac:dyDescent="0.15">
      <c r="A131" s="5" t="s">
        <v>18</v>
      </c>
      <c r="B131" s="5">
        <v>17</v>
      </c>
      <c r="C131" s="5" t="s">
        <v>21</v>
      </c>
      <c r="D131" s="5" t="s">
        <v>32</v>
      </c>
      <c r="E131" s="7">
        <v>44748</v>
      </c>
      <c r="F131" s="5" t="s">
        <v>5</v>
      </c>
      <c r="G131" s="5" t="s">
        <v>35</v>
      </c>
      <c r="H131" s="3" t="s">
        <v>10</v>
      </c>
      <c r="I131" s="4">
        <v>3.3</v>
      </c>
      <c r="J131" s="4">
        <v>6.1</v>
      </c>
      <c r="K131" t="s">
        <v>163</v>
      </c>
      <c r="L131">
        <v>2</v>
      </c>
      <c r="M131">
        <v>7333.2496753482665</v>
      </c>
      <c r="N131" t="str">
        <f>VLOOKUP(H131,'Tree shrub sapling root eq'!$A$2:$C$12,3,)</f>
        <v>=0.25*X6</v>
      </c>
      <c r="O131" t="str">
        <f t="shared" ref="O131:O194" si="4">SUBSTITUTE(N131,"X6",M131)</f>
        <v>=0.25*7333.24967534827</v>
      </c>
      <c r="P131" cm="1">
        <f t="array" ref="P131">eval_tr_dbh</f>
        <v>1833.3124188370675</v>
      </c>
      <c r="Q131" t="str">
        <f t="shared" ref="Q131:Q194" si="5">A131&amp;"_"&amp;B131&amp;"_"&amp;C131&amp;"_"&amp;G131</f>
        <v>GM_17_NA_B1</v>
      </c>
    </row>
    <row r="132" spans="1:17" x14ac:dyDescent="0.15">
      <c r="A132" s="5" t="s">
        <v>18</v>
      </c>
      <c r="B132" s="5">
        <v>17</v>
      </c>
      <c r="C132" s="5" t="s">
        <v>21</v>
      </c>
      <c r="D132" s="5" t="s">
        <v>32</v>
      </c>
      <c r="E132" s="7">
        <v>44748</v>
      </c>
      <c r="F132" s="5" t="s">
        <v>6</v>
      </c>
      <c r="G132" s="5" t="s">
        <v>36</v>
      </c>
      <c r="H132" s="3" t="s">
        <v>10</v>
      </c>
      <c r="I132" s="4">
        <v>4.7</v>
      </c>
      <c r="J132" s="4">
        <v>8.1999999999999993</v>
      </c>
      <c r="K132" t="s">
        <v>163</v>
      </c>
      <c r="L132">
        <v>2</v>
      </c>
      <c r="M132">
        <v>14278.935435906886</v>
      </c>
      <c r="N132" t="str">
        <f>VLOOKUP(H132,'Tree shrub sapling root eq'!$A$2:$C$12,3,)</f>
        <v>=0.25*X6</v>
      </c>
      <c r="O132" t="str">
        <f t="shared" si="4"/>
        <v>=0.25*14278.9354359069</v>
      </c>
      <c r="P132" cm="1">
        <f t="array" ref="P132">eval_tr_dbh</f>
        <v>3569.7338589767251</v>
      </c>
      <c r="Q132" t="str">
        <f t="shared" si="5"/>
        <v>GM_17_NA_B2</v>
      </c>
    </row>
    <row r="133" spans="1:17" x14ac:dyDescent="0.15">
      <c r="A133" s="5" t="s">
        <v>18</v>
      </c>
      <c r="B133" s="5">
        <v>17</v>
      </c>
      <c r="C133" s="5" t="s">
        <v>21</v>
      </c>
      <c r="D133" s="5" t="s">
        <v>32</v>
      </c>
      <c r="E133" s="7">
        <v>44748</v>
      </c>
      <c r="F133" s="5" t="s">
        <v>9</v>
      </c>
      <c r="G133" s="5" t="s">
        <v>37</v>
      </c>
      <c r="H133" s="3" t="s">
        <v>10</v>
      </c>
      <c r="I133" s="4">
        <v>6</v>
      </c>
      <c r="J133" s="4">
        <v>10.4</v>
      </c>
      <c r="K133" t="s">
        <v>163</v>
      </c>
      <c r="L133">
        <v>2</v>
      </c>
      <c r="M133">
        <v>24529.056595494912</v>
      </c>
      <c r="N133" t="str">
        <f>VLOOKUP(H133,'Tree shrub sapling root eq'!$A$2:$C$12,3,)</f>
        <v>=0.25*X6</v>
      </c>
      <c r="O133" t="str">
        <f t="shared" si="4"/>
        <v>=0.25*24529.0565954949</v>
      </c>
      <c r="P133" cm="1">
        <f t="array" ref="P133">eval_tr_dbh</f>
        <v>6132.2641488737254</v>
      </c>
      <c r="Q133" t="str">
        <f t="shared" si="5"/>
        <v>GM_17_NA_B4</v>
      </c>
    </row>
    <row r="134" spans="1:17" x14ac:dyDescent="0.15">
      <c r="A134" s="5" t="s">
        <v>18</v>
      </c>
      <c r="B134" s="5">
        <v>17</v>
      </c>
      <c r="C134" s="5" t="s">
        <v>21</v>
      </c>
      <c r="D134" s="5" t="s">
        <v>32</v>
      </c>
      <c r="E134" s="7">
        <v>44748</v>
      </c>
      <c r="F134" s="5" t="s">
        <v>7</v>
      </c>
      <c r="G134" s="5" t="s">
        <v>34</v>
      </c>
      <c r="H134" s="3" t="s">
        <v>10</v>
      </c>
      <c r="I134" s="4">
        <v>6</v>
      </c>
      <c r="J134" s="4">
        <v>14.9</v>
      </c>
      <c r="K134" t="s">
        <v>163</v>
      </c>
      <c r="L134">
        <v>2</v>
      </c>
      <c r="M134">
        <v>56087.852854710014</v>
      </c>
      <c r="N134" t="str">
        <f>VLOOKUP(H134,'Tree shrub sapling root eq'!$A$2:$C$12,3,)</f>
        <v>=0.25*X6</v>
      </c>
      <c r="O134" t="str">
        <f t="shared" si="4"/>
        <v>=0.25*56087.85285471</v>
      </c>
      <c r="P134" cm="1">
        <f t="array" ref="P134">eval_tr_dbh</f>
        <v>14021.9632136775</v>
      </c>
      <c r="Q134" t="str">
        <f t="shared" si="5"/>
        <v>GM_17_NA_B3</v>
      </c>
    </row>
    <row r="135" spans="1:17" x14ac:dyDescent="0.15">
      <c r="A135" s="5" t="s">
        <v>18</v>
      </c>
      <c r="B135" s="5">
        <v>18</v>
      </c>
      <c r="C135" s="5" t="s">
        <v>21</v>
      </c>
      <c r="D135" s="5" t="s">
        <v>32</v>
      </c>
      <c r="E135" s="7">
        <v>44742</v>
      </c>
      <c r="F135" s="5" t="s">
        <v>5</v>
      </c>
      <c r="G135" s="5" t="s">
        <v>35</v>
      </c>
      <c r="H135" s="3" t="s">
        <v>10</v>
      </c>
      <c r="I135" s="4">
        <v>5</v>
      </c>
      <c r="J135" s="4">
        <v>3.25</v>
      </c>
      <c r="K135" t="s">
        <v>147</v>
      </c>
      <c r="L135">
        <v>1</v>
      </c>
      <c r="M135">
        <v>1830.9456621624024</v>
      </c>
      <c r="N135" t="str">
        <f>VLOOKUP(H135,'Tree shrub sapling root eq'!$A$2:$C$12,3,)</f>
        <v>=0.25*X6</v>
      </c>
      <c r="O135" t="str">
        <f t="shared" si="4"/>
        <v>=0.25*1830.9456621624</v>
      </c>
      <c r="P135" cm="1">
        <f t="array" ref="P135">eval_tr_dbh</f>
        <v>457.73641554059998</v>
      </c>
      <c r="Q135" t="str">
        <f t="shared" si="5"/>
        <v>GM_18_NA_B1</v>
      </c>
    </row>
    <row r="136" spans="1:17" x14ac:dyDescent="0.15">
      <c r="A136" s="5" t="s">
        <v>18</v>
      </c>
      <c r="B136" s="5">
        <v>18</v>
      </c>
      <c r="C136" s="5" t="s">
        <v>21</v>
      </c>
      <c r="D136" s="5" t="s">
        <v>32</v>
      </c>
      <c r="E136" s="7">
        <v>44742</v>
      </c>
      <c r="F136" s="5" t="s">
        <v>9</v>
      </c>
      <c r="G136" s="5" t="s">
        <v>37</v>
      </c>
      <c r="H136" s="3" t="s">
        <v>10</v>
      </c>
      <c r="I136" s="4">
        <v>5.5</v>
      </c>
      <c r="J136" s="4">
        <v>5.5</v>
      </c>
      <c r="K136" t="s">
        <v>147</v>
      </c>
      <c r="L136">
        <v>1</v>
      </c>
      <c r="M136">
        <v>5819.6547415251471</v>
      </c>
      <c r="N136" t="str">
        <f>VLOOKUP(H136,'Tree shrub sapling root eq'!$A$2:$C$12,3,)</f>
        <v>=0.25*X6</v>
      </c>
      <c r="O136" t="str">
        <f t="shared" si="4"/>
        <v>=0.25*5819.65474152515</v>
      </c>
      <c r="P136" cm="1">
        <f t="array" ref="P136">eval_tr_dbh</f>
        <v>1454.9136853812875</v>
      </c>
      <c r="Q136" t="str">
        <f t="shared" si="5"/>
        <v>GM_18_NA_B4</v>
      </c>
    </row>
    <row r="137" spans="1:17" x14ac:dyDescent="0.15">
      <c r="A137" s="5" t="s">
        <v>18</v>
      </c>
      <c r="B137" s="5">
        <v>18</v>
      </c>
      <c r="C137" s="5" t="s">
        <v>21</v>
      </c>
      <c r="D137" s="5" t="s">
        <v>32</v>
      </c>
      <c r="E137" s="7">
        <v>44742</v>
      </c>
      <c r="F137" s="5" t="s">
        <v>5</v>
      </c>
      <c r="G137" s="5" t="s">
        <v>35</v>
      </c>
      <c r="H137" s="3" t="s">
        <v>10</v>
      </c>
      <c r="I137" s="4">
        <v>8.5</v>
      </c>
      <c r="J137" s="4">
        <v>5.5</v>
      </c>
      <c r="K137" t="s">
        <v>147</v>
      </c>
      <c r="L137">
        <v>1</v>
      </c>
      <c r="M137">
        <v>5819.6547415251471</v>
      </c>
      <c r="N137" t="str">
        <f>VLOOKUP(H137,'Tree shrub sapling root eq'!$A$2:$C$12,3,)</f>
        <v>=0.25*X6</v>
      </c>
      <c r="O137" t="str">
        <f t="shared" si="4"/>
        <v>=0.25*5819.65474152515</v>
      </c>
      <c r="P137" cm="1">
        <f t="array" ref="P137">eval_tr_dbh</f>
        <v>1454.9136853812875</v>
      </c>
      <c r="Q137" t="str">
        <f t="shared" si="5"/>
        <v>GM_18_NA_B1</v>
      </c>
    </row>
    <row r="138" spans="1:17" x14ac:dyDescent="0.15">
      <c r="A138" s="5" t="s">
        <v>18</v>
      </c>
      <c r="B138" s="5">
        <v>18</v>
      </c>
      <c r="C138" s="5" t="s">
        <v>21</v>
      </c>
      <c r="D138" s="5" t="s">
        <v>32</v>
      </c>
      <c r="E138" s="7">
        <v>44742</v>
      </c>
      <c r="F138" s="5" t="s">
        <v>9</v>
      </c>
      <c r="G138" s="5" t="s">
        <v>37</v>
      </c>
      <c r="H138" s="3" t="s">
        <v>10</v>
      </c>
      <c r="I138" s="4">
        <v>5</v>
      </c>
      <c r="J138" s="4">
        <v>6.5</v>
      </c>
      <c r="K138" t="s">
        <v>147</v>
      </c>
      <c r="L138">
        <v>1</v>
      </c>
      <c r="M138">
        <v>8455.062918442316</v>
      </c>
      <c r="N138" t="str">
        <f>VLOOKUP(H138,'Tree shrub sapling root eq'!$A$2:$C$12,3,)</f>
        <v>=0.25*X6</v>
      </c>
      <c r="O138" t="str">
        <f t="shared" si="4"/>
        <v>=0.25*8455.06291844232</v>
      </c>
      <c r="P138" cm="1">
        <f t="array" ref="P138">eval_tr_dbh</f>
        <v>2113.7657296105799</v>
      </c>
      <c r="Q138" t="str">
        <f t="shared" si="5"/>
        <v>GM_18_NA_B4</v>
      </c>
    </row>
    <row r="139" spans="1:17" x14ac:dyDescent="0.15">
      <c r="A139" s="5" t="s">
        <v>18</v>
      </c>
      <c r="B139" s="5">
        <v>18</v>
      </c>
      <c r="C139" s="5" t="s">
        <v>21</v>
      </c>
      <c r="D139" s="5" t="s">
        <v>32</v>
      </c>
      <c r="E139" s="7">
        <v>44742</v>
      </c>
      <c r="F139" s="5" t="s">
        <v>7</v>
      </c>
      <c r="G139" s="5" t="s">
        <v>34</v>
      </c>
      <c r="H139" s="3" t="s">
        <v>10</v>
      </c>
      <c r="I139" s="4">
        <v>6</v>
      </c>
      <c r="J139" s="4">
        <v>7.75</v>
      </c>
      <c r="K139" t="s">
        <v>147</v>
      </c>
      <c r="L139">
        <v>1</v>
      </c>
      <c r="M139">
        <v>12566.309685212867</v>
      </c>
      <c r="N139" t="str">
        <f>VLOOKUP(H139,'Tree shrub sapling root eq'!$A$2:$C$12,3,)</f>
        <v>=0.25*X6</v>
      </c>
      <c r="O139" t="str">
        <f t="shared" si="4"/>
        <v>=0.25*12566.3096852129</v>
      </c>
      <c r="P139" cm="1">
        <f t="array" ref="P139">eval_tr_dbh</f>
        <v>3141.577421303225</v>
      </c>
      <c r="Q139" t="str">
        <f t="shared" si="5"/>
        <v>GM_18_NA_B3</v>
      </c>
    </row>
    <row r="140" spans="1:17" x14ac:dyDescent="0.15">
      <c r="A140" s="5" t="s">
        <v>18</v>
      </c>
      <c r="B140" s="5">
        <v>18</v>
      </c>
      <c r="C140" s="5" t="s">
        <v>21</v>
      </c>
      <c r="D140" s="5" t="s">
        <v>32</v>
      </c>
      <c r="E140" s="7">
        <v>44742</v>
      </c>
      <c r="F140" s="5" t="s">
        <v>7</v>
      </c>
      <c r="G140" s="5" t="s">
        <v>34</v>
      </c>
      <c r="H140" s="3" t="s">
        <v>10</v>
      </c>
      <c r="I140" s="4">
        <v>6.5</v>
      </c>
      <c r="J140" s="4">
        <v>7.75</v>
      </c>
      <c r="K140" t="s">
        <v>147</v>
      </c>
      <c r="L140">
        <v>1</v>
      </c>
      <c r="M140">
        <v>12566.309685212867</v>
      </c>
      <c r="N140" t="str">
        <f>VLOOKUP(H140,'Tree shrub sapling root eq'!$A$2:$C$12,3,)</f>
        <v>=0.25*X6</v>
      </c>
      <c r="O140" t="str">
        <f t="shared" si="4"/>
        <v>=0.25*12566.3096852129</v>
      </c>
      <c r="P140" cm="1">
        <f t="array" ref="P140">eval_tr_dbh</f>
        <v>3141.577421303225</v>
      </c>
      <c r="Q140" t="str">
        <f t="shared" si="5"/>
        <v>GM_18_NA_B3</v>
      </c>
    </row>
    <row r="141" spans="1:17" x14ac:dyDescent="0.15">
      <c r="A141" s="5" t="s">
        <v>18</v>
      </c>
      <c r="B141" s="5">
        <v>18</v>
      </c>
      <c r="C141" s="5" t="s">
        <v>21</v>
      </c>
      <c r="D141" s="5" t="s">
        <v>32</v>
      </c>
      <c r="E141" s="7">
        <v>44742</v>
      </c>
      <c r="F141" s="5" t="s">
        <v>5</v>
      </c>
      <c r="G141" s="5" t="s">
        <v>35</v>
      </c>
      <c r="H141" s="3" t="s">
        <v>10</v>
      </c>
      <c r="I141" s="4">
        <v>10</v>
      </c>
      <c r="J141" s="4">
        <v>8.25</v>
      </c>
      <c r="K141" t="s">
        <v>147</v>
      </c>
      <c r="L141">
        <v>1</v>
      </c>
      <c r="M141">
        <v>14477.036416401441</v>
      </c>
      <c r="N141" t="str">
        <f>VLOOKUP(H141,'Tree shrub sapling root eq'!$A$2:$C$12,3,)</f>
        <v>=0.25*X6</v>
      </c>
      <c r="O141" t="str">
        <f t="shared" si="4"/>
        <v>=0.25*14477.0364164014</v>
      </c>
      <c r="P141" cm="1">
        <f t="array" ref="P141">eval_tr_dbh</f>
        <v>3619.2591041003502</v>
      </c>
      <c r="Q141" t="str">
        <f t="shared" si="5"/>
        <v>GM_18_NA_B1</v>
      </c>
    </row>
    <row r="142" spans="1:17" x14ac:dyDescent="0.15">
      <c r="A142" s="5" t="s">
        <v>18</v>
      </c>
      <c r="B142" s="5">
        <v>18</v>
      </c>
      <c r="C142" s="5" t="s">
        <v>21</v>
      </c>
      <c r="D142" s="5" t="s">
        <v>32</v>
      </c>
      <c r="E142" s="7">
        <v>44742</v>
      </c>
      <c r="F142" s="5" t="s">
        <v>7</v>
      </c>
      <c r="G142" s="5" t="s">
        <v>34</v>
      </c>
      <c r="H142" s="5" t="s">
        <v>15</v>
      </c>
      <c r="I142" s="4">
        <v>7.5</v>
      </c>
      <c r="J142" s="4">
        <v>7.25</v>
      </c>
      <c r="K142" t="s">
        <v>147</v>
      </c>
      <c r="L142">
        <v>1</v>
      </c>
      <c r="M142">
        <v>13508.424449502627</v>
      </c>
      <c r="N142" t="str">
        <f>VLOOKUP(H142,'Tree shrub sapling root eq'!$A$2:$C$12,3,)</f>
        <v>=1.576*X6^0.615</v>
      </c>
      <c r="O142" t="str">
        <f t="shared" si="4"/>
        <v>=1.576*13508.4244495026^0.615</v>
      </c>
      <c r="P142" cm="1">
        <f t="array" ref="P142">eval_tr_dbh</f>
        <v>546.8624483933761</v>
      </c>
      <c r="Q142" t="str">
        <f t="shared" si="5"/>
        <v>GM_18_NA_B3</v>
      </c>
    </row>
    <row r="143" spans="1:17" x14ac:dyDescent="0.15">
      <c r="A143" s="5" t="s">
        <v>18</v>
      </c>
      <c r="B143" s="5">
        <v>18</v>
      </c>
      <c r="C143" s="5" t="s">
        <v>21</v>
      </c>
      <c r="D143" s="5" t="s">
        <v>32</v>
      </c>
      <c r="E143" s="7">
        <v>44742</v>
      </c>
      <c r="F143" s="5" t="s">
        <v>9</v>
      </c>
      <c r="G143" s="5" t="s">
        <v>37</v>
      </c>
      <c r="H143" s="3" t="s">
        <v>10</v>
      </c>
      <c r="I143" s="4">
        <v>8</v>
      </c>
      <c r="J143" s="4">
        <v>9.5</v>
      </c>
      <c r="K143" t="s">
        <v>147</v>
      </c>
      <c r="L143">
        <v>1</v>
      </c>
      <c r="M143">
        <v>19950.075047172792</v>
      </c>
      <c r="N143" t="str">
        <f>VLOOKUP(H143,'Tree shrub sapling root eq'!$A$2:$C$12,3,)</f>
        <v>=0.25*X6</v>
      </c>
      <c r="O143" t="str">
        <f t="shared" si="4"/>
        <v>=0.25*19950.0750471728</v>
      </c>
      <c r="P143" cm="1">
        <f t="array" ref="P143">eval_tr_dbh</f>
        <v>4987.5187617931997</v>
      </c>
      <c r="Q143" t="str">
        <f t="shared" si="5"/>
        <v>GM_18_NA_B4</v>
      </c>
    </row>
    <row r="144" spans="1:17" x14ac:dyDescent="0.15">
      <c r="A144" s="5" t="s">
        <v>18</v>
      </c>
      <c r="B144" s="5">
        <v>18</v>
      </c>
      <c r="C144" s="5" t="s">
        <v>21</v>
      </c>
      <c r="D144" s="5" t="s">
        <v>32</v>
      </c>
      <c r="E144" s="7">
        <v>44742</v>
      </c>
      <c r="F144" s="5" t="s">
        <v>7</v>
      </c>
      <c r="G144" s="5" t="s">
        <v>34</v>
      </c>
      <c r="H144" s="5" t="s">
        <v>15</v>
      </c>
      <c r="I144" s="4">
        <v>9</v>
      </c>
      <c r="J144" s="4">
        <v>9.5</v>
      </c>
      <c r="K144" t="s">
        <v>147</v>
      </c>
      <c r="L144">
        <v>1</v>
      </c>
      <c r="M144">
        <v>25978.424356530006</v>
      </c>
      <c r="N144" t="str">
        <f>VLOOKUP(H144,'Tree shrub sapling root eq'!$A$2:$C$12,3,)</f>
        <v>=1.576*X6^0.615</v>
      </c>
      <c r="O144" t="str">
        <f t="shared" si="4"/>
        <v>=1.576*25978.42435653^0.615</v>
      </c>
      <c r="P144" cm="1">
        <f t="array" ref="P144">eval_tr_dbh</f>
        <v>817.60415392850325</v>
      </c>
      <c r="Q144" t="str">
        <f t="shared" si="5"/>
        <v>GM_18_NA_B3</v>
      </c>
    </row>
    <row r="145" spans="1:17" x14ac:dyDescent="0.15">
      <c r="A145" s="5" t="s">
        <v>18</v>
      </c>
      <c r="B145" s="5">
        <v>18</v>
      </c>
      <c r="C145" s="5" t="s">
        <v>21</v>
      </c>
      <c r="D145" s="5" t="s">
        <v>32</v>
      </c>
      <c r="E145" s="7">
        <v>44742</v>
      </c>
      <c r="F145" s="5" t="s">
        <v>7</v>
      </c>
      <c r="G145" s="5" t="s">
        <v>34</v>
      </c>
      <c r="H145" s="5" t="s">
        <v>15</v>
      </c>
      <c r="I145" s="4">
        <v>7</v>
      </c>
      <c r="J145" s="4">
        <v>10.25</v>
      </c>
      <c r="K145" t="s">
        <v>147</v>
      </c>
      <c r="L145">
        <v>1</v>
      </c>
      <c r="M145">
        <v>31246.894641221501</v>
      </c>
      <c r="N145" t="str">
        <f>VLOOKUP(H145,'Tree shrub sapling root eq'!$A$2:$C$12,3,)</f>
        <v>=1.576*X6^0.615</v>
      </c>
      <c r="O145" t="str">
        <f t="shared" si="4"/>
        <v>=1.576*31246.8946412215^0.615</v>
      </c>
      <c r="P145" cm="1">
        <f t="array" ref="P145">eval_tr_dbh</f>
        <v>915.93031629302743</v>
      </c>
      <c r="Q145" t="str">
        <f t="shared" si="5"/>
        <v>GM_18_NA_B3</v>
      </c>
    </row>
    <row r="146" spans="1:17" x14ac:dyDescent="0.15">
      <c r="A146" s="5" t="s">
        <v>18</v>
      </c>
      <c r="B146" s="5">
        <v>18</v>
      </c>
      <c r="C146" s="5" t="s">
        <v>21</v>
      </c>
      <c r="D146" s="5" t="s">
        <v>32</v>
      </c>
      <c r="E146" s="7">
        <v>44742</v>
      </c>
      <c r="F146" s="5" t="s">
        <v>9</v>
      </c>
      <c r="G146" s="5" t="s">
        <v>37</v>
      </c>
      <c r="H146" s="5" t="s">
        <v>15</v>
      </c>
      <c r="I146" s="4">
        <v>9.5</v>
      </c>
      <c r="J146" s="4">
        <v>11.25</v>
      </c>
      <c r="K146" t="s">
        <v>147</v>
      </c>
      <c r="L146">
        <v>1</v>
      </c>
      <c r="M146">
        <v>39196.038307532595</v>
      </c>
      <c r="N146" t="str">
        <f>VLOOKUP(H146,'Tree shrub sapling root eq'!$A$2:$C$12,3,)</f>
        <v>=1.576*X6^0.615</v>
      </c>
      <c r="O146" t="str">
        <f t="shared" si="4"/>
        <v>=1.576*39196.0383075326^0.615</v>
      </c>
      <c r="P146" cm="1">
        <f t="array" ref="P146">eval_tr_dbh</f>
        <v>1052.9315760832519</v>
      </c>
      <c r="Q146" t="str">
        <f t="shared" si="5"/>
        <v>GM_18_NA_B4</v>
      </c>
    </row>
    <row r="147" spans="1:17" x14ac:dyDescent="0.15">
      <c r="A147" s="5" t="s">
        <v>18</v>
      </c>
      <c r="B147" s="5">
        <v>18</v>
      </c>
      <c r="C147" s="5" t="s">
        <v>21</v>
      </c>
      <c r="D147" s="5" t="s">
        <v>32</v>
      </c>
      <c r="E147" s="7">
        <v>44742</v>
      </c>
      <c r="F147" s="5" t="s">
        <v>7</v>
      </c>
      <c r="G147" s="5" t="s">
        <v>34</v>
      </c>
      <c r="H147" s="5" t="s">
        <v>11</v>
      </c>
      <c r="I147" s="4">
        <v>10</v>
      </c>
      <c r="J147" s="4">
        <v>12</v>
      </c>
      <c r="K147" t="s">
        <v>147</v>
      </c>
      <c r="L147">
        <v>1</v>
      </c>
      <c r="M147">
        <v>61801.106629719434</v>
      </c>
      <c r="N147" t="str">
        <f>VLOOKUP(H147,'Tree shrub sapling root eq'!$A$2:$C$12,3,)</f>
        <v>=1.576*X6^0.615</v>
      </c>
      <c r="O147" t="str">
        <f t="shared" si="4"/>
        <v>=1.576*61801.1066297194^0.615</v>
      </c>
      <c r="P147" cm="1">
        <f t="array" ref="P147">eval_tr_dbh</f>
        <v>1393.2174584960094</v>
      </c>
      <c r="Q147" t="str">
        <f t="shared" si="5"/>
        <v>GM_18_NA_B3</v>
      </c>
    </row>
    <row r="148" spans="1:17" x14ac:dyDescent="0.15">
      <c r="A148" s="5" t="s">
        <v>18</v>
      </c>
      <c r="B148" s="5">
        <v>18</v>
      </c>
      <c r="C148" s="5" t="s">
        <v>21</v>
      </c>
      <c r="D148" s="5" t="s">
        <v>32</v>
      </c>
      <c r="E148" s="7">
        <v>44742</v>
      </c>
      <c r="F148" s="5" t="s">
        <v>7</v>
      </c>
      <c r="G148" s="5" t="s">
        <v>34</v>
      </c>
      <c r="H148" s="5" t="s">
        <v>15</v>
      </c>
      <c r="I148" s="4">
        <v>10</v>
      </c>
      <c r="J148" s="4">
        <v>12</v>
      </c>
      <c r="K148" t="s">
        <v>147</v>
      </c>
      <c r="L148">
        <v>1</v>
      </c>
      <c r="M148">
        <v>45877.74199445689</v>
      </c>
      <c r="N148" t="str">
        <f>VLOOKUP(H148,'Tree shrub sapling root eq'!$A$2:$C$12,3,)</f>
        <v>=1.576*X6^0.615</v>
      </c>
      <c r="O148" t="str">
        <f t="shared" si="4"/>
        <v>=1.576*45877.7419944569^0.615</v>
      </c>
      <c r="P148" cm="1">
        <f t="array" ref="P148">eval_tr_dbh</f>
        <v>1159.955863296711</v>
      </c>
      <c r="Q148" t="str">
        <f t="shared" si="5"/>
        <v>GM_18_NA_B3</v>
      </c>
    </row>
    <row r="149" spans="1:17" x14ac:dyDescent="0.15">
      <c r="A149" s="5" t="s">
        <v>18</v>
      </c>
      <c r="B149" s="5">
        <v>18</v>
      </c>
      <c r="C149" s="5" t="s">
        <v>21</v>
      </c>
      <c r="D149" s="5" t="s">
        <v>32</v>
      </c>
      <c r="E149" s="7">
        <v>44742</v>
      </c>
      <c r="F149" s="5" t="s">
        <v>7</v>
      </c>
      <c r="G149" s="5" t="s">
        <v>34</v>
      </c>
      <c r="H149" s="5" t="s">
        <v>11</v>
      </c>
      <c r="I149" s="4">
        <v>11</v>
      </c>
      <c r="J149" s="4">
        <v>12.5</v>
      </c>
      <c r="K149" t="s">
        <v>147</v>
      </c>
      <c r="L149">
        <v>1</v>
      </c>
      <c r="M149">
        <v>67522.949879216947</v>
      </c>
      <c r="N149" t="str">
        <f>VLOOKUP(H149,'Tree shrub sapling root eq'!$A$2:$C$12,3,)</f>
        <v>=1.576*X6^0.615</v>
      </c>
      <c r="O149" t="str">
        <f t="shared" si="4"/>
        <v>=1.576*67522.9498792169^0.615</v>
      </c>
      <c r="P149" cm="1">
        <f t="array" ref="P149">eval_tr_dbh</f>
        <v>1471.1902176939061</v>
      </c>
      <c r="Q149" t="str">
        <f t="shared" si="5"/>
        <v>GM_18_NA_B3</v>
      </c>
    </row>
    <row r="150" spans="1:17" x14ac:dyDescent="0.15">
      <c r="A150" s="5" t="s">
        <v>18</v>
      </c>
      <c r="B150" s="5">
        <v>18</v>
      </c>
      <c r="C150" s="5" t="s">
        <v>21</v>
      </c>
      <c r="D150" s="5" t="s">
        <v>32</v>
      </c>
      <c r="E150" s="7">
        <v>44742</v>
      </c>
      <c r="F150" s="5" t="s">
        <v>9</v>
      </c>
      <c r="G150" s="5" t="s">
        <v>37</v>
      </c>
      <c r="H150" s="5" t="s">
        <v>15</v>
      </c>
      <c r="I150" s="4">
        <v>11</v>
      </c>
      <c r="J150" s="4">
        <v>12.5</v>
      </c>
      <c r="K150" t="s">
        <v>147</v>
      </c>
      <c r="L150">
        <v>1</v>
      </c>
      <c r="M150">
        <v>50685.969963843687</v>
      </c>
      <c r="N150" t="str">
        <f>VLOOKUP(H150,'Tree shrub sapling root eq'!$A$2:$C$12,3,)</f>
        <v>=1.576*X6^0.615</v>
      </c>
      <c r="O150" t="str">
        <f t="shared" si="4"/>
        <v>=1.576*50685.9699638437^0.615</v>
      </c>
      <c r="P150" cm="1">
        <f t="array" ref="P150">eval_tr_dbh</f>
        <v>1233.2814144002225</v>
      </c>
      <c r="Q150" t="str">
        <f t="shared" si="5"/>
        <v>GM_18_NA_B4</v>
      </c>
    </row>
    <row r="151" spans="1:17" x14ac:dyDescent="0.15">
      <c r="A151" s="5" t="s">
        <v>18</v>
      </c>
      <c r="B151" s="5">
        <v>18</v>
      </c>
      <c r="C151" s="5" t="s">
        <v>21</v>
      </c>
      <c r="D151" s="5" t="s">
        <v>32</v>
      </c>
      <c r="E151" s="7">
        <v>44742</v>
      </c>
      <c r="F151" s="5" t="s">
        <v>5</v>
      </c>
      <c r="G151" s="5" t="s">
        <v>35</v>
      </c>
      <c r="H151" s="3" t="s">
        <v>10</v>
      </c>
      <c r="I151" s="4">
        <v>11.5</v>
      </c>
      <c r="J151" s="4">
        <v>15.5</v>
      </c>
      <c r="K151" t="s">
        <v>147</v>
      </c>
      <c r="L151">
        <v>1</v>
      </c>
      <c r="M151">
        <v>61454.272338509683</v>
      </c>
      <c r="N151" t="str">
        <f>VLOOKUP(H151,'Tree shrub sapling root eq'!$A$2:$C$12,3,)</f>
        <v>=0.25*X6</v>
      </c>
      <c r="O151" t="str">
        <f t="shared" si="4"/>
        <v>=0.25*61454.2723385097</v>
      </c>
      <c r="P151" cm="1">
        <f t="array" ref="P151">eval_tr_dbh</f>
        <v>15363.568084627424</v>
      </c>
      <c r="Q151" t="str">
        <f t="shared" si="5"/>
        <v>GM_18_NA_B1</v>
      </c>
    </row>
    <row r="152" spans="1:17" x14ac:dyDescent="0.15">
      <c r="A152" s="5" t="s">
        <v>18</v>
      </c>
      <c r="B152" s="5">
        <v>18</v>
      </c>
      <c r="C152" s="5" t="s">
        <v>21</v>
      </c>
      <c r="D152" s="5" t="s">
        <v>32</v>
      </c>
      <c r="E152" s="7">
        <v>44742</v>
      </c>
      <c r="F152" s="5" t="s">
        <v>6</v>
      </c>
      <c r="G152" s="5" t="s">
        <v>36</v>
      </c>
      <c r="H152" s="3" t="s">
        <v>10</v>
      </c>
      <c r="I152" s="4">
        <v>13</v>
      </c>
      <c r="J152" s="4">
        <v>26</v>
      </c>
      <c r="K152" t="s">
        <v>147</v>
      </c>
      <c r="L152">
        <v>1</v>
      </c>
      <c r="M152">
        <v>205266.17932106816</v>
      </c>
      <c r="N152" t="str">
        <f>VLOOKUP(H152,'Tree shrub sapling root eq'!$A$2:$C$12,3,)</f>
        <v>=0.25*X6</v>
      </c>
      <c r="O152" t="str">
        <f t="shared" si="4"/>
        <v>=0.25*205266.179321068</v>
      </c>
      <c r="P152" cm="1">
        <f t="array" ref="P152">eval_tr_dbh</f>
        <v>51316.544830266997</v>
      </c>
      <c r="Q152" t="str">
        <f t="shared" si="5"/>
        <v>GM_18_NA_B2</v>
      </c>
    </row>
    <row r="153" spans="1:17" x14ac:dyDescent="0.15">
      <c r="A153" s="5" t="s">
        <v>18</v>
      </c>
      <c r="B153" s="5">
        <v>18</v>
      </c>
      <c r="C153" s="5" t="s">
        <v>21</v>
      </c>
      <c r="D153" s="5" t="s">
        <v>32</v>
      </c>
      <c r="E153" s="7">
        <v>44742</v>
      </c>
      <c r="F153" s="5" t="s">
        <v>7</v>
      </c>
      <c r="G153" s="5" t="s">
        <v>34</v>
      </c>
      <c r="H153" s="5" t="s">
        <v>11</v>
      </c>
      <c r="I153" s="4">
        <v>13</v>
      </c>
      <c r="J153" s="4">
        <v>26</v>
      </c>
      <c r="K153" t="s">
        <v>147</v>
      </c>
      <c r="L153">
        <v>1</v>
      </c>
      <c r="M153">
        <v>334434.22576602321</v>
      </c>
      <c r="N153" t="str">
        <f>VLOOKUP(H153,'Tree shrub sapling root eq'!$A$2:$C$12,3,)</f>
        <v>=1.576*X6^0.615</v>
      </c>
      <c r="O153" t="str">
        <f t="shared" si="4"/>
        <v>=1.576*334434.225766023^0.615</v>
      </c>
      <c r="P153" cm="1">
        <f t="array" ref="P153">eval_tr_dbh</f>
        <v>3935.5669405302965</v>
      </c>
      <c r="Q153" t="str">
        <f t="shared" si="5"/>
        <v>GM_18_NA_B3</v>
      </c>
    </row>
    <row r="154" spans="1:17" x14ac:dyDescent="0.15">
      <c r="A154" s="5" t="s">
        <v>3</v>
      </c>
      <c r="B154" s="5">
        <v>19</v>
      </c>
      <c r="C154" s="5" t="s">
        <v>22</v>
      </c>
      <c r="D154" s="5" t="s">
        <v>30</v>
      </c>
      <c r="E154" s="7">
        <v>44726</v>
      </c>
      <c r="F154" s="5" t="s">
        <v>7</v>
      </c>
      <c r="G154" s="5" t="s">
        <v>34</v>
      </c>
      <c r="H154" s="3" t="s">
        <v>8</v>
      </c>
      <c r="I154" s="4">
        <v>6</v>
      </c>
      <c r="J154" s="4">
        <v>21</v>
      </c>
      <c r="K154" t="s">
        <v>176</v>
      </c>
      <c r="L154">
        <v>1</v>
      </c>
      <c r="M154">
        <v>142989.85380333508</v>
      </c>
      <c r="N154" t="str">
        <f>VLOOKUP(H154,'Tree shrub sapling root eq'!$A$2:$C$12,3,)</f>
        <v>=0.222*X6</v>
      </c>
      <c r="O154" t="str">
        <f t="shared" si="4"/>
        <v>=0.222*142989.853803335</v>
      </c>
      <c r="P154" cm="1">
        <f t="array" ref="P154">eval_tr_dbh</f>
        <v>31743.747544340367</v>
      </c>
      <c r="Q154" t="str">
        <f t="shared" si="5"/>
        <v>TN_19_CTRL_B3</v>
      </c>
    </row>
    <row r="155" spans="1:17" x14ac:dyDescent="0.15">
      <c r="A155" s="5" t="s">
        <v>3</v>
      </c>
      <c r="B155" s="5">
        <v>19</v>
      </c>
      <c r="C155" s="5" t="s">
        <v>22</v>
      </c>
      <c r="D155" s="5" t="s">
        <v>30</v>
      </c>
      <c r="E155" s="7">
        <v>44726</v>
      </c>
      <c r="F155" s="5" t="s">
        <v>5</v>
      </c>
      <c r="G155" s="5" t="s">
        <v>35</v>
      </c>
      <c r="H155" s="5" t="s">
        <v>21</v>
      </c>
      <c r="I155" s="4" t="s">
        <v>21</v>
      </c>
      <c r="J155" s="4" t="s">
        <v>21</v>
      </c>
      <c r="K155" t="s">
        <v>176</v>
      </c>
      <c r="L155">
        <v>1</v>
      </c>
      <c r="M155" t="e">
        <v>#N/A</v>
      </c>
      <c r="N155" t="e">
        <f>VLOOKUP(H155,'Tree shrub sapling root eq'!$A$2:$C$12,3,)</f>
        <v>#N/A</v>
      </c>
      <c r="O155" t="e">
        <f t="shared" si="4"/>
        <v>#N/A</v>
      </c>
      <c r="P155" t="e" cm="1">
        <f t="array" ref="P155">eval_tr_dbh</f>
        <v>#N/A</v>
      </c>
      <c r="Q155" t="str">
        <f t="shared" si="5"/>
        <v>TN_19_CTRL_B1</v>
      </c>
    </row>
    <row r="156" spans="1:17" x14ac:dyDescent="0.15">
      <c r="A156" s="5" t="s">
        <v>3</v>
      </c>
      <c r="B156" s="5">
        <v>19</v>
      </c>
      <c r="C156" s="5" t="s">
        <v>22</v>
      </c>
      <c r="D156" s="5" t="s">
        <v>30</v>
      </c>
      <c r="E156" s="7">
        <v>44726</v>
      </c>
      <c r="F156" s="5" t="s">
        <v>6</v>
      </c>
      <c r="G156" s="5" t="s">
        <v>36</v>
      </c>
      <c r="H156" s="5" t="s">
        <v>21</v>
      </c>
      <c r="I156" s="4" t="s">
        <v>21</v>
      </c>
      <c r="J156" s="4" t="s">
        <v>21</v>
      </c>
      <c r="K156" t="s">
        <v>176</v>
      </c>
      <c r="L156">
        <v>1</v>
      </c>
      <c r="M156" t="e">
        <v>#N/A</v>
      </c>
      <c r="N156" t="e">
        <f>VLOOKUP(H156,'Tree shrub sapling root eq'!$A$2:$C$12,3,)</f>
        <v>#N/A</v>
      </c>
      <c r="O156" t="e">
        <f t="shared" si="4"/>
        <v>#N/A</v>
      </c>
      <c r="P156" t="e" cm="1">
        <f t="array" ref="P156">eval_tr_dbh</f>
        <v>#N/A</v>
      </c>
      <c r="Q156" t="str">
        <f t="shared" si="5"/>
        <v>TN_19_CTRL_B2</v>
      </c>
    </row>
    <row r="157" spans="1:17" x14ac:dyDescent="0.15">
      <c r="A157" s="5" t="s">
        <v>3</v>
      </c>
      <c r="B157" s="5">
        <v>19</v>
      </c>
      <c r="C157" s="5" t="s">
        <v>22</v>
      </c>
      <c r="D157" s="5" t="s">
        <v>30</v>
      </c>
      <c r="E157" s="7">
        <v>44726</v>
      </c>
      <c r="F157" s="5" t="s">
        <v>9</v>
      </c>
      <c r="G157" s="5" t="s">
        <v>37</v>
      </c>
      <c r="H157" s="5" t="s">
        <v>21</v>
      </c>
      <c r="I157" s="4" t="s">
        <v>21</v>
      </c>
      <c r="J157" s="4" t="s">
        <v>21</v>
      </c>
      <c r="K157" t="s">
        <v>176</v>
      </c>
      <c r="L157">
        <v>1</v>
      </c>
      <c r="M157" t="e">
        <v>#N/A</v>
      </c>
      <c r="N157" t="e">
        <f>VLOOKUP(H157,'Tree shrub sapling root eq'!$A$2:$C$12,3,)</f>
        <v>#N/A</v>
      </c>
      <c r="O157" t="e">
        <f t="shared" si="4"/>
        <v>#N/A</v>
      </c>
      <c r="P157" t="e" cm="1">
        <f t="array" ref="P157">eval_tr_dbh</f>
        <v>#N/A</v>
      </c>
      <c r="Q157" t="str">
        <f t="shared" si="5"/>
        <v>TN_19_CTRL_B4</v>
      </c>
    </row>
    <row r="158" spans="1:17" x14ac:dyDescent="0.15">
      <c r="A158" s="6" t="s">
        <v>3</v>
      </c>
      <c r="B158" s="6">
        <v>19</v>
      </c>
      <c r="C158" s="5" t="s">
        <v>23</v>
      </c>
      <c r="D158" s="5" t="s">
        <v>30</v>
      </c>
      <c r="E158" s="7">
        <v>44726</v>
      </c>
      <c r="F158" s="6" t="s">
        <v>7</v>
      </c>
      <c r="G158" s="6" t="s">
        <v>34</v>
      </c>
      <c r="H158" s="3" t="s">
        <v>15</v>
      </c>
      <c r="I158" s="2">
        <v>3.5</v>
      </c>
      <c r="J158" s="2">
        <v>3</v>
      </c>
      <c r="K158" t="s">
        <v>253</v>
      </c>
      <c r="L158">
        <v>1</v>
      </c>
      <c r="M158">
        <v>1665.3089362664957</v>
      </c>
      <c r="N158" t="str">
        <f>VLOOKUP(H158,'Tree shrub sapling root eq'!$A$2:$C$12,3,)</f>
        <v>=1.576*X6^0.615</v>
      </c>
      <c r="O158" t="str">
        <f t="shared" si="4"/>
        <v>=1.576*1665.3089362665^0.615</v>
      </c>
      <c r="P158" cm="1">
        <f t="array" ref="P158">eval_tr_dbh</f>
        <v>150.92998290838406</v>
      </c>
      <c r="Q158" t="str">
        <f t="shared" si="5"/>
        <v>TN_19_EX_B3</v>
      </c>
    </row>
    <row r="159" spans="1:17" x14ac:dyDescent="0.15">
      <c r="A159" s="6" t="s">
        <v>3</v>
      </c>
      <c r="B159" s="6">
        <v>19</v>
      </c>
      <c r="C159" s="5" t="s">
        <v>23</v>
      </c>
      <c r="D159" s="5" t="s">
        <v>30</v>
      </c>
      <c r="E159" s="7">
        <v>44726</v>
      </c>
      <c r="F159" s="6" t="s">
        <v>9</v>
      </c>
      <c r="G159" s="6" t="s">
        <v>37</v>
      </c>
      <c r="H159" s="6" t="s">
        <v>15</v>
      </c>
      <c r="I159" s="2">
        <v>5</v>
      </c>
      <c r="J159" s="2">
        <v>3</v>
      </c>
      <c r="K159" t="s">
        <v>253</v>
      </c>
      <c r="L159">
        <v>1</v>
      </c>
      <c r="M159">
        <v>1665.3089362664957</v>
      </c>
      <c r="N159" t="str">
        <f>VLOOKUP(H159,'Tree shrub sapling root eq'!$A$2:$C$12,3,)</f>
        <v>=1.576*X6^0.615</v>
      </c>
      <c r="O159" t="str">
        <f t="shared" si="4"/>
        <v>=1.576*1665.3089362665^0.615</v>
      </c>
      <c r="P159" cm="1">
        <f t="array" ref="P159">eval_tr_dbh</f>
        <v>150.92998290838406</v>
      </c>
      <c r="Q159" t="str">
        <f t="shared" si="5"/>
        <v>TN_19_EX_B4</v>
      </c>
    </row>
    <row r="160" spans="1:17" x14ac:dyDescent="0.15">
      <c r="A160" s="6" t="s">
        <v>3</v>
      </c>
      <c r="B160" s="6">
        <v>19</v>
      </c>
      <c r="C160" s="5" t="s">
        <v>23</v>
      </c>
      <c r="D160" s="5" t="s">
        <v>30</v>
      </c>
      <c r="E160" s="7">
        <v>44726</v>
      </c>
      <c r="F160" s="6" t="s">
        <v>9</v>
      </c>
      <c r="G160" s="6" t="s">
        <v>37</v>
      </c>
      <c r="H160" s="3" t="s">
        <v>15</v>
      </c>
      <c r="I160" s="2">
        <v>5</v>
      </c>
      <c r="J160" s="2">
        <v>3.25</v>
      </c>
      <c r="K160" t="s">
        <v>253</v>
      </c>
      <c r="L160">
        <v>1</v>
      </c>
      <c r="M160">
        <v>2006.9870039866942</v>
      </c>
      <c r="N160" t="str">
        <f>VLOOKUP(H160,'Tree shrub sapling root eq'!$A$2:$C$12,3,)</f>
        <v>=1.576*X6^0.615</v>
      </c>
      <c r="O160" t="str">
        <f t="shared" si="4"/>
        <v>=1.576*2006.98700398669^0.615</v>
      </c>
      <c r="P160" cm="1">
        <f t="array" ref="P160">eval_tr_dbh</f>
        <v>169.28602900215068</v>
      </c>
      <c r="Q160" t="str">
        <f t="shared" si="5"/>
        <v>TN_19_EX_B4</v>
      </c>
    </row>
    <row r="161" spans="1:17" x14ac:dyDescent="0.15">
      <c r="A161" s="6" t="s">
        <v>3</v>
      </c>
      <c r="B161" s="6">
        <v>19</v>
      </c>
      <c r="C161" s="5" t="s">
        <v>23</v>
      </c>
      <c r="D161" s="5" t="s">
        <v>30</v>
      </c>
      <c r="E161" s="7">
        <v>44726</v>
      </c>
      <c r="F161" s="6" t="s">
        <v>7</v>
      </c>
      <c r="G161" s="6" t="s">
        <v>34</v>
      </c>
      <c r="H161" s="3" t="s">
        <v>10</v>
      </c>
      <c r="I161" s="2">
        <v>4.5</v>
      </c>
      <c r="J161" s="2">
        <v>4.5</v>
      </c>
      <c r="K161" t="s">
        <v>253</v>
      </c>
      <c r="L161">
        <v>1</v>
      </c>
      <c r="M161">
        <v>3730.1089548214127</v>
      </c>
      <c r="N161" t="str">
        <f>VLOOKUP(H161,'Tree shrub sapling root eq'!$A$2:$C$12,3,)</f>
        <v>=0.25*X6</v>
      </c>
      <c r="O161" t="str">
        <f t="shared" si="4"/>
        <v>=0.25*3730.10895482141</v>
      </c>
      <c r="P161" cm="1">
        <f t="array" ref="P161">eval_tr_dbh</f>
        <v>932.52723870535249</v>
      </c>
      <c r="Q161" t="str">
        <f t="shared" si="5"/>
        <v>TN_19_EX_B3</v>
      </c>
    </row>
    <row r="162" spans="1:17" x14ac:dyDescent="0.15">
      <c r="A162" s="6" t="s">
        <v>3</v>
      </c>
      <c r="B162" s="6">
        <v>19</v>
      </c>
      <c r="C162" s="5" t="s">
        <v>23</v>
      </c>
      <c r="D162" s="5" t="s">
        <v>30</v>
      </c>
      <c r="E162" s="7">
        <v>44726</v>
      </c>
      <c r="F162" s="6" t="s">
        <v>7</v>
      </c>
      <c r="G162" s="6" t="s">
        <v>34</v>
      </c>
      <c r="H162" s="3" t="s">
        <v>10</v>
      </c>
      <c r="I162" s="2">
        <v>4</v>
      </c>
      <c r="J162" s="2">
        <v>4.5</v>
      </c>
      <c r="K162" t="s">
        <v>253</v>
      </c>
      <c r="L162">
        <v>1</v>
      </c>
      <c r="M162">
        <v>3730.1089548214127</v>
      </c>
      <c r="N162" t="str">
        <f>VLOOKUP(H162,'Tree shrub sapling root eq'!$A$2:$C$12,3,)</f>
        <v>=0.25*X6</v>
      </c>
      <c r="O162" t="str">
        <f t="shared" si="4"/>
        <v>=0.25*3730.10895482141</v>
      </c>
      <c r="P162" cm="1">
        <f t="array" ref="P162">eval_tr_dbh</f>
        <v>932.52723870535249</v>
      </c>
      <c r="Q162" t="str">
        <f t="shared" si="5"/>
        <v>TN_19_EX_B3</v>
      </c>
    </row>
    <row r="163" spans="1:17" x14ac:dyDescent="0.15">
      <c r="A163" s="6" t="s">
        <v>3</v>
      </c>
      <c r="B163" s="6">
        <v>19</v>
      </c>
      <c r="C163" s="5" t="s">
        <v>23</v>
      </c>
      <c r="D163" s="5" t="s">
        <v>30</v>
      </c>
      <c r="E163" s="7">
        <v>44726</v>
      </c>
      <c r="F163" s="6" t="s">
        <v>7</v>
      </c>
      <c r="G163" s="6" t="s">
        <v>34</v>
      </c>
      <c r="H163" s="3" t="s">
        <v>10</v>
      </c>
      <c r="I163" s="2">
        <v>3.5</v>
      </c>
      <c r="J163" s="2">
        <v>4.5</v>
      </c>
      <c r="K163" t="s">
        <v>253</v>
      </c>
      <c r="L163">
        <v>1</v>
      </c>
      <c r="M163">
        <v>3730.1089548214127</v>
      </c>
      <c r="N163" t="str">
        <f>VLOOKUP(H163,'Tree shrub sapling root eq'!$A$2:$C$12,3,)</f>
        <v>=0.25*X6</v>
      </c>
      <c r="O163" t="str">
        <f t="shared" si="4"/>
        <v>=0.25*3730.10895482141</v>
      </c>
      <c r="P163" cm="1">
        <f t="array" ref="P163">eval_tr_dbh</f>
        <v>932.52723870535249</v>
      </c>
      <c r="Q163" t="str">
        <f t="shared" si="5"/>
        <v>TN_19_EX_B3</v>
      </c>
    </row>
    <row r="164" spans="1:17" x14ac:dyDescent="0.15">
      <c r="A164" s="6" t="s">
        <v>3</v>
      </c>
      <c r="B164" s="6">
        <v>19</v>
      </c>
      <c r="C164" s="5" t="s">
        <v>23</v>
      </c>
      <c r="D164" s="5" t="s">
        <v>30</v>
      </c>
      <c r="E164" s="7">
        <v>44726</v>
      </c>
      <c r="F164" s="6" t="s">
        <v>9</v>
      </c>
      <c r="G164" s="6" t="s">
        <v>37</v>
      </c>
      <c r="H164" s="3" t="s">
        <v>15</v>
      </c>
      <c r="I164" s="2">
        <v>5</v>
      </c>
      <c r="J164" s="2">
        <v>4</v>
      </c>
      <c r="K164" t="s">
        <v>253</v>
      </c>
      <c r="L164">
        <v>1</v>
      </c>
      <c r="M164">
        <v>3267.8855260314795</v>
      </c>
      <c r="N164" t="str">
        <f>VLOOKUP(H164,'Tree shrub sapling root eq'!$A$2:$C$12,3,)</f>
        <v>=1.576*X6^0.615</v>
      </c>
      <c r="O164" t="str">
        <f t="shared" si="4"/>
        <v>=1.576*3267.88552603148^0.615</v>
      </c>
      <c r="P164" cm="1">
        <f t="array" ref="P164">eval_tr_dbh</f>
        <v>228.47059701935152</v>
      </c>
      <c r="Q164" t="str">
        <f t="shared" si="5"/>
        <v>TN_19_EX_B4</v>
      </c>
    </row>
    <row r="165" spans="1:17" x14ac:dyDescent="0.15">
      <c r="A165" s="6" t="s">
        <v>3</v>
      </c>
      <c r="B165" s="6">
        <v>19</v>
      </c>
      <c r="C165" s="5" t="s">
        <v>23</v>
      </c>
      <c r="D165" s="5" t="s">
        <v>30</v>
      </c>
      <c r="E165" s="7">
        <v>44726</v>
      </c>
      <c r="F165" s="6" t="s">
        <v>6</v>
      </c>
      <c r="G165" s="6" t="s">
        <v>36</v>
      </c>
      <c r="H165" s="3" t="s">
        <v>10</v>
      </c>
      <c r="I165" s="2">
        <v>3</v>
      </c>
      <c r="J165" s="2">
        <v>4.75</v>
      </c>
      <c r="K165" t="s">
        <v>253</v>
      </c>
      <c r="L165">
        <v>1</v>
      </c>
      <c r="M165">
        <v>4203.2134672808215</v>
      </c>
      <c r="N165" t="str">
        <f>VLOOKUP(H165,'Tree shrub sapling root eq'!$A$2:$C$12,3,)</f>
        <v>=0.25*X6</v>
      </c>
      <c r="O165" t="str">
        <f t="shared" si="4"/>
        <v>=0.25*4203.21346728082</v>
      </c>
      <c r="P165" cm="1">
        <f t="array" ref="P165">eval_tr_dbh</f>
        <v>1050.8033668202049</v>
      </c>
      <c r="Q165" t="str">
        <f t="shared" si="5"/>
        <v>TN_19_EX_B2</v>
      </c>
    </row>
    <row r="166" spans="1:17" x14ac:dyDescent="0.15">
      <c r="A166" s="6" t="s">
        <v>3</v>
      </c>
      <c r="B166" s="6">
        <v>19</v>
      </c>
      <c r="C166" s="5" t="s">
        <v>23</v>
      </c>
      <c r="D166" s="5" t="s">
        <v>30</v>
      </c>
      <c r="E166" s="7">
        <v>44726</v>
      </c>
      <c r="F166" s="6" t="s">
        <v>5</v>
      </c>
      <c r="G166" s="6" t="s">
        <v>35</v>
      </c>
      <c r="H166" s="3" t="s">
        <v>10</v>
      </c>
      <c r="I166" s="2">
        <v>4.5</v>
      </c>
      <c r="J166" s="2">
        <v>5</v>
      </c>
      <c r="K166" t="s">
        <v>253</v>
      </c>
      <c r="L166">
        <v>1</v>
      </c>
      <c r="M166">
        <v>4708.7989898844462</v>
      </c>
      <c r="N166" t="str">
        <f>VLOOKUP(H166,'Tree shrub sapling root eq'!$A$2:$C$12,3,)</f>
        <v>=0.25*X6</v>
      </c>
      <c r="O166" t="str">
        <f t="shared" si="4"/>
        <v>=0.25*4708.79898988445</v>
      </c>
      <c r="P166" cm="1">
        <f t="array" ref="P166">eval_tr_dbh</f>
        <v>1177.1997474711125</v>
      </c>
      <c r="Q166" t="str">
        <f t="shared" si="5"/>
        <v>TN_19_EX_B1</v>
      </c>
    </row>
    <row r="167" spans="1:17" x14ac:dyDescent="0.15">
      <c r="A167" s="6" t="s">
        <v>3</v>
      </c>
      <c r="B167" s="6">
        <v>19</v>
      </c>
      <c r="C167" s="5" t="s">
        <v>23</v>
      </c>
      <c r="D167" s="5" t="s">
        <v>30</v>
      </c>
      <c r="E167" s="7">
        <v>44726</v>
      </c>
      <c r="F167" s="6" t="s">
        <v>9</v>
      </c>
      <c r="G167" s="6" t="s">
        <v>37</v>
      </c>
      <c r="H167" s="3" t="s">
        <v>15</v>
      </c>
      <c r="I167" s="2">
        <v>5.5</v>
      </c>
      <c r="J167" s="2">
        <v>4.5</v>
      </c>
      <c r="K167" t="s">
        <v>253</v>
      </c>
      <c r="L167">
        <v>1</v>
      </c>
      <c r="M167">
        <v>4317.58218226395</v>
      </c>
      <c r="N167" t="str">
        <f>VLOOKUP(H167,'Tree shrub sapling root eq'!$A$2:$C$12,3,)</f>
        <v>=1.576*X6^0.615</v>
      </c>
      <c r="O167" t="str">
        <f t="shared" si="4"/>
        <v>=1.576*4317.58218226395^0.615</v>
      </c>
      <c r="P167" cm="1">
        <f t="array" ref="P167">eval_tr_dbh</f>
        <v>271.16222576016571</v>
      </c>
      <c r="Q167" t="str">
        <f t="shared" si="5"/>
        <v>TN_19_EX_B4</v>
      </c>
    </row>
    <row r="168" spans="1:17" x14ac:dyDescent="0.15">
      <c r="A168" s="6" t="s">
        <v>3</v>
      </c>
      <c r="B168" s="6">
        <v>19</v>
      </c>
      <c r="C168" s="5" t="s">
        <v>23</v>
      </c>
      <c r="D168" s="5" t="s">
        <v>30</v>
      </c>
      <c r="E168" s="7">
        <v>44726</v>
      </c>
      <c r="F168" s="6" t="s">
        <v>6</v>
      </c>
      <c r="G168" s="6" t="s">
        <v>36</v>
      </c>
      <c r="H168" s="3" t="s">
        <v>10</v>
      </c>
      <c r="I168" s="2">
        <v>5.5</v>
      </c>
      <c r="J168" s="2">
        <v>5.5</v>
      </c>
      <c r="K168" t="s">
        <v>253</v>
      </c>
      <c r="L168">
        <v>1</v>
      </c>
      <c r="M168">
        <v>5819.6547415251471</v>
      </c>
      <c r="N168" t="str">
        <f>VLOOKUP(H168,'Tree shrub sapling root eq'!$A$2:$C$12,3,)</f>
        <v>=0.25*X6</v>
      </c>
      <c r="O168" t="str">
        <f t="shared" si="4"/>
        <v>=0.25*5819.65474152515</v>
      </c>
      <c r="P168" cm="1">
        <f t="array" ref="P168">eval_tr_dbh</f>
        <v>1454.9136853812875</v>
      </c>
      <c r="Q168" t="str">
        <f t="shared" si="5"/>
        <v>TN_19_EX_B2</v>
      </c>
    </row>
    <row r="169" spans="1:17" x14ac:dyDescent="0.15">
      <c r="A169" s="6" t="s">
        <v>3</v>
      </c>
      <c r="B169" s="6">
        <v>19</v>
      </c>
      <c r="C169" s="5" t="s">
        <v>23</v>
      </c>
      <c r="D169" s="5" t="s">
        <v>30</v>
      </c>
      <c r="E169" s="7">
        <v>44726</v>
      </c>
      <c r="F169" s="6" t="s">
        <v>7</v>
      </c>
      <c r="G169" s="6" t="s">
        <v>34</v>
      </c>
      <c r="H169" s="3" t="s">
        <v>10</v>
      </c>
      <c r="I169" s="2">
        <v>4.5</v>
      </c>
      <c r="J169" s="2">
        <v>5.75</v>
      </c>
      <c r="K169" t="s">
        <v>253</v>
      </c>
      <c r="L169">
        <v>1</v>
      </c>
      <c r="M169">
        <v>6426.0117856541538</v>
      </c>
      <c r="N169" t="str">
        <f>VLOOKUP(H169,'Tree shrub sapling root eq'!$A$2:$C$12,3,)</f>
        <v>=0.25*X6</v>
      </c>
      <c r="O169" t="str">
        <f t="shared" si="4"/>
        <v>=0.25*6426.01178565415</v>
      </c>
      <c r="P169" cm="1">
        <f t="array" ref="P169">eval_tr_dbh</f>
        <v>1606.5029464135375</v>
      </c>
      <c r="Q169" t="str">
        <f t="shared" si="5"/>
        <v>TN_19_EX_B3</v>
      </c>
    </row>
    <row r="170" spans="1:17" x14ac:dyDescent="0.15">
      <c r="A170" s="6" t="s">
        <v>3</v>
      </c>
      <c r="B170" s="6">
        <v>19</v>
      </c>
      <c r="C170" s="5" t="s">
        <v>23</v>
      </c>
      <c r="D170" s="5" t="s">
        <v>30</v>
      </c>
      <c r="E170" s="7">
        <v>44726</v>
      </c>
      <c r="F170" s="6" t="s">
        <v>6</v>
      </c>
      <c r="G170" s="6" t="s">
        <v>36</v>
      </c>
      <c r="H170" s="3" t="s">
        <v>15</v>
      </c>
      <c r="I170" s="2">
        <v>5</v>
      </c>
      <c r="J170" s="2">
        <v>5</v>
      </c>
      <c r="K170" t="s">
        <v>253</v>
      </c>
      <c r="L170">
        <v>1</v>
      </c>
      <c r="M170">
        <v>5545.5964997282672</v>
      </c>
      <c r="N170" t="str">
        <f>VLOOKUP(H170,'Tree shrub sapling root eq'!$A$2:$C$12,3,)</f>
        <v>=1.576*X6^0.615</v>
      </c>
      <c r="O170" t="str">
        <f t="shared" si="4"/>
        <v>=1.576*5545.59649972827^0.615</v>
      </c>
      <c r="P170" cm="1">
        <f t="array" ref="P170">eval_tr_dbh</f>
        <v>316.28922515639465</v>
      </c>
      <c r="Q170" t="str">
        <f t="shared" si="5"/>
        <v>TN_19_EX_B2</v>
      </c>
    </row>
    <row r="171" spans="1:17" x14ac:dyDescent="0.15">
      <c r="A171" s="6" t="s">
        <v>3</v>
      </c>
      <c r="B171" s="6">
        <v>19</v>
      </c>
      <c r="C171" s="5" t="s">
        <v>23</v>
      </c>
      <c r="D171" s="5" t="s">
        <v>30</v>
      </c>
      <c r="E171" s="7">
        <v>44726</v>
      </c>
      <c r="F171" s="6" t="s">
        <v>9</v>
      </c>
      <c r="G171" s="6" t="s">
        <v>37</v>
      </c>
      <c r="H171" s="3" t="s">
        <v>15</v>
      </c>
      <c r="I171" s="2">
        <v>6</v>
      </c>
      <c r="J171" s="2">
        <v>5</v>
      </c>
      <c r="K171" t="s">
        <v>253</v>
      </c>
      <c r="L171">
        <v>1</v>
      </c>
      <c r="M171">
        <v>5545.5964997282672</v>
      </c>
      <c r="N171" t="str">
        <f>VLOOKUP(H171,'Tree shrub sapling root eq'!$A$2:$C$12,3,)</f>
        <v>=1.576*X6^0.615</v>
      </c>
      <c r="O171" t="str">
        <f t="shared" si="4"/>
        <v>=1.576*5545.59649972827^0.615</v>
      </c>
      <c r="P171" cm="1">
        <f t="array" ref="P171">eval_tr_dbh</f>
        <v>316.28922515639465</v>
      </c>
      <c r="Q171" t="str">
        <f t="shared" si="5"/>
        <v>TN_19_EX_B4</v>
      </c>
    </row>
    <row r="172" spans="1:17" x14ac:dyDescent="0.15">
      <c r="A172" s="6" t="s">
        <v>3</v>
      </c>
      <c r="B172" s="6">
        <v>19</v>
      </c>
      <c r="C172" s="5" t="s">
        <v>23</v>
      </c>
      <c r="D172" s="5" t="s">
        <v>30</v>
      </c>
      <c r="E172" s="7">
        <v>44726</v>
      </c>
      <c r="F172" s="6" t="s">
        <v>6</v>
      </c>
      <c r="G172" s="6" t="s">
        <v>36</v>
      </c>
      <c r="H172" s="3" t="s">
        <v>15</v>
      </c>
      <c r="I172" s="2">
        <v>5.5</v>
      </c>
      <c r="J172" s="2">
        <v>5.25</v>
      </c>
      <c r="K172" t="s">
        <v>253</v>
      </c>
      <c r="L172">
        <v>1</v>
      </c>
      <c r="M172">
        <v>6229.2762507899752</v>
      </c>
      <c r="N172" t="str">
        <f>VLOOKUP(H172,'Tree shrub sapling root eq'!$A$2:$C$12,3,)</f>
        <v>=1.576*X6^0.615</v>
      </c>
      <c r="O172" t="str">
        <f t="shared" si="4"/>
        <v>=1.576*6229.27625078998^0.615</v>
      </c>
      <c r="P172" cm="1">
        <f t="array" ref="P172">eval_tr_dbh</f>
        <v>339.73112060067376</v>
      </c>
      <c r="Q172" t="str">
        <f t="shared" si="5"/>
        <v>TN_19_EX_B2</v>
      </c>
    </row>
    <row r="173" spans="1:17" x14ac:dyDescent="0.15">
      <c r="A173" s="6" t="s">
        <v>3</v>
      </c>
      <c r="B173" s="6">
        <v>19</v>
      </c>
      <c r="C173" s="5" t="s">
        <v>23</v>
      </c>
      <c r="D173" s="5" t="s">
        <v>30</v>
      </c>
      <c r="E173" s="7">
        <v>44726</v>
      </c>
      <c r="F173" s="6" t="s">
        <v>5</v>
      </c>
      <c r="G173" s="6" t="s">
        <v>35</v>
      </c>
      <c r="H173" s="3" t="s">
        <v>10</v>
      </c>
      <c r="I173" s="2">
        <v>5</v>
      </c>
      <c r="J173" s="2">
        <v>6.5</v>
      </c>
      <c r="K173" t="s">
        <v>253</v>
      </c>
      <c r="L173">
        <v>1</v>
      </c>
      <c r="M173">
        <v>8455.062918442316</v>
      </c>
      <c r="N173" t="str">
        <f>VLOOKUP(H173,'Tree shrub sapling root eq'!$A$2:$C$12,3,)</f>
        <v>=0.25*X6</v>
      </c>
      <c r="O173" t="str">
        <f t="shared" si="4"/>
        <v>=0.25*8455.06291844232</v>
      </c>
      <c r="P173" cm="1">
        <f t="array" ref="P173">eval_tr_dbh</f>
        <v>2113.7657296105799</v>
      </c>
      <c r="Q173" t="str">
        <f t="shared" si="5"/>
        <v>TN_19_EX_B1</v>
      </c>
    </row>
    <row r="174" spans="1:17" x14ac:dyDescent="0.15">
      <c r="A174" s="6" t="s">
        <v>3</v>
      </c>
      <c r="B174" s="6">
        <v>19</v>
      </c>
      <c r="C174" s="5" t="s">
        <v>23</v>
      </c>
      <c r="D174" s="5" t="s">
        <v>30</v>
      </c>
      <c r="E174" s="7">
        <v>44726</v>
      </c>
      <c r="F174" s="6" t="s">
        <v>6</v>
      </c>
      <c r="G174" s="6" t="s">
        <v>36</v>
      </c>
      <c r="H174" s="3" t="s">
        <v>15</v>
      </c>
      <c r="I174" s="2">
        <v>6.5</v>
      </c>
      <c r="J174" s="2">
        <v>6</v>
      </c>
      <c r="K174" t="s">
        <v>253</v>
      </c>
      <c r="L174">
        <v>1</v>
      </c>
      <c r="M174">
        <v>8571.8396920973228</v>
      </c>
      <c r="N174" t="str">
        <f>VLOOKUP(H174,'Tree shrub sapling root eq'!$A$2:$C$12,3,)</f>
        <v>=1.576*X6^0.615</v>
      </c>
      <c r="O174" t="str">
        <f t="shared" si="4"/>
        <v>=1.576*8571.83969209732^0.615</v>
      </c>
      <c r="P174" cm="1">
        <f t="array" ref="P174">eval_tr_dbh</f>
        <v>413.4250123083242</v>
      </c>
      <c r="Q174" t="str">
        <f t="shared" si="5"/>
        <v>TN_19_EX_B2</v>
      </c>
    </row>
    <row r="175" spans="1:17" x14ac:dyDescent="0.15">
      <c r="A175" s="6" t="s">
        <v>3</v>
      </c>
      <c r="B175" s="6">
        <v>19</v>
      </c>
      <c r="C175" s="5" t="s">
        <v>23</v>
      </c>
      <c r="D175" s="5" t="s">
        <v>30</v>
      </c>
      <c r="E175" s="7">
        <v>44726</v>
      </c>
      <c r="F175" s="6" t="s">
        <v>6</v>
      </c>
      <c r="G175" s="6" t="s">
        <v>36</v>
      </c>
      <c r="H175" s="3" t="s">
        <v>10</v>
      </c>
      <c r="I175" s="2">
        <v>6</v>
      </c>
      <c r="J175" s="2">
        <v>7.25</v>
      </c>
      <c r="K175" t="s">
        <v>253</v>
      </c>
      <c r="L175">
        <v>1</v>
      </c>
      <c r="M175">
        <v>10809.531358577111</v>
      </c>
      <c r="N175" t="str">
        <f>VLOOKUP(H175,'Tree shrub sapling root eq'!$A$2:$C$12,3,)</f>
        <v>=0.25*X6</v>
      </c>
      <c r="O175" t="str">
        <f t="shared" si="4"/>
        <v>=0.25*10809.5313585771</v>
      </c>
      <c r="P175" cm="1">
        <f t="array" ref="P175">eval_tr_dbh</f>
        <v>2702.382839644275</v>
      </c>
      <c r="Q175" t="str">
        <f t="shared" si="5"/>
        <v>TN_19_EX_B2</v>
      </c>
    </row>
    <row r="176" spans="1:17" x14ac:dyDescent="0.15">
      <c r="A176" s="5" t="s">
        <v>3</v>
      </c>
      <c r="B176" s="5">
        <v>19</v>
      </c>
      <c r="C176" s="5" t="s">
        <v>23</v>
      </c>
      <c r="D176" s="5" t="s">
        <v>30</v>
      </c>
      <c r="E176" s="7">
        <v>44726</v>
      </c>
      <c r="F176" s="5" t="s">
        <v>5</v>
      </c>
      <c r="G176" s="5" t="s">
        <v>35</v>
      </c>
      <c r="H176" s="3" t="s">
        <v>10</v>
      </c>
      <c r="I176" s="4">
        <v>5.5</v>
      </c>
      <c r="J176" s="4">
        <v>7.5</v>
      </c>
      <c r="K176" t="s">
        <v>253</v>
      </c>
      <c r="L176">
        <v>1</v>
      </c>
      <c r="M176">
        <v>11668.900257010284</v>
      </c>
      <c r="N176" t="str">
        <f>VLOOKUP(H176,'Tree shrub sapling root eq'!$A$2:$C$12,3,)</f>
        <v>=0.25*X6</v>
      </c>
      <c r="O176" t="str">
        <f t="shared" si="4"/>
        <v>=0.25*11668.9002570103</v>
      </c>
      <c r="P176" cm="1">
        <f t="array" ref="P176">eval_tr_dbh</f>
        <v>2917.2250642525751</v>
      </c>
      <c r="Q176" t="str">
        <f t="shared" si="5"/>
        <v>TN_19_EX_B1</v>
      </c>
    </row>
    <row r="177" spans="1:17" x14ac:dyDescent="0.15">
      <c r="A177" s="6" t="s">
        <v>3</v>
      </c>
      <c r="B177" s="6">
        <v>19</v>
      </c>
      <c r="C177" s="5" t="s">
        <v>23</v>
      </c>
      <c r="D177" s="5" t="s">
        <v>30</v>
      </c>
      <c r="E177" s="7">
        <v>44726</v>
      </c>
      <c r="F177" s="6" t="s">
        <v>7</v>
      </c>
      <c r="G177" s="6" t="s">
        <v>34</v>
      </c>
      <c r="H177" s="3" t="s">
        <v>10</v>
      </c>
      <c r="I177" s="2">
        <v>5.5</v>
      </c>
      <c r="J177" s="2">
        <v>7.75</v>
      </c>
      <c r="K177" t="s">
        <v>253</v>
      </c>
      <c r="L177">
        <v>1</v>
      </c>
      <c r="M177">
        <v>12566.309685212867</v>
      </c>
      <c r="N177" t="str">
        <f>VLOOKUP(H177,'Tree shrub sapling root eq'!$A$2:$C$12,3,)</f>
        <v>=0.25*X6</v>
      </c>
      <c r="O177" t="str">
        <f t="shared" si="4"/>
        <v>=0.25*12566.3096852129</v>
      </c>
      <c r="P177" cm="1">
        <f t="array" ref="P177">eval_tr_dbh</f>
        <v>3141.577421303225</v>
      </c>
      <c r="Q177" t="str">
        <f t="shared" si="5"/>
        <v>TN_19_EX_B3</v>
      </c>
    </row>
    <row r="178" spans="1:17" x14ac:dyDescent="0.15">
      <c r="A178" s="6" t="s">
        <v>3</v>
      </c>
      <c r="B178" s="6">
        <v>19</v>
      </c>
      <c r="C178" s="5" t="s">
        <v>23</v>
      </c>
      <c r="D178" s="5" t="s">
        <v>30</v>
      </c>
      <c r="E178" s="7">
        <v>44726</v>
      </c>
      <c r="F178" s="6" t="s">
        <v>9</v>
      </c>
      <c r="G178" s="6" t="s">
        <v>37</v>
      </c>
      <c r="H178" s="3" t="s">
        <v>15</v>
      </c>
      <c r="I178" s="2">
        <v>6.5</v>
      </c>
      <c r="J178" s="2">
        <v>6.75</v>
      </c>
      <c r="K178" t="s">
        <v>253</v>
      </c>
      <c r="L178">
        <v>1</v>
      </c>
      <c r="M178">
        <v>11373.092112548948</v>
      </c>
      <c r="N178" t="str">
        <f>VLOOKUP(H178,'Tree shrub sapling root eq'!$A$2:$C$12,3,)</f>
        <v>=1.576*X6^0.615</v>
      </c>
      <c r="O178" t="str">
        <f t="shared" si="4"/>
        <v>=1.576*11373.0921125489^0.615</v>
      </c>
      <c r="P178" cm="1">
        <f t="array" ref="P178">eval_tr_dbh</f>
        <v>491.95063496222031</v>
      </c>
      <c r="Q178" t="str">
        <f t="shared" si="5"/>
        <v>TN_19_EX_B4</v>
      </c>
    </row>
    <row r="179" spans="1:17" x14ac:dyDescent="0.15">
      <c r="A179" s="6" t="s">
        <v>3</v>
      </c>
      <c r="B179" s="6">
        <v>19</v>
      </c>
      <c r="C179" s="5" t="s">
        <v>23</v>
      </c>
      <c r="D179" s="5" t="s">
        <v>30</v>
      </c>
      <c r="E179" s="7">
        <v>44726</v>
      </c>
      <c r="F179" s="6" t="s">
        <v>9</v>
      </c>
      <c r="G179" s="6" t="s">
        <v>37</v>
      </c>
      <c r="H179" s="3" t="s">
        <v>15</v>
      </c>
      <c r="I179" s="2">
        <v>7</v>
      </c>
      <c r="J179" s="2">
        <v>7</v>
      </c>
      <c r="K179" t="s">
        <v>253</v>
      </c>
      <c r="L179">
        <v>1</v>
      </c>
      <c r="M179">
        <v>12413.345768382282</v>
      </c>
      <c r="N179" t="str">
        <f>VLOOKUP(H179,'Tree shrub sapling root eq'!$A$2:$C$12,3,)</f>
        <v>=1.576*X6^0.615</v>
      </c>
      <c r="O179" t="str">
        <f t="shared" si="4"/>
        <v>=1.576*12413.3457683823^0.615</v>
      </c>
      <c r="P179" cm="1">
        <f t="array" ref="P179">eval_tr_dbh</f>
        <v>519.15597598892339</v>
      </c>
      <c r="Q179" t="str">
        <f t="shared" si="5"/>
        <v>TN_19_EX_B4</v>
      </c>
    </row>
    <row r="180" spans="1:17" x14ac:dyDescent="0.15">
      <c r="A180" s="5" t="s">
        <v>3</v>
      </c>
      <c r="B180" s="5">
        <v>20</v>
      </c>
      <c r="C180" s="5" t="s">
        <v>22</v>
      </c>
      <c r="D180" s="5" t="s">
        <v>30</v>
      </c>
      <c r="E180" s="7">
        <v>44726</v>
      </c>
      <c r="F180" s="5" t="s">
        <v>5</v>
      </c>
      <c r="G180" s="5" t="s">
        <v>35</v>
      </c>
      <c r="H180" s="5" t="s">
        <v>15</v>
      </c>
      <c r="I180" s="4">
        <v>7</v>
      </c>
      <c r="J180" s="4">
        <v>26.5</v>
      </c>
      <c r="K180" t="s">
        <v>177</v>
      </c>
      <c r="L180">
        <v>2</v>
      </c>
      <c r="M180">
        <v>321310.77855363145</v>
      </c>
      <c r="N180" t="str">
        <f>VLOOKUP(H180,'Tree shrub sapling root eq'!$A$2:$C$12,3,)</f>
        <v>=1.576*X6^0.615</v>
      </c>
      <c r="O180" t="str">
        <f t="shared" si="4"/>
        <v>=1.576*321310.778553631^0.615</v>
      </c>
      <c r="P180" cm="1">
        <f t="array" ref="P180">eval_tr_dbh</f>
        <v>3839.858928537853</v>
      </c>
      <c r="Q180" t="str">
        <f t="shared" si="5"/>
        <v>TN_20_CTRL_B1</v>
      </c>
    </row>
    <row r="181" spans="1:17" x14ac:dyDescent="0.15">
      <c r="A181" s="5" t="s">
        <v>3</v>
      </c>
      <c r="B181" s="5">
        <v>20</v>
      </c>
      <c r="C181" s="5" t="s">
        <v>22</v>
      </c>
      <c r="D181" s="5" t="s">
        <v>30</v>
      </c>
      <c r="E181" s="7">
        <v>44726</v>
      </c>
      <c r="F181" s="5" t="s">
        <v>6</v>
      </c>
      <c r="G181" s="5" t="s">
        <v>36</v>
      </c>
      <c r="H181" s="5" t="s">
        <v>21</v>
      </c>
      <c r="I181" s="4" t="s">
        <v>4</v>
      </c>
      <c r="J181" s="4" t="s">
        <v>4</v>
      </c>
      <c r="K181" t="s">
        <v>177</v>
      </c>
      <c r="L181">
        <v>2</v>
      </c>
      <c r="M181" t="e">
        <v>#N/A</v>
      </c>
      <c r="N181" t="e">
        <f>VLOOKUP(H181,'Tree shrub sapling root eq'!$A$2:$C$12,3,)</f>
        <v>#N/A</v>
      </c>
      <c r="O181" t="e">
        <f t="shared" si="4"/>
        <v>#N/A</v>
      </c>
      <c r="P181" t="e" cm="1">
        <f t="array" ref="P181">eval_tr_dbh</f>
        <v>#N/A</v>
      </c>
      <c r="Q181" t="str">
        <f t="shared" si="5"/>
        <v>TN_20_CTRL_B2</v>
      </c>
    </row>
    <row r="182" spans="1:17" x14ac:dyDescent="0.15">
      <c r="A182" s="5" t="s">
        <v>3</v>
      </c>
      <c r="B182" s="5">
        <v>20</v>
      </c>
      <c r="C182" s="5" t="s">
        <v>22</v>
      </c>
      <c r="D182" s="5" t="s">
        <v>30</v>
      </c>
      <c r="E182" s="7">
        <v>44726</v>
      </c>
      <c r="F182" s="5" t="s">
        <v>7</v>
      </c>
      <c r="G182" s="5" t="s">
        <v>34</v>
      </c>
      <c r="H182" s="5" t="s">
        <v>21</v>
      </c>
      <c r="I182" s="4" t="s">
        <v>4</v>
      </c>
      <c r="J182" s="4" t="s">
        <v>4</v>
      </c>
      <c r="K182" t="s">
        <v>177</v>
      </c>
      <c r="L182">
        <v>2</v>
      </c>
      <c r="M182" t="e">
        <v>#N/A</v>
      </c>
      <c r="N182" t="e">
        <f>VLOOKUP(H182,'Tree shrub sapling root eq'!$A$2:$C$12,3,)</f>
        <v>#N/A</v>
      </c>
      <c r="O182" t="e">
        <f t="shared" si="4"/>
        <v>#N/A</v>
      </c>
      <c r="P182" t="e" cm="1">
        <f t="array" ref="P182">eval_tr_dbh</f>
        <v>#N/A</v>
      </c>
      <c r="Q182" t="str">
        <f t="shared" si="5"/>
        <v>TN_20_CTRL_B3</v>
      </c>
    </row>
    <row r="183" spans="1:17" x14ac:dyDescent="0.15">
      <c r="A183" s="5" t="s">
        <v>3</v>
      </c>
      <c r="B183" s="5">
        <v>20</v>
      </c>
      <c r="C183" s="5" t="s">
        <v>22</v>
      </c>
      <c r="D183" s="5" t="s">
        <v>30</v>
      </c>
      <c r="E183" s="7">
        <v>44726</v>
      </c>
      <c r="F183" s="5" t="s">
        <v>9</v>
      </c>
      <c r="G183" s="5" t="s">
        <v>37</v>
      </c>
      <c r="H183" s="5" t="s">
        <v>21</v>
      </c>
      <c r="I183" s="4" t="s">
        <v>4</v>
      </c>
      <c r="J183" s="4" t="s">
        <v>4</v>
      </c>
      <c r="K183" t="s">
        <v>177</v>
      </c>
      <c r="L183">
        <v>2</v>
      </c>
      <c r="M183" t="e">
        <v>#N/A</v>
      </c>
      <c r="N183" t="e">
        <f>VLOOKUP(H183,'Tree shrub sapling root eq'!$A$2:$C$12,3,)</f>
        <v>#N/A</v>
      </c>
      <c r="O183" t="e">
        <f t="shared" si="4"/>
        <v>#N/A</v>
      </c>
      <c r="P183" t="e" cm="1">
        <f t="array" ref="P183">eval_tr_dbh</f>
        <v>#N/A</v>
      </c>
      <c r="Q183" t="str">
        <f t="shared" si="5"/>
        <v>TN_20_CTRL_B4</v>
      </c>
    </row>
    <row r="184" spans="1:17" x14ac:dyDescent="0.15">
      <c r="A184" s="5" t="s">
        <v>3</v>
      </c>
      <c r="B184" s="5">
        <v>20</v>
      </c>
      <c r="C184" s="5" t="s">
        <v>23</v>
      </c>
      <c r="D184" s="5" t="s">
        <v>30</v>
      </c>
      <c r="E184" s="7">
        <v>44726</v>
      </c>
      <c r="F184" s="5" t="s">
        <v>9</v>
      </c>
      <c r="G184" s="5" t="s">
        <v>37</v>
      </c>
      <c r="H184" s="3" t="s">
        <v>10</v>
      </c>
      <c r="I184" s="4">
        <v>4</v>
      </c>
      <c r="J184" s="4">
        <v>3.6</v>
      </c>
      <c r="K184" t="s">
        <v>257</v>
      </c>
      <c r="L184">
        <v>2</v>
      </c>
      <c r="M184">
        <v>2286.761293133959</v>
      </c>
      <c r="N184" t="str">
        <f>VLOOKUP(H184,'Tree shrub sapling root eq'!$A$2:$C$12,3,)</f>
        <v>=0.25*X6</v>
      </c>
      <c r="O184" t="str">
        <f t="shared" si="4"/>
        <v>=0.25*2286.76129313396</v>
      </c>
      <c r="P184" cm="1">
        <f t="array" ref="P184">eval_tr_dbh</f>
        <v>571.69032328348999</v>
      </c>
      <c r="Q184" t="str">
        <f t="shared" si="5"/>
        <v>TN_20_EX_B4</v>
      </c>
    </row>
    <row r="185" spans="1:17" x14ac:dyDescent="0.15">
      <c r="A185" s="5" t="s">
        <v>3</v>
      </c>
      <c r="B185" s="5">
        <v>20</v>
      </c>
      <c r="C185" s="5" t="s">
        <v>23</v>
      </c>
      <c r="D185" s="5" t="s">
        <v>30</v>
      </c>
      <c r="E185" s="7">
        <v>44726</v>
      </c>
      <c r="F185" s="5" t="s">
        <v>5</v>
      </c>
      <c r="G185" s="5" t="s">
        <v>35</v>
      </c>
      <c r="H185" s="5" t="s">
        <v>17</v>
      </c>
      <c r="I185" s="4">
        <v>4</v>
      </c>
      <c r="J185" s="4">
        <v>4.3</v>
      </c>
      <c r="K185" t="s">
        <v>257</v>
      </c>
      <c r="L185">
        <v>2</v>
      </c>
      <c r="M185">
        <v>4841.8884623631375</v>
      </c>
      <c r="N185" t="str">
        <f>VLOOKUP(H185,'Tree shrub sapling root eq'!$A$2:$C$12,3,)</f>
        <v>=1.576*X6^0.615</v>
      </c>
      <c r="O185" t="str">
        <f t="shared" si="4"/>
        <v>=1.576*4841.88846236314^0.615</v>
      </c>
      <c r="P185" cm="1">
        <f t="array" ref="P185">eval_tr_dbh</f>
        <v>290.96470001808302</v>
      </c>
      <c r="Q185" t="str">
        <f t="shared" si="5"/>
        <v>TN_20_EX_B1</v>
      </c>
    </row>
    <row r="186" spans="1:17" x14ac:dyDescent="0.15">
      <c r="A186" s="5" t="s">
        <v>3</v>
      </c>
      <c r="B186" s="5">
        <v>20</v>
      </c>
      <c r="C186" s="5" t="s">
        <v>23</v>
      </c>
      <c r="D186" s="5" t="s">
        <v>30</v>
      </c>
      <c r="E186" s="7">
        <v>44726</v>
      </c>
      <c r="F186" s="5" t="s">
        <v>7</v>
      </c>
      <c r="G186" s="5" t="s">
        <v>34</v>
      </c>
      <c r="H186" s="3" t="s">
        <v>8</v>
      </c>
      <c r="I186" s="4">
        <v>3.5</v>
      </c>
      <c r="J186" s="4">
        <v>5.2</v>
      </c>
      <c r="K186" t="s">
        <v>257</v>
      </c>
      <c r="L186">
        <v>2</v>
      </c>
      <c r="M186">
        <v>6190.7443771281978</v>
      </c>
      <c r="N186" t="str">
        <f>VLOOKUP(H186,'Tree shrub sapling root eq'!$A$2:$C$12,3,)</f>
        <v>=0.222*X6</v>
      </c>
      <c r="O186" t="str">
        <f t="shared" si="4"/>
        <v>=0.222*6190.7443771282</v>
      </c>
      <c r="P186" cm="1">
        <f t="array" ref="P186">eval_tr_dbh</f>
        <v>1374.3452517224603</v>
      </c>
      <c r="Q186" t="str">
        <f t="shared" si="5"/>
        <v>TN_20_EX_B3</v>
      </c>
    </row>
    <row r="187" spans="1:17" x14ac:dyDescent="0.15">
      <c r="A187" s="5" t="s">
        <v>3</v>
      </c>
      <c r="B187" s="5">
        <v>20</v>
      </c>
      <c r="C187" s="5" t="s">
        <v>23</v>
      </c>
      <c r="D187" s="5" t="s">
        <v>30</v>
      </c>
      <c r="E187" s="7">
        <v>44726</v>
      </c>
      <c r="F187" s="5" t="s">
        <v>6</v>
      </c>
      <c r="G187" s="5" t="s">
        <v>36</v>
      </c>
      <c r="H187" s="3" t="s">
        <v>10</v>
      </c>
      <c r="I187" s="4">
        <v>4.5</v>
      </c>
      <c r="J187" s="4">
        <v>6</v>
      </c>
      <c r="K187" t="s">
        <v>257</v>
      </c>
      <c r="L187">
        <v>2</v>
      </c>
      <c r="M187">
        <v>7067.0252069550461</v>
      </c>
      <c r="N187" t="str">
        <f>VLOOKUP(H187,'Tree shrub sapling root eq'!$A$2:$C$12,3,)</f>
        <v>=0.25*X6</v>
      </c>
      <c r="O187" t="str">
        <f t="shared" si="4"/>
        <v>=0.25*7067.02520695505</v>
      </c>
      <c r="P187" cm="1">
        <f t="array" ref="P187">eval_tr_dbh</f>
        <v>1766.7563017387624</v>
      </c>
      <c r="Q187" t="str">
        <f t="shared" si="5"/>
        <v>TN_20_EX_B2</v>
      </c>
    </row>
    <row r="188" spans="1:17" x14ac:dyDescent="0.15">
      <c r="A188" s="5" t="s">
        <v>3</v>
      </c>
      <c r="B188" s="5">
        <v>20</v>
      </c>
      <c r="C188" s="5" t="s">
        <v>23</v>
      </c>
      <c r="D188" s="5" t="s">
        <v>30</v>
      </c>
      <c r="E188" s="7">
        <v>44726</v>
      </c>
      <c r="F188" s="5" t="s">
        <v>9</v>
      </c>
      <c r="G188" s="5" t="s">
        <v>37</v>
      </c>
      <c r="H188" s="3" t="s">
        <v>10</v>
      </c>
      <c r="I188" s="4">
        <v>3.9</v>
      </c>
      <c r="J188" s="4">
        <v>6</v>
      </c>
      <c r="K188" t="s">
        <v>257</v>
      </c>
      <c r="L188">
        <v>2</v>
      </c>
      <c r="M188">
        <v>7067.0252069550461</v>
      </c>
      <c r="N188" t="str">
        <f>VLOOKUP(H188,'Tree shrub sapling root eq'!$A$2:$C$12,3,)</f>
        <v>=0.25*X6</v>
      </c>
      <c r="O188" t="str">
        <f t="shared" si="4"/>
        <v>=0.25*7067.02520695505</v>
      </c>
      <c r="P188" cm="1">
        <f t="array" ref="P188">eval_tr_dbh</f>
        <v>1766.7563017387624</v>
      </c>
      <c r="Q188" t="str">
        <f t="shared" si="5"/>
        <v>TN_20_EX_B4</v>
      </c>
    </row>
    <row r="189" spans="1:17" x14ac:dyDescent="0.15">
      <c r="A189" s="5" t="s">
        <v>3</v>
      </c>
      <c r="B189" s="5">
        <v>20</v>
      </c>
      <c r="C189" s="5" t="s">
        <v>23</v>
      </c>
      <c r="D189" s="5" t="s">
        <v>30</v>
      </c>
      <c r="E189" s="7">
        <v>44726</v>
      </c>
      <c r="F189" s="5" t="s">
        <v>9</v>
      </c>
      <c r="G189" s="5" t="s">
        <v>37</v>
      </c>
      <c r="H189" s="3" t="s">
        <v>10</v>
      </c>
      <c r="I189" s="4">
        <v>3.8</v>
      </c>
      <c r="J189" s="4">
        <v>6.1</v>
      </c>
      <c r="K189" t="s">
        <v>257</v>
      </c>
      <c r="L189">
        <v>2</v>
      </c>
      <c r="M189">
        <v>7333.2496753482665</v>
      </c>
      <c r="N189" t="str">
        <f>VLOOKUP(H189,'Tree shrub sapling root eq'!$A$2:$C$12,3,)</f>
        <v>=0.25*X6</v>
      </c>
      <c r="O189" t="str">
        <f t="shared" si="4"/>
        <v>=0.25*7333.24967534827</v>
      </c>
      <c r="P189" cm="1">
        <f t="array" ref="P189">eval_tr_dbh</f>
        <v>1833.3124188370675</v>
      </c>
      <c r="Q189" t="str">
        <f t="shared" si="5"/>
        <v>TN_20_EX_B4</v>
      </c>
    </row>
    <row r="190" spans="1:17" x14ac:dyDescent="0.15">
      <c r="A190" s="5" t="s">
        <v>3</v>
      </c>
      <c r="B190" s="5">
        <v>20</v>
      </c>
      <c r="C190" s="5" t="s">
        <v>23</v>
      </c>
      <c r="D190" s="5" t="s">
        <v>30</v>
      </c>
      <c r="E190" s="7">
        <v>44726</v>
      </c>
      <c r="F190" s="5" t="s">
        <v>6</v>
      </c>
      <c r="G190" s="5" t="s">
        <v>36</v>
      </c>
      <c r="H190" s="5" t="s">
        <v>15</v>
      </c>
      <c r="I190" s="4">
        <v>6.5</v>
      </c>
      <c r="J190" s="4">
        <v>8</v>
      </c>
      <c r="K190" t="s">
        <v>257</v>
      </c>
      <c r="L190">
        <v>2</v>
      </c>
      <c r="M190">
        <v>17131.736589662174</v>
      </c>
      <c r="N190" t="str">
        <f>VLOOKUP(H190,'Tree shrub sapling root eq'!$A$2:$C$12,3,)</f>
        <v>=1.576*X6^0.615</v>
      </c>
      <c r="O190" t="str">
        <f t="shared" si="4"/>
        <v>=1.576*17131.7365896622^0.615</v>
      </c>
      <c r="P190" cm="1">
        <f t="array" ref="P190">eval_tr_dbh</f>
        <v>632.91307399422965</v>
      </c>
      <c r="Q190" t="str">
        <f t="shared" si="5"/>
        <v>TN_20_EX_B2</v>
      </c>
    </row>
    <row r="191" spans="1:17" x14ac:dyDescent="0.15">
      <c r="A191" s="5" t="s">
        <v>3</v>
      </c>
      <c r="B191" s="5">
        <v>21</v>
      </c>
      <c r="C191" s="5" t="s">
        <v>22</v>
      </c>
      <c r="D191" s="5" t="s">
        <v>30</v>
      </c>
      <c r="E191" s="7">
        <v>44728</v>
      </c>
      <c r="F191" s="5" t="s">
        <v>9</v>
      </c>
      <c r="G191" s="5" t="s">
        <v>37</v>
      </c>
      <c r="H191" s="3" t="s">
        <v>8</v>
      </c>
      <c r="I191" s="4">
        <v>4</v>
      </c>
      <c r="J191" s="4">
        <v>4</v>
      </c>
      <c r="K191" t="s">
        <v>172</v>
      </c>
      <c r="L191">
        <v>1</v>
      </c>
      <c r="M191">
        <v>3571.0106093778986</v>
      </c>
      <c r="N191" t="str">
        <f>VLOOKUP(H191,'Tree shrub sapling root eq'!$A$2:$C$12,3,)</f>
        <v>=0.222*X6</v>
      </c>
      <c r="O191" t="str">
        <f t="shared" si="4"/>
        <v>=0.222*3571.0106093779</v>
      </c>
      <c r="P191" cm="1">
        <f t="array" ref="P191">eval_tr_dbh</f>
        <v>792.76435528189381</v>
      </c>
      <c r="Q191" t="str">
        <f t="shared" si="5"/>
        <v>TN_21_CTRL_B4</v>
      </c>
    </row>
    <row r="192" spans="1:17" x14ac:dyDescent="0.15">
      <c r="A192" s="5" t="s">
        <v>3</v>
      </c>
      <c r="B192" s="5">
        <v>21</v>
      </c>
      <c r="C192" s="5" t="s">
        <v>22</v>
      </c>
      <c r="D192" s="5" t="s">
        <v>30</v>
      </c>
      <c r="E192" s="7">
        <v>44728</v>
      </c>
      <c r="F192" s="5" t="s">
        <v>5</v>
      </c>
      <c r="G192" s="5" t="s">
        <v>35</v>
      </c>
      <c r="H192" s="5" t="s">
        <v>21</v>
      </c>
      <c r="I192" s="4" t="s">
        <v>4</v>
      </c>
      <c r="J192" s="4" t="s">
        <v>4</v>
      </c>
      <c r="K192" t="s">
        <v>172</v>
      </c>
      <c r="L192">
        <v>1</v>
      </c>
      <c r="M192" t="e">
        <v>#N/A</v>
      </c>
      <c r="N192" t="e">
        <f>VLOOKUP(H192,'Tree shrub sapling root eq'!$A$2:$C$12,3,)</f>
        <v>#N/A</v>
      </c>
      <c r="O192" t="e">
        <f t="shared" si="4"/>
        <v>#N/A</v>
      </c>
      <c r="P192" t="e" cm="1">
        <f t="array" ref="P192">eval_tr_dbh</f>
        <v>#N/A</v>
      </c>
      <c r="Q192" t="str">
        <f t="shared" si="5"/>
        <v>TN_21_CTRL_B1</v>
      </c>
    </row>
    <row r="193" spans="1:17" x14ac:dyDescent="0.15">
      <c r="A193" s="5" t="s">
        <v>3</v>
      </c>
      <c r="B193" s="5">
        <v>21</v>
      </c>
      <c r="C193" s="5" t="s">
        <v>22</v>
      </c>
      <c r="D193" s="5" t="s">
        <v>30</v>
      </c>
      <c r="E193" s="7">
        <v>44728</v>
      </c>
      <c r="F193" s="5" t="s">
        <v>6</v>
      </c>
      <c r="G193" s="5" t="s">
        <v>36</v>
      </c>
      <c r="H193" s="5" t="s">
        <v>21</v>
      </c>
      <c r="I193" s="4" t="s">
        <v>4</v>
      </c>
      <c r="J193" s="4" t="s">
        <v>4</v>
      </c>
      <c r="K193" t="s">
        <v>172</v>
      </c>
      <c r="L193">
        <v>1</v>
      </c>
      <c r="M193" t="e">
        <v>#N/A</v>
      </c>
      <c r="N193" t="e">
        <f>VLOOKUP(H193,'Tree shrub sapling root eq'!$A$2:$C$12,3,)</f>
        <v>#N/A</v>
      </c>
      <c r="O193" t="e">
        <f t="shared" si="4"/>
        <v>#N/A</v>
      </c>
      <c r="P193" t="e" cm="1">
        <f t="array" ref="P193">eval_tr_dbh</f>
        <v>#N/A</v>
      </c>
      <c r="Q193" t="str">
        <f t="shared" si="5"/>
        <v>TN_21_CTRL_B2</v>
      </c>
    </row>
    <row r="194" spans="1:17" x14ac:dyDescent="0.15">
      <c r="A194" s="5" t="s">
        <v>3</v>
      </c>
      <c r="B194" s="5">
        <v>21</v>
      </c>
      <c r="C194" s="5" t="s">
        <v>22</v>
      </c>
      <c r="D194" s="5" t="s">
        <v>30</v>
      </c>
      <c r="E194" s="7">
        <v>44728</v>
      </c>
      <c r="F194" s="5" t="s">
        <v>7</v>
      </c>
      <c r="G194" s="5" t="s">
        <v>34</v>
      </c>
      <c r="H194" s="5" t="s">
        <v>21</v>
      </c>
      <c r="I194" s="4" t="s">
        <v>4</v>
      </c>
      <c r="J194" s="4" t="s">
        <v>4</v>
      </c>
      <c r="K194" t="s">
        <v>172</v>
      </c>
      <c r="L194">
        <v>1</v>
      </c>
      <c r="M194" t="e">
        <v>#N/A</v>
      </c>
      <c r="N194" t="e">
        <f>VLOOKUP(H194,'Tree shrub sapling root eq'!$A$2:$C$12,3,)</f>
        <v>#N/A</v>
      </c>
      <c r="O194" t="e">
        <f t="shared" si="4"/>
        <v>#N/A</v>
      </c>
      <c r="P194" t="e" cm="1">
        <f t="array" ref="P194">eval_tr_dbh</f>
        <v>#N/A</v>
      </c>
      <c r="Q194" t="str">
        <f t="shared" si="5"/>
        <v>TN_21_CTRL_B3</v>
      </c>
    </row>
    <row r="195" spans="1:17" x14ac:dyDescent="0.15">
      <c r="A195" s="5" t="s">
        <v>3</v>
      </c>
      <c r="B195" s="5">
        <v>21</v>
      </c>
      <c r="C195" s="5" t="s">
        <v>23</v>
      </c>
      <c r="D195" s="5" t="s">
        <v>30</v>
      </c>
      <c r="E195" s="7">
        <v>44728</v>
      </c>
      <c r="F195" s="5" t="s">
        <v>6</v>
      </c>
      <c r="G195" s="5" t="s">
        <v>36</v>
      </c>
      <c r="H195" s="3" t="s">
        <v>12</v>
      </c>
      <c r="I195" s="4">
        <v>3</v>
      </c>
      <c r="J195" s="4">
        <v>1.5</v>
      </c>
      <c r="K195" t="s">
        <v>254</v>
      </c>
      <c r="L195">
        <v>1</v>
      </c>
      <c r="M195">
        <v>473.5711018460479</v>
      </c>
      <c r="N195" t="str">
        <f>VLOOKUP(H195,'Tree shrub sapling root eq'!$A$2:$C$12,3,)</f>
        <v>=1.576*X6^0.615</v>
      </c>
      <c r="O195" t="str">
        <f t="shared" ref="O195:O258" si="6">SUBSTITUTE(N195,"X6",M195)</f>
        <v>=1.576*473.571101846048^0.615</v>
      </c>
      <c r="P195" cm="1">
        <f t="array" ref="P195">eval_tr_dbh</f>
        <v>69.649516655229434</v>
      </c>
      <c r="Q195" t="str">
        <f t="shared" ref="Q195:Q258" si="7">A195&amp;"_"&amp;B195&amp;"_"&amp;C195&amp;"_"&amp;G195</f>
        <v>TN_21_EX_B2</v>
      </c>
    </row>
    <row r="196" spans="1:17" x14ac:dyDescent="0.15">
      <c r="A196" s="5" t="s">
        <v>3</v>
      </c>
      <c r="B196" s="5">
        <v>21</v>
      </c>
      <c r="C196" s="5" t="s">
        <v>23</v>
      </c>
      <c r="D196" s="5" t="s">
        <v>30</v>
      </c>
      <c r="E196" s="7">
        <v>44728</v>
      </c>
      <c r="F196" s="5" t="s">
        <v>9</v>
      </c>
      <c r="G196" s="5" t="s">
        <v>37</v>
      </c>
      <c r="H196" s="5" t="s">
        <v>14</v>
      </c>
      <c r="I196" s="4">
        <v>4</v>
      </c>
      <c r="J196" s="4">
        <v>2.25</v>
      </c>
      <c r="K196" t="s">
        <v>254</v>
      </c>
      <c r="L196">
        <v>1</v>
      </c>
      <c r="M196">
        <v>1190.7010179849788</v>
      </c>
      <c r="N196" t="str">
        <f>VLOOKUP(H196,'Tree shrub sapling root eq'!$A$2:$C$12,3,)</f>
        <v>=1.576*X6^0.615</v>
      </c>
      <c r="O196" t="str">
        <f t="shared" si="6"/>
        <v>=1.576*1190.70101798498^0.615</v>
      </c>
      <c r="P196" cm="1">
        <f t="array" ref="P196">eval_tr_dbh</f>
        <v>122.79336165020884</v>
      </c>
      <c r="Q196" t="str">
        <f t="shared" si="7"/>
        <v>TN_21_EX_B4</v>
      </c>
    </row>
    <row r="197" spans="1:17" x14ac:dyDescent="0.15">
      <c r="A197" s="5" t="s">
        <v>3</v>
      </c>
      <c r="B197" s="5">
        <v>21</v>
      </c>
      <c r="C197" s="5" t="s">
        <v>23</v>
      </c>
      <c r="D197" s="5" t="s">
        <v>30</v>
      </c>
      <c r="E197" s="7">
        <v>44728</v>
      </c>
      <c r="F197" s="5" t="s">
        <v>5</v>
      </c>
      <c r="G197" s="5" t="s">
        <v>35</v>
      </c>
      <c r="H197" s="3" t="s">
        <v>12</v>
      </c>
      <c r="I197" s="4">
        <v>3</v>
      </c>
      <c r="J197" s="4">
        <v>2.5</v>
      </c>
      <c r="K197" t="s">
        <v>254</v>
      </c>
      <c r="L197">
        <v>1</v>
      </c>
      <c r="M197">
        <v>1444.4111774325797</v>
      </c>
      <c r="N197" t="str">
        <f>VLOOKUP(H197,'Tree shrub sapling root eq'!$A$2:$C$12,3,)</f>
        <v>=1.576*X6^0.615</v>
      </c>
      <c r="O197" t="str">
        <f t="shared" si="6"/>
        <v>=1.576*1444.41117743258^0.615</v>
      </c>
      <c r="P197" cm="1">
        <f t="array" ref="P197">eval_tr_dbh</f>
        <v>138.28213623510675</v>
      </c>
      <c r="Q197" t="str">
        <f t="shared" si="7"/>
        <v>TN_21_EX_B1</v>
      </c>
    </row>
    <row r="198" spans="1:17" x14ac:dyDescent="0.15">
      <c r="A198" s="5" t="s">
        <v>3</v>
      </c>
      <c r="B198" s="5">
        <v>21</v>
      </c>
      <c r="C198" s="5" t="s">
        <v>23</v>
      </c>
      <c r="D198" s="5" t="s">
        <v>30</v>
      </c>
      <c r="E198" s="7">
        <v>44728</v>
      </c>
      <c r="F198" s="5" t="s">
        <v>5</v>
      </c>
      <c r="G198" s="5" t="s">
        <v>35</v>
      </c>
      <c r="H198" s="3" t="s">
        <v>12</v>
      </c>
      <c r="I198" s="4">
        <v>3.5</v>
      </c>
      <c r="J198" s="4">
        <v>2.5</v>
      </c>
      <c r="K198" t="s">
        <v>254</v>
      </c>
      <c r="L198">
        <v>1</v>
      </c>
      <c r="M198">
        <v>1444.4111774325797</v>
      </c>
      <c r="N198" t="str">
        <f>VLOOKUP(H198,'Tree shrub sapling root eq'!$A$2:$C$12,3,)</f>
        <v>=1.576*X6^0.615</v>
      </c>
      <c r="O198" t="str">
        <f t="shared" si="6"/>
        <v>=1.576*1444.41117743258^0.615</v>
      </c>
      <c r="P198" cm="1">
        <f t="array" ref="P198">eval_tr_dbh</f>
        <v>138.28213623510675</v>
      </c>
      <c r="Q198" t="str">
        <f t="shared" si="7"/>
        <v>TN_21_EX_B1</v>
      </c>
    </row>
    <row r="199" spans="1:17" x14ac:dyDescent="0.15">
      <c r="A199" s="5" t="s">
        <v>3</v>
      </c>
      <c r="B199" s="5">
        <v>21</v>
      </c>
      <c r="C199" s="5" t="s">
        <v>23</v>
      </c>
      <c r="D199" s="5" t="s">
        <v>30</v>
      </c>
      <c r="E199" s="7">
        <v>44728</v>
      </c>
      <c r="F199" s="5" t="s">
        <v>7</v>
      </c>
      <c r="G199" s="5" t="s">
        <v>34</v>
      </c>
      <c r="H199" s="3" t="s">
        <v>12</v>
      </c>
      <c r="I199" s="4">
        <v>4</v>
      </c>
      <c r="J199" s="4">
        <v>2.5</v>
      </c>
      <c r="K199" t="s">
        <v>254</v>
      </c>
      <c r="L199">
        <v>1</v>
      </c>
      <c r="M199">
        <v>1444.4111774325797</v>
      </c>
      <c r="N199" t="str">
        <f>VLOOKUP(H199,'Tree shrub sapling root eq'!$A$2:$C$12,3,)</f>
        <v>=1.576*X6^0.615</v>
      </c>
      <c r="O199" t="str">
        <f t="shared" si="6"/>
        <v>=1.576*1444.41117743258^0.615</v>
      </c>
      <c r="P199" cm="1">
        <f t="array" ref="P199">eval_tr_dbh</f>
        <v>138.28213623510675</v>
      </c>
      <c r="Q199" t="str">
        <f t="shared" si="7"/>
        <v>TN_21_EX_B3</v>
      </c>
    </row>
    <row r="200" spans="1:17" x14ac:dyDescent="0.15">
      <c r="A200" s="5" t="s">
        <v>3</v>
      </c>
      <c r="B200" s="5">
        <v>21</v>
      </c>
      <c r="C200" s="5" t="s">
        <v>23</v>
      </c>
      <c r="D200" s="5" t="s">
        <v>30</v>
      </c>
      <c r="E200" s="7">
        <v>44728</v>
      </c>
      <c r="F200" s="5" t="s">
        <v>5</v>
      </c>
      <c r="G200" s="5" t="s">
        <v>35</v>
      </c>
      <c r="H200" s="3" t="s">
        <v>12</v>
      </c>
      <c r="I200" s="4">
        <v>4.5</v>
      </c>
      <c r="J200" s="4">
        <v>2.5</v>
      </c>
      <c r="K200" t="s">
        <v>254</v>
      </c>
      <c r="L200">
        <v>1</v>
      </c>
      <c r="M200">
        <v>1444.4111774325797</v>
      </c>
      <c r="N200" t="str">
        <f>VLOOKUP(H200,'Tree shrub sapling root eq'!$A$2:$C$12,3,)</f>
        <v>=1.576*X6^0.615</v>
      </c>
      <c r="O200" t="str">
        <f t="shared" si="6"/>
        <v>=1.576*1444.41117743258^0.615</v>
      </c>
      <c r="P200" cm="1">
        <f t="array" ref="P200">eval_tr_dbh</f>
        <v>138.28213623510675</v>
      </c>
      <c r="Q200" t="str">
        <f t="shared" si="7"/>
        <v>TN_21_EX_B1</v>
      </c>
    </row>
    <row r="201" spans="1:17" x14ac:dyDescent="0.15">
      <c r="A201" s="5" t="s">
        <v>3</v>
      </c>
      <c r="B201" s="5">
        <v>21</v>
      </c>
      <c r="C201" s="5" t="s">
        <v>23</v>
      </c>
      <c r="D201" s="5" t="s">
        <v>30</v>
      </c>
      <c r="E201" s="7">
        <v>44728</v>
      </c>
      <c r="F201" s="5" t="s">
        <v>9</v>
      </c>
      <c r="G201" s="5" t="s">
        <v>37</v>
      </c>
      <c r="H201" s="5" t="s">
        <v>12</v>
      </c>
      <c r="I201" s="4">
        <v>5.5</v>
      </c>
      <c r="J201" s="4">
        <v>2.5</v>
      </c>
      <c r="K201" t="s">
        <v>254</v>
      </c>
      <c r="L201">
        <v>1</v>
      </c>
      <c r="M201">
        <v>1444.4111774325797</v>
      </c>
      <c r="N201" t="str">
        <f>VLOOKUP(H201,'Tree shrub sapling root eq'!$A$2:$C$12,3,)</f>
        <v>=1.576*X6^0.615</v>
      </c>
      <c r="O201" t="str">
        <f t="shared" si="6"/>
        <v>=1.576*1444.41117743258^0.615</v>
      </c>
      <c r="P201" cm="1">
        <f t="array" ref="P201">eval_tr_dbh</f>
        <v>138.28213623510675</v>
      </c>
      <c r="Q201" t="str">
        <f t="shared" si="7"/>
        <v>TN_21_EX_B4</v>
      </c>
    </row>
    <row r="202" spans="1:17" x14ac:dyDescent="0.15">
      <c r="A202" s="5" t="s">
        <v>3</v>
      </c>
      <c r="B202" s="5">
        <v>21</v>
      </c>
      <c r="C202" s="5" t="s">
        <v>23</v>
      </c>
      <c r="D202" s="5" t="s">
        <v>30</v>
      </c>
      <c r="E202" s="7">
        <v>44728</v>
      </c>
      <c r="F202" s="5" t="s">
        <v>5</v>
      </c>
      <c r="G202" s="5" t="s">
        <v>35</v>
      </c>
      <c r="H202" s="5" t="s">
        <v>12</v>
      </c>
      <c r="I202" s="4">
        <v>4</v>
      </c>
      <c r="J202" s="4">
        <v>3</v>
      </c>
      <c r="K202" t="s">
        <v>254</v>
      </c>
      <c r="L202">
        <v>1</v>
      </c>
      <c r="M202">
        <v>2163.4872142348395</v>
      </c>
      <c r="N202" t="str">
        <f>VLOOKUP(H202,'Tree shrub sapling root eq'!$A$2:$C$12,3,)</f>
        <v>=1.576*X6^0.615</v>
      </c>
      <c r="O202" t="str">
        <f t="shared" si="6"/>
        <v>=1.576*2163.48721423484^0.615</v>
      </c>
      <c r="P202" cm="1">
        <f t="array" ref="P202">eval_tr_dbh</f>
        <v>177.28668846760462</v>
      </c>
      <c r="Q202" t="str">
        <f t="shared" si="7"/>
        <v>TN_21_EX_B1</v>
      </c>
    </row>
    <row r="203" spans="1:17" x14ac:dyDescent="0.15">
      <c r="A203" s="5" t="s">
        <v>3</v>
      </c>
      <c r="B203" s="5">
        <v>21</v>
      </c>
      <c r="C203" s="5" t="s">
        <v>23</v>
      </c>
      <c r="D203" s="5" t="s">
        <v>30</v>
      </c>
      <c r="E203" s="7">
        <v>44728</v>
      </c>
      <c r="F203" s="5" t="s">
        <v>5</v>
      </c>
      <c r="G203" s="5" t="s">
        <v>35</v>
      </c>
      <c r="H203" s="3" t="s">
        <v>12</v>
      </c>
      <c r="I203" s="4">
        <v>5</v>
      </c>
      <c r="J203" s="4">
        <v>3</v>
      </c>
      <c r="K203" t="s">
        <v>254</v>
      </c>
      <c r="L203">
        <v>1</v>
      </c>
      <c r="M203">
        <v>2163.4872142348395</v>
      </c>
      <c r="N203" t="str">
        <f>VLOOKUP(H203,'Tree shrub sapling root eq'!$A$2:$C$12,3,)</f>
        <v>=1.576*X6^0.615</v>
      </c>
      <c r="O203" t="str">
        <f t="shared" si="6"/>
        <v>=1.576*2163.48721423484^0.615</v>
      </c>
      <c r="P203" cm="1">
        <f t="array" ref="P203">eval_tr_dbh</f>
        <v>177.28668846760462</v>
      </c>
      <c r="Q203" t="str">
        <f t="shared" si="7"/>
        <v>TN_21_EX_B1</v>
      </c>
    </row>
    <row r="204" spans="1:17" x14ac:dyDescent="0.15">
      <c r="A204" s="5" t="s">
        <v>3</v>
      </c>
      <c r="B204" s="5">
        <v>21</v>
      </c>
      <c r="C204" s="5" t="s">
        <v>23</v>
      </c>
      <c r="D204" s="5" t="s">
        <v>30</v>
      </c>
      <c r="E204" s="7">
        <v>44728</v>
      </c>
      <c r="F204" s="5" t="s">
        <v>7</v>
      </c>
      <c r="G204" s="5" t="s">
        <v>34</v>
      </c>
      <c r="H204" s="3" t="s">
        <v>12</v>
      </c>
      <c r="I204" s="4">
        <v>6</v>
      </c>
      <c r="J204" s="4">
        <v>3</v>
      </c>
      <c r="K204" t="s">
        <v>254</v>
      </c>
      <c r="L204">
        <v>1</v>
      </c>
      <c r="M204">
        <v>2163.4872142348395</v>
      </c>
      <c r="N204" t="str">
        <f>VLOOKUP(H204,'Tree shrub sapling root eq'!$A$2:$C$12,3,)</f>
        <v>=1.576*X6^0.615</v>
      </c>
      <c r="O204" t="str">
        <f t="shared" si="6"/>
        <v>=1.576*2163.48721423484^0.615</v>
      </c>
      <c r="P204" cm="1">
        <f t="array" ref="P204">eval_tr_dbh</f>
        <v>177.28668846760462</v>
      </c>
      <c r="Q204" t="str">
        <f t="shared" si="7"/>
        <v>TN_21_EX_B3</v>
      </c>
    </row>
    <row r="205" spans="1:17" x14ac:dyDescent="0.15">
      <c r="A205" s="5" t="s">
        <v>3</v>
      </c>
      <c r="B205" s="5">
        <v>21</v>
      </c>
      <c r="C205" s="5" t="s">
        <v>23</v>
      </c>
      <c r="D205" s="5" t="s">
        <v>30</v>
      </c>
      <c r="E205" s="7">
        <v>44728</v>
      </c>
      <c r="F205" s="5" t="s">
        <v>5</v>
      </c>
      <c r="G205" s="5" t="s">
        <v>35</v>
      </c>
      <c r="H205" s="3" t="s">
        <v>12</v>
      </c>
      <c r="I205" s="4">
        <v>3.5</v>
      </c>
      <c r="J205" s="4">
        <v>3.5</v>
      </c>
      <c r="K205" t="s">
        <v>254</v>
      </c>
      <c r="L205">
        <v>1</v>
      </c>
      <c r="M205">
        <v>3050.9890962995396</v>
      </c>
      <c r="N205" t="str">
        <f>VLOOKUP(H205,'Tree shrub sapling root eq'!$A$2:$C$12,3,)</f>
        <v>=1.576*X6^0.615</v>
      </c>
      <c r="O205" t="str">
        <f t="shared" si="6"/>
        <v>=1.576*3050.98909629954^0.615</v>
      </c>
      <c r="P205" cm="1">
        <f t="array" ref="P205">eval_tr_dbh</f>
        <v>219.02173569449471</v>
      </c>
      <c r="Q205" t="str">
        <f t="shared" si="7"/>
        <v>TN_21_EX_B1</v>
      </c>
    </row>
    <row r="206" spans="1:17" x14ac:dyDescent="0.15">
      <c r="A206" s="5" t="s">
        <v>3</v>
      </c>
      <c r="B206" s="5">
        <v>21</v>
      </c>
      <c r="C206" s="5" t="s">
        <v>23</v>
      </c>
      <c r="D206" s="5" t="s">
        <v>30</v>
      </c>
      <c r="E206" s="7">
        <v>44728</v>
      </c>
      <c r="F206" s="5" t="s">
        <v>7</v>
      </c>
      <c r="G206" s="5" t="s">
        <v>34</v>
      </c>
      <c r="H206" s="3" t="s">
        <v>12</v>
      </c>
      <c r="I206" s="4">
        <v>6</v>
      </c>
      <c r="J206" s="4">
        <v>3.5</v>
      </c>
      <c r="K206" t="s">
        <v>254</v>
      </c>
      <c r="L206">
        <v>1</v>
      </c>
      <c r="M206">
        <v>3050.9890962995396</v>
      </c>
      <c r="N206" t="str">
        <f>VLOOKUP(H206,'Tree shrub sapling root eq'!$A$2:$C$12,3,)</f>
        <v>=1.576*X6^0.615</v>
      </c>
      <c r="O206" t="str">
        <f t="shared" si="6"/>
        <v>=1.576*3050.98909629954^0.615</v>
      </c>
      <c r="P206" cm="1">
        <f t="array" ref="P206">eval_tr_dbh</f>
        <v>219.02173569449471</v>
      </c>
      <c r="Q206" t="str">
        <f t="shared" si="7"/>
        <v>TN_21_EX_B3</v>
      </c>
    </row>
    <row r="207" spans="1:17" x14ac:dyDescent="0.15">
      <c r="A207" s="5" t="s">
        <v>3</v>
      </c>
      <c r="B207" s="5">
        <v>21</v>
      </c>
      <c r="C207" s="5" t="s">
        <v>23</v>
      </c>
      <c r="D207" s="5" t="s">
        <v>30</v>
      </c>
      <c r="E207" s="7">
        <v>44728</v>
      </c>
      <c r="F207" s="5" t="s">
        <v>6</v>
      </c>
      <c r="G207" s="5" t="s">
        <v>36</v>
      </c>
      <c r="H207" s="5" t="s">
        <v>13</v>
      </c>
      <c r="I207" s="4">
        <v>5.5</v>
      </c>
      <c r="J207" s="4">
        <v>4</v>
      </c>
      <c r="K207" t="s">
        <v>254</v>
      </c>
      <c r="L207">
        <v>1</v>
      </c>
      <c r="M207">
        <v>8138.2343376909339</v>
      </c>
      <c r="N207" t="str">
        <f>VLOOKUP(H207,'Tree shrub sapling root eq'!$A$2:$C$12,3,)</f>
        <v>=1.576*X6^0.615</v>
      </c>
      <c r="O207" t="str">
        <f t="shared" si="6"/>
        <v>=1.576*8138.23433769093^0.615</v>
      </c>
      <c r="P207" cm="1">
        <f t="array" ref="P207">eval_tr_dbh</f>
        <v>400.43523115667602</v>
      </c>
      <c r="Q207" t="str">
        <f t="shared" si="7"/>
        <v>TN_21_EX_B2</v>
      </c>
    </row>
    <row r="208" spans="1:17" x14ac:dyDescent="0.15">
      <c r="A208" s="5" t="s">
        <v>3</v>
      </c>
      <c r="B208" s="5">
        <v>21</v>
      </c>
      <c r="C208" s="5" t="s">
        <v>23</v>
      </c>
      <c r="D208" s="5" t="s">
        <v>30</v>
      </c>
      <c r="E208" s="7">
        <v>44728</v>
      </c>
      <c r="F208" s="5" t="s">
        <v>6</v>
      </c>
      <c r="G208" s="5" t="s">
        <v>36</v>
      </c>
      <c r="H208" s="3" t="s">
        <v>12</v>
      </c>
      <c r="I208" s="4">
        <v>5</v>
      </c>
      <c r="J208" s="4">
        <v>4</v>
      </c>
      <c r="K208" t="s">
        <v>254</v>
      </c>
      <c r="L208">
        <v>1</v>
      </c>
      <c r="M208">
        <v>4115.2614928452322</v>
      </c>
      <c r="N208" t="str">
        <f>VLOOKUP(H208,'Tree shrub sapling root eq'!$A$2:$C$12,3,)</f>
        <v>=1.576*X6^0.615</v>
      </c>
      <c r="O208" t="str">
        <f t="shared" si="6"/>
        <v>=1.576*4115.26149284523^0.615</v>
      </c>
      <c r="P208" cm="1">
        <f t="array" ref="P208">eval_tr_dbh</f>
        <v>263.27561538982252</v>
      </c>
      <c r="Q208" t="str">
        <f t="shared" si="7"/>
        <v>TN_21_EX_B2</v>
      </c>
    </row>
    <row r="209" spans="1:17" x14ac:dyDescent="0.15">
      <c r="A209" s="5" t="s">
        <v>3</v>
      </c>
      <c r="B209" s="5">
        <v>21</v>
      </c>
      <c r="C209" s="5" t="s">
        <v>23</v>
      </c>
      <c r="D209" s="5" t="s">
        <v>30</v>
      </c>
      <c r="E209" s="7">
        <v>44728</v>
      </c>
      <c r="F209" s="5" t="s">
        <v>5</v>
      </c>
      <c r="G209" s="5" t="s">
        <v>35</v>
      </c>
      <c r="H209" s="3" t="s">
        <v>12</v>
      </c>
      <c r="I209" s="4">
        <v>4</v>
      </c>
      <c r="J209" s="4">
        <v>4.5</v>
      </c>
      <c r="K209" t="s">
        <v>254</v>
      </c>
      <c r="L209">
        <v>1</v>
      </c>
      <c r="M209">
        <v>5363.9717328989755</v>
      </c>
      <c r="N209" t="str">
        <f>VLOOKUP(H209,'Tree shrub sapling root eq'!$A$2:$C$12,3,)</f>
        <v>=1.576*X6^0.615</v>
      </c>
      <c r="O209" t="str">
        <f t="shared" si="6"/>
        <v>=1.576*5363.97173289898^0.615</v>
      </c>
      <c r="P209" cm="1">
        <f t="array" ref="P209">eval_tr_dbh</f>
        <v>309.87775339536847</v>
      </c>
      <c r="Q209" t="str">
        <f t="shared" si="7"/>
        <v>TN_21_EX_B1</v>
      </c>
    </row>
    <row r="210" spans="1:17" x14ac:dyDescent="0.15">
      <c r="A210" s="5" t="s">
        <v>3</v>
      </c>
      <c r="B210" s="5">
        <v>21</v>
      </c>
      <c r="C210" s="5" t="s">
        <v>23</v>
      </c>
      <c r="D210" s="5" t="s">
        <v>30</v>
      </c>
      <c r="E210" s="7">
        <v>44728</v>
      </c>
      <c r="F210" s="5" t="s">
        <v>5</v>
      </c>
      <c r="G210" s="5" t="s">
        <v>35</v>
      </c>
      <c r="H210" s="3" t="s">
        <v>12</v>
      </c>
      <c r="I210" s="4">
        <v>5</v>
      </c>
      <c r="J210" s="4">
        <v>4.75</v>
      </c>
      <c r="K210" t="s">
        <v>254</v>
      </c>
      <c r="L210">
        <v>1</v>
      </c>
      <c r="M210">
        <v>6059.7340590354224</v>
      </c>
      <c r="N210" t="str">
        <f>VLOOKUP(H210,'Tree shrub sapling root eq'!$A$2:$C$12,3,)</f>
        <v>=1.576*X6^0.615</v>
      </c>
      <c r="O210" t="str">
        <f t="shared" si="6"/>
        <v>=1.576*6059.73405903542^0.615</v>
      </c>
      <c r="P210" cm="1">
        <f t="array" ref="P210">eval_tr_dbh</f>
        <v>334.01437314169061</v>
      </c>
      <c r="Q210" t="str">
        <f t="shared" si="7"/>
        <v>TN_21_EX_B1</v>
      </c>
    </row>
    <row r="211" spans="1:17" x14ac:dyDescent="0.15">
      <c r="A211" s="5" t="s">
        <v>3</v>
      </c>
      <c r="B211" s="5">
        <v>21</v>
      </c>
      <c r="C211" s="5" t="s">
        <v>23</v>
      </c>
      <c r="D211" s="5" t="s">
        <v>30</v>
      </c>
      <c r="E211" s="7">
        <v>44728</v>
      </c>
      <c r="F211" s="5" t="s">
        <v>6</v>
      </c>
      <c r="G211" s="5" t="s">
        <v>36</v>
      </c>
      <c r="H211" s="3" t="s">
        <v>12</v>
      </c>
      <c r="I211" s="4">
        <v>6</v>
      </c>
      <c r="J211" s="4">
        <v>4.75</v>
      </c>
      <c r="K211" t="s">
        <v>254</v>
      </c>
      <c r="L211">
        <v>1</v>
      </c>
      <c r="M211">
        <v>6059.7340590354224</v>
      </c>
      <c r="N211" t="str">
        <f>VLOOKUP(H211,'Tree shrub sapling root eq'!$A$2:$C$12,3,)</f>
        <v>=1.576*X6^0.615</v>
      </c>
      <c r="O211" t="str">
        <f t="shared" si="6"/>
        <v>=1.576*6059.73405903542^0.615</v>
      </c>
      <c r="P211" cm="1">
        <f t="array" ref="P211">eval_tr_dbh</f>
        <v>334.01437314169061</v>
      </c>
      <c r="Q211" t="str">
        <f t="shared" si="7"/>
        <v>TN_21_EX_B2</v>
      </c>
    </row>
    <row r="212" spans="1:17" x14ac:dyDescent="0.15">
      <c r="A212" s="5" t="s">
        <v>3</v>
      </c>
      <c r="B212" s="5">
        <v>21</v>
      </c>
      <c r="C212" s="5" t="s">
        <v>23</v>
      </c>
      <c r="D212" s="5" t="s">
        <v>30</v>
      </c>
      <c r="E212" s="7">
        <v>44728</v>
      </c>
      <c r="F212" s="5" t="s">
        <v>9</v>
      </c>
      <c r="G212" s="5" t="s">
        <v>37</v>
      </c>
      <c r="H212" s="3" t="s">
        <v>12</v>
      </c>
      <c r="I212" s="4">
        <v>8</v>
      </c>
      <c r="J212" s="4">
        <v>5</v>
      </c>
      <c r="K212" t="s">
        <v>254</v>
      </c>
      <c r="L212">
        <v>1</v>
      </c>
      <c r="M212">
        <v>6804.2374332695908</v>
      </c>
      <c r="N212" t="str">
        <f>VLOOKUP(H212,'Tree shrub sapling root eq'!$A$2:$C$12,3,)</f>
        <v>=1.576*X6^0.615</v>
      </c>
      <c r="O212" t="str">
        <f t="shared" si="6"/>
        <v>=1.576*6804.23743326959^0.615</v>
      </c>
      <c r="P212" cm="1">
        <f t="array" ref="P212">eval_tr_dbh</f>
        <v>358.68695397936364</v>
      </c>
      <c r="Q212" t="str">
        <f t="shared" si="7"/>
        <v>TN_21_EX_B4</v>
      </c>
    </row>
    <row r="213" spans="1:17" x14ac:dyDescent="0.15">
      <c r="A213" s="5" t="s">
        <v>3</v>
      </c>
      <c r="B213" s="5">
        <v>21</v>
      </c>
      <c r="C213" s="5" t="s">
        <v>23</v>
      </c>
      <c r="D213" s="5" t="s">
        <v>30</v>
      </c>
      <c r="E213" s="7">
        <v>44728</v>
      </c>
      <c r="F213" s="5" t="s">
        <v>9</v>
      </c>
      <c r="G213" s="5" t="s">
        <v>37</v>
      </c>
      <c r="H213" s="3" t="s">
        <v>12</v>
      </c>
      <c r="I213" s="4">
        <v>7.5</v>
      </c>
      <c r="J213" s="4">
        <v>5.5</v>
      </c>
      <c r="K213" t="s">
        <v>254</v>
      </c>
      <c r="L213">
        <v>1</v>
      </c>
      <c r="M213">
        <v>8442.7192298415775</v>
      </c>
      <c r="N213" t="str">
        <f>VLOOKUP(H213,'Tree shrub sapling root eq'!$A$2:$C$12,3,)</f>
        <v>=1.576*X6^0.615</v>
      </c>
      <c r="O213" t="str">
        <f t="shared" si="6"/>
        <v>=1.576*8442.71922984158^0.615</v>
      </c>
      <c r="P213" cm="1">
        <f t="array" ref="P213">eval_tr_dbh</f>
        <v>409.58388054960284</v>
      </c>
      <c r="Q213" t="str">
        <f t="shared" si="7"/>
        <v>TN_21_EX_B4</v>
      </c>
    </row>
    <row r="214" spans="1:17" x14ac:dyDescent="0.15">
      <c r="A214" s="5" t="s">
        <v>3</v>
      </c>
      <c r="B214" s="5">
        <v>21</v>
      </c>
      <c r="C214" s="5" t="s">
        <v>23</v>
      </c>
      <c r="D214" s="5" t="s">
        <v>30</v>
      </c>
      <c r="E214" s="7">
        <v>44728</v>
      </c>
      <c r="F214" s="5" t="s">
        <v>6</v>
      </c>
      <c r="G214" s="5" t="s">
        <v>36</v>
      </c>
      <c r="H214" s="3" t="s">
        <v>12</v>
      </c>
      <c r="I214" s="4">
        <v>6.5</v>
      </c>
      <c r="J214" s="4">
        <v>6.5</v>
      </c>
      <c r="K214" t="s">
        <v>254</v>
      </c>
      <c r="L214">
        <v>1</v>
      </c>
      <c r="M214">
        <v>12339.091706589967</v>
      </c>
      <c r="N214" t="str">
        <f>VLOOKUP(H214,'Tree shrub sapling root eq'!$A$2:$C$12,3,)</f>
        <v>=1.576*X6^0.615</v>
      </c>
      <c r="O214" t="str">
        <f t="shared" si="6"/>
        <v>=1.576*12339.09170659^0.615</v>
      </c>
      <c r="P214" cm="1">
        <f t="array" ref="P214">eval_tr_dbh</f>
        <v>517.24389835959789</v>
      </c>
      <c r="Q214" t="str">
        <f t="shared" si="7"/>
        <v>TN_21_EX_B2</v>
      </c>
    </row>
    <row r="215" spans="1:17" x14ac:dyDescent="0.15">
      <c r="A215" s="5" t="s">
        <v>3</v>
      </c>
      <c r="B215" s="5">
        <v>21</v>
      </c>
      <c r="C215" s="5" t="s">
        <v>23</v>
      </c>
      <c r="D215" s="5" t="s">
        <v>30</v>
      </c>
      <c r="E215" s="7">
        <v>44728</v>
      </c>
      <c r="F215" s="5" t="s">
        <v>5</v>
      </c>
      <c r="G215" s="5" t="s">
        <v>35</v>
      </c>
      <c r="H215" s="5" t="s">
        <v>12</v>
      </c>
      <c r="I215" s="4">
        <v>8</v>
      </c>
      <c r="J215" s="4">
        <v>6.5</v>
      </c>
      <c r="K215" t="s">
        <v>254</v>
      </c>
      <c r="L215">
        <v>1</v>
      </c>
      <c r="M215">
        <v>12339.091706589967</v>
      </c>
      <c r="N215" t="str">
        <f>VLOOKUP(H215,'Tree shrub sapling root eq'!$A$2:$C$12,3,)</f>
        <v>=1.576*X6^0.615</v>
      </c>
      <c r="O215" t="str">
        <f t="shared" si="6"/>
        <v>=1.576*12339.09170659^0.615</v>
      </c>
      <c r="P215" cm="1">
        <f t="array" ref="P215">eval_tr_dbh</f>
        <v>517.24389835959789</v>
      </c>
      <c r="Q215" t="str">
        <f t="shared" si="7"/>
        <v>TN_21_EX_B1</v>
      </c>
    </row>
    <row r="216" spans="1:17" x14ac:dyDescent="0.15">
      <c r="A216" s="5" t="s">
        <v>3</v>
      </c>
      <c r="B216" s="5">
        <v>21</v>
      </c>
      <c r="C216" s="5" t="s">
        <v>23</v>
      </c>
      <c r="D216" s="5" t="s">
        <v>30</v>
      </c>
      <c r="E216" s="7">
        <v>44728</v>
      </c>
      <c r="F216" s="5" t="s">
        <v>6</v>
      </c>
      <c r="G216" s="5" t="s">
        <v>36</v>
      </c>
      <c r="H216" s="3" t="s">
        <v>12</v>
      </c>
      <c r="I216" s="4">
        <v>6.5</v>
      </c>
      <c r="J216" s="4">
        <v>7</v>
      </c>
      <c r="K216" t="s">
        <v>254</v>
      </c>
      <c r="L216">
        <v>1</v>
      </c>
      <c r="M216">
        <v>14608.57253270478</v>
      </c>
      <c r="N216" t="str">
        <f>VLOOKUP(H216,'Tree shrub sapling root eq'!$A$2:$C$12,3,)</f>
        <v>=1.576*X6^0.615</v>
      </c>
      <c r="O216" t="str">
        <f t="shared" si="6"/>
        <v>=1.576*14608.5725327048^0.615</v>
      </c>
      <c r="P216" cm="1">
        <f t="array" ref="P216">eval_tr_dbh</f>
        <v>573.83891753267528</v>
      </c>
      <c r="Q216" t="str">
        <f t="shared" si="7"/>
        <v>TN_21_EX_B2</v>
      </c>
    </row>
    <row r="217" spans="1:17" x14ac:dyDescent="0.15">
      <c r="A217" s="6" t="s">
        <v>3</v>
      </c>
      <c r="B217" s="5">
        <v>22</v>
      </c>
      <c r="C217" s="5" t="s">
        <v>22</v>
      </c>
      <c r="D217" s="5" t="s">
        <v>30</v>
      </c>
      <c r="E217" s="7">
        <v>44732</v>
      </c>
      <c r="F217" s="5" t="s">
        <v>6</v>
      </c>
      <c r="G217" s="5" t="s">
        <v>36</v>
      </c>
      <c r="H217" s="3" t="s">
        <v>8</v>
      </c>
      <c r="I217" s="4">
        <v>5.5</v>
      </c>
      <c r="J217" s="4">
        <v>4.75</v>
      </c>
      <c r="K217" t="s">
        <v>173</v>
      </c>
      <c r="L217">
        <v>1</v>
      </c>
      <c r="M217">
        <v>5111.6043291513379</v>
      </c>
      <c r="N217" t="str">
        <f>VLOOKUP(H217,'Tree shrub sapling root eq'!$A$2:$C$12,3,)</f>
        <v>=0.222*X6</v>
      </c>
      <c r="O217" t="str">
        <f t="shared" si="6"/>
        <v>=0.222*5111.60432915134</v>
      </c>
      <c r="P217" cm="1">
        <f t="array" ref="P217">eval_tr_dbh</f>
        <v>1134.7761610715975</v>
      </c>
      <c r="Q217" t="str">
        <f t="shared" si="7"/>
        <v>TN_22_CTRL_B2</v>
      </c>
    </row>
    <row r="218" spans="1:17" x14ac:dyDescent="0.15">
      <c r="A218" s="6" t="s">
        <v>3</v>
      </c>
      <c r="B218" s="5">
        <v>22</v>
      </c>
      <c r="C218" s="5" t="s">
        <v>22</v>
      </c>
      <c r="D218" s="5" t="s">
        <v>30</v>
      </c>
      <c r="E218" s="7">
        <v>44732</v>
      </c>
      <c r="F218" s="5" t="s">
        <v>6</v>
      </c>
      <c r="G218" s="5" t="s">
        <v>36</v>
      </c>
      <c r="H218" s="3" t="s">
        <v>8</v>
      </c>
      <c r="I218" s="4">
        <v>7</v>
      </c>
      <c r="J218" s="4">
        <v>6.5</v>
      </c>
      <c r="K218" t="s">
        <v>173</v>
      </c>
      <c r="L218">
        <v>1</v>
      </c>
      <c r="M218">
        <v>10000.514612481991</v>
      </c>
      <c r="N218" t="str">
        <f>VLOOKUP(H218,'Tree shrub sapling root eq'!$A$2:$C$12,3,)</f>
        <v>=0.222*X6</v>
      </c>
      <c r="O218" t="str">
        <f t="shared" si="6"/>
        <v>=0.222*10000.514612482</v>
      </c>
      <c r="P218" cm="1">
        <f t="array" ref="P218">eval_tr_dbh</f>
        <v>2220.1142439710043</v>
      </c>
      <c r="Q218" t="str">
        <f t="shared" si="7"/>
        <v>TN_22_CTRL_B2</v>
      </c>
    </row>
    <row r="219" spans="1:17" x14ac:dyDescent="0.15">
      <c r="A219" s="6" t="s">
        <v>3</v>
      </c>
      <c r="B219" s="5">
        <v>22</v>
      </c>
      <c r="C219" s="5" t="s">
        <v>22</v>
      </c>
      <c r="D219" s="5" t="s">
        <v>30</v>
      </c>
      <c r="E219" s="7">
        <v>44732</v>
      </c>
      <c r="F219" s="5" t="s">
        <v>6</v>
      </c>
      <c r="G219" s="5" t="s">
        <v>36</v>
      </c>
      <c r="H219" s="3" t="s">
        <v>8</v>
      </c>
      <c r="I219" s="4">
        <v>7</v>
      </c>
      <c r="J219" s="4">
        <v>7</v>
      </c>
      <c r="K219" t="s">
        <v>173</v>
      </c>
      <c r="L219">
        <v>1</v>
      </c>
      <c r="M219">
        <v>11753.177611255282</v>
      </c>
      <c r="N219" t="str">
        <f>VLOOKUP(H219,'Tree shrub sapling root eq'!$A$2:$C$12,3,)</f>
        <v>=0.222*X6</v>
      </c>
      <c r="O219" t="str">
        <f t="shared" si="6"/>
        <v>=0.222*11753.1776112553</v>
      </c>
      <c r="P219" cm="1">
        <f t="array" ref="P219">eval_tr_dbh</f>
        <v>2609.2054296986767</v>
      </c>
      <c r="Q219" t="str">
        <f t="shared" si="7"/>
        <v>TN_22_CTRL_B2</v>
      </c>
    </row>
    <row r="220" spans="1:17" x14ac:dyDescent="0.15">
      <c r="A220" s="6" t="s">
        <v>3</v>
      </c>
      <c r="B220" s="5">
        <v>22</v>
      </c>
      <c r="C220" s="5" t="s">
        <v>22</v>
      </c>
      <c r="D220" s="5" t="s">
        <v>30</v>
      </c>
      <c r="E220" s="7">
        <v>44732</v>
      </c>
      <c r="F220" s="5" t="s">
        <v>6</v>
      </c>
      <c r="G220" s="5" t="s">
        <v>36</v>
      </c>
      <c r="H220" s="3" t="s">
        <v>8</v>
      </c>
      <c r="I220" s="4">
        <v>8</v>
      </c>
      <c r="J220" s="4">
        <v>8</v>
      </c>
      <c r="K220" t="s">
        <v>173</v>
      </c>
      <c r="L220">
        <v>1</v>
      </c>
      <c r="M220">
        <v>15763.955014871697</v>
      </c>
      <c r="N220" t="str">
        <f>VLOOKUP(H220,'Tree shrub sapling root eq'!$A$2:$C$12,3,)</f>
        <v>=0.222*X6</v>
      </c>
      <c r="O220" t="str">
        <f t="shared" si="6"/>
        <v>=0.222*15763.9550148717</v>
      </c>
      <c r="P220" cm="1">
        <f t="array" ref="P220">eval_tr_dbh</f>
        <v>3499.5980133015178</v>
      </c>
      <c r="Q220" t="str">
        <f t="shared" si="7"/>
        <v>TN_22_CTRL_B2</v>
      </c>
    </row>
    <row r="221" spans="1:17" x14ac:dyDescent="0.15">
      <c r="A221" s="6" t="s">
        <v>3</v>
      </c>
      <c r="B221" s="5">
        <v>22</v>
      </c>
      <c r="C221" s="5" t="s">
        <v>22</v>
      </c>
      <c r="D221" s="5" t="s">
        <v>30</v>
      </c>
      <c r="E221" s="7">
        <v>44732</v>
      </c>
      <c r="F221" s="5" t="s">
        <v>6</v>
      </c>
      <c r="G221" s="5" t="s">
        <v>36</v>
      </c>
      <c r="H221" s="3" t="s">
        <v>10</v>
      </c>
      <c r="I221" s="4">
        <v>10</v>
      </c>
      <c r="J221" s="4">
        <v>16.5</v>
      </c>
      <c r="K221" t="s">
        <v>173</v>
      </c>
      <c r="L221">
        <v>1</v>
      </c>
      <c r="M221">
        <v>71037.533144092828</v>
      </c>
      <c r="N221" t="str">
        <f>VLOOKUP(H221,'Tree shrub sapling root eq'!$A$2:$C$12,3,)</f>
        <v>=0.25*X6</v>
      </c>
      <c r="O221" t="str">
        <f t="shared" si="6"/>
        <v>=0.25*71037.5331440928</v>
      </c>
      <c r="P221" cm="1">
        <f t="array" ref="P221">eval_tr_dbh</f>
        <v>17759.3832860232</v>
      </c>
      <c r="Q221" t="str">
        <f t="shared" si="7"/>
        <v>TN_22_CTRL_B2</v>
      </c>
    </row>
    <row r="222" spans="1:17" x14ac:dyDescent="0.15">
      <c r="A222" s="6" t="s">
        <v>3</v>
      </c>
      <c r="B222" s="5">
        <v>22</v>
      </c>
      <c r="C222" s="5" t="s">
        <v>22</v>
      </c>
      <c r="D222" s="5" t="s">
        <v>30</v>
      </c>
      <c r="E222" s="7">
        <v>44732</v>
      </c>
      <c r="F222" s="5" t="s">
        <v>5</v>
      </c>
      <c r="G222" s="5" t="s">
        <v>35</v>
      </c>
      <c r="H222" s="5" t="s">
        <v>21</v>
      </c>
      <c r="I222" s="4" t="s">
        <v>4</v>
      </c>
      <c r="J222" s="4" t="s">
        <v>4</v>
      </c>
      <c r="K222" t="s">
        <v>173</v>
      </c>
      <c r="L222">
        <v>1</v>
      </c>
      <c r="M222" t="e">
        <v>#N/A</v>
      </c>
      <c r="N222" t="e">
        <f>VLOOKUP(H222,'Tree shrub sapling root eq'!$A$2:$C$12,3,)</f>
        <v>#N/A</v>
      </c>
      <c r="O222" t="e">
        <f t="shared" si="6"/>
        <v>#N/A</v>
      </c>
      <c r="P222" t="e" cm="1">
        <f t="array" ref="P222">eval_tr_dbh</f>
        <v>#N/A</v>
      </c>
      <c r="Q222" t="str">
        <f t="shared" si="7"/>
        <v>TN_22_CTRL_B1</v>
      </c>
    </row>
    <row r="223" spans="1:17" x14ac:dyDescent="0.15">
      <c r="A223" s="6" t="s">
        <v>3</v>
      </c>
      <c r="B223" s="5">
        <v>22</v>
      </c>
      <c r="C223" s="5" t="s">
        <v>22</v>
      </c>
      <c r="D223" s="5" t="s">
        <v>30</v>
      </c>
      <c r="E223" s="7">
        <v>44732</v>
      </c>
      <c r="F223" s="5" t="s">
        <v>7</v>
      </c>
      <c r="G223" s="5" t="s">
        <v>34</v>
      </c>
      <c r="H223" s="5" t="s">
        <v>21</v>
      </c>
      <c r="I223" s="4" t="s">
        <v>4</v>
      </c>
      <c r="J223" s="4" t="s">
        <v>4</v>
      </c>
      <c r="K223" t="s">
        <v>173</v>
      </c>
      <c r="L223">
        <v>1</v>
      </c>
      <c r="M223" t="e">
        <v>#N/A</v>
      </c>
      <c r="N223" t="e">
        <f>VLOOKUP(H223,'Tree shrub sapling root eq'!$A$2:$C$12,3,)</f>
        <v>#N/A</v>
      </c>
      <c r="O223" t="e">
        <f t="shared" si="6"/>
        <v>#N/A</v>
      </c>
      <c r="P223" t="e" cm="1">
        <f t="array" ref="P223">eval_tr_dbh</f>
        <v>#N/A</v>
      </c>
      <c r="Q223" t="str">
        <f t="shared" si="7"/>
        <v>TN_22_CTRL_B3</v>
      </c>
    </row>
    <row r="224" spans="1:17" x14ac:dyDescent="0.15">
      <c r="A224" s="6" t="s">
        <v>3</v>
      </c>
      <c r="B224" s="5">
        <v>22</v>
      </c>
      <c r="C224" s="5" t="s">
        <v>22</v>
      </c>
      <c r="D224" s="5" t="s">
        <v>30</v>
      </c>
      <c r="E224" s="7">
        <v>44732</v>
      </c>
      <c r="F224" s="5" t="s">
        <v>9</v>
      </c>
      <c r="G224" s="5" t="s">
        <v>37</v>
      </c>
      <c r="H224" s="5" t="s">
        <v>21</v>
      </c>
      <c r="I224" s="4" t="s">
        <v>4</v>
      </c>
      <c r="J224" s="4" t="s">
        <v>4</v>
      </c>
      <c r="K224" t="s">
        <v>173</v>
      </c>
      <c r="L224">
        <v>1</v>
      </c>
      <c r="M224" t="e">
        <v>#N/A</v>
      </c>
      <c r="N224" t="e">
        <f>VLOOKUP(H224,'Tree shrub sapling root eq'!$A$2:$C$12,3,)</f>
        <v>#N/A</v>
      </c>
      <c r="O224" t="e">
        <f t="shared" si="6"/>
        <v>#N/A</v>
      </c>
      <c r="P224" t="e" cm="1">
        <f t="array" ref="P224">eval_tr_dbh</f>
        <v>#N/A</v>
      </c>
      <c r="Q224" t="str">
        <f t="shared" si="7"/>
        <v>TN_22_CTRL_B4</v>
      </c>
    </row>
    <row r="225" spans="1:17" x14ac:dyDescent="0.15">
      <c r="A225" s="6" t="s">
        <v>3</v>
      </c>
      <c r="B225" s="5">
        <v>22</v>
      </c>
      <c r="C225" s="5" t="s">
        <v>23</v>
      </c>
      <c r="D225" s="5" t="s">
        <v>30</v>
      </c>
      <c r="E225" s="7">
        <v>44732</v>
      </c>
      <c r="F225" s="5" t="s">
        <v>6</v>
      </c>
      <c r="G225" s="5" t="s">
        <v>36</v>
      </c>
      <c r="H225" s="3" t="s">
        <v>8</v>
      </c>
      <c r="I225" s="4">
        <v>5.5</v>
      </c>
      <c r="J225" s="4">
        <v>6</v>
      </c>
      <c r="K225" t="s">
        <v>256</v>
      </c>
      <c r="L225">
        <v>1</v>
      </c>
      <c r="M225">
        <v>8410.1083756831194</v>
      </c>
      <c r="N225" t="str">
        <f>VLOOKUP(H225,'Tree shrub sapling root eq'!$A$2:$C$12,3,)</f>
        <v>=0.222*X6</v>
      </c>
      <c r="O225" t="str">
        <f t="shared" si="6"/>
        <v>=0.222*8410.10837568312</v>
      </c>
      <c r="P225" cm="1">
        <f t="array" ref="P225">eval_tr_dbh</f>
        <v>1867.0440594016525</v>
      </c>
      <c r="Q225" t="str">
        <f t="shared" si="7"/>
        <v>TN_22_EX_B2</v>
      </c>
    </row>
    <row r="226" spans="1:17" x14ac:dyDescent="0.15">
      <c r="A226" s="6" t="s">
        <v>3</v>
      </c>
      <c r="B226" s="5">
        <v>22</v>
      </c>
      <c r="C226" s="5" t="s">
        <v>23</v>
      </c>
      <c r="D226" s="5" t="s">
        <v>30</v>
      </c>
      <c r="E226" s="7">
        <v>44732</v>
      </c>
      <c r="F226" s="5" t="s">
        <v>9</v>
      </c>
      <c r="G226" s="5" t="s">
        <v>37</v>
      </c>
      <c r="H226" s="3" t="s">
        <v>10</v>
      </c>
      <c r="I226" s="4">
        <v>11.2</v>
      </c>
      <c r="J226" s="4">
        <v>24</v>
      </c>
      <c r="K226" t="s">
        <v>256</v>
      </c>
      <c r="L226">
        <v>1</v>
      </c>
      <c r="M226">
        <v>170153.18918539115</v>
      </c>
      <c r="N226" t="str">
        <f>VLOOKUP(H226,'Tree shrub sapling root eq'!$A$2:$C$12,3,)</f>
        <v>=0.25*X6</v>
      </c>
      <c r="O226" t="str">
        <f t="shared" si="6"/>
        <v>=0.25*170153.189185391</v>
      </c>
      <c r="P226" cm="1">
        <f t="array" ref="P226">eval_tr_dbh</f>
        <v>42538.297296347751</v>
      </c>
      <c r="Q226" t="str">
        <f t="shared" si="7"/>
        <v>TN_22_EX_B4</v>
      </c>
    </row>
    <row r="227" spans="1:17" x14ac:dyDescent="0.15">
      <c r="A227" s="6" t="s">
        <v>3</v>
      </c>
      <c r="B227" s="5">
        <v>22</v>
      </c>
      <c r="C227" s="5" t="s">
        <v>23</v>
      </c>
      <c r="D227" s="5" t="s">
        <v>30</v>
      </c>
      <c r="E227" s="7">
        <v>44732</v>
      </c>
      <c r="F227" s="5" t="s">
        <v>7</v>
      </c>
      <c r="G227" s="5" t="s">
        <v>34</v>
      </c>
      <c r="H227" s="3" t="s">
        <v>10</v>
      </c>
      <c r="I227" s="4">
        <v>12.4</v>
      </c>
      <c r="J227" s="4">
        <v>26.75</v>
      </c>
      <c r="K227" t="s">
        <v>256</v>
      </c>
      <c r="L227">
        <v>1</v>
      </c>
      <c r="M227">
        <v>219431.55034857721</v>
      </c>
      <c r="N227" t="str">
        <f>VLOOKUP(H227,'Tree shrub sapling root eq'!$A$2:$C$12,3,)</f>
        <v>=0.25*X6</v>
      </c>
      <c r="O227" t="str">
        <f t="shared" si="6"/>
        <v>=0.25*219431.550348577</v>
      </c>
      <c r="P227" cm="1">
        <f t="array" ref="P227">eval_tr_dbh</f>
        <v>54857.887587144251</v>
      </c>
      <c r="Q227" t="str">
        <f t="shared" si="7"/>
        <v>TN_22_EX_B3</v>
      </c>
    </row>
    <row r="228" spans="1:17" x14ac:dyDescent="0.15">
      <c r="A228" s="6" t="s">
        <v>3</v>
      </c>
      <c r="B228" s="5">
        <v>22</v>
      </c>
      <c r="C228" s="5" t="s">
        <v>23</v>
      </c>
      <c r="D228" s="5" t="s">
        <v>30</v>
      </c>
      <c r="E228" s="7">
        <v>44732</v>
      </c>
      <c r="F228" s="5" t="s">
        <v>6</v>
      </c>
      <c r="G228" s="5" t="s">
        <v>36</v>
      </c>
      <c r="H228" s="3" t="s">
        <v>10</v>
      </c>
      <c r="I228" s="4">
        <v>14.8</v>
      </c>
      <c r="J228" s="4">
        <v>40</v>
      </c>
      <c r="K228" t="s">
        <v>256</v>
      </c>
      <c r="L228">
        <v>1</v>
      </c>
      <c r="M228">
        <v>566340.39574475179</v>
      </c>
      <c r="N228" t="str">
        <f>VLOOKUP(H228,'Tree shrub sapling root eq'!$A$2:$C$12,3,)</f>
        <v>=0.25*X6</v>
      </c>
      <c r="O228" t="str">
        <f t="shared" si="6"/>
        <v>=0.25*566340.395744752</v>
      </c>
      <c r="P228" cm="1">
        <f t="array" ref="P228">eval_tr_dbh</f>
        <v>141585.09893618801</v>
      </c>
      <c r="Q228" t="str">
        <f t="shared" si="7"/>
        <v>TN_22_EX_B2</v>
      </c>
    </row>
    <row r="229" spans="1:17" x14ac:dyDescent="0.15">
      <c r="A229" s="6" t="s">
        <v>3</v>
      </c>
      <c r="B229" s="5">
        <v>22</v>
      </c>
      <c r="C229" s="5" t="s">
        <v>23</v>
      </c>
      <c r="D229" s="5" t="s">
        <v>30</v>
      </c>
      <c r="E229" s="7">
        <v>44732</v>
      </c>
      <c r="F229" s="5" t="s">
        <v>5</v>
      </c>
      <c r="G229" s="5" t="s">
        <v>35</v>
      </c>
      <c r="H229" s="5" t="s">
        <v>21</v>
      </c>
      <c r="I229" s="4" t="s">
        <v>4</v>
      </c>
      <c r="J229" s="4" t="s">
        <v>4</v>
      </c>
      <c r="K229" t="s">
        <v>256</v>
      </c>
      <c r="L229">
        <v>1</v>
      </c>
      <c r="M229" t="e">
        <v>#N/A</v>
      </c>
      <c r="N229" t="e">
        <f>VLOOKUP(H229,'Tree shrub sapling root eq'!$A$2:$C$12,3,)</f>
        <v>#N/A</v>
      </c>
      <c r="O229" t="e">
        <f t="shared" si="6"/>
        <v>#N/A</v>
      </c>
      <c r="P229" t="e" cm="1">
        <f t="array" ref="P229">eval_tr_dbh</f>
        <v>#N/A</v>
      </c>
      <c r="Q229" t="str">
        <f t="shared" si="7"/>
        <v>TN_22_EX_B1</v>
      </c>
    </row>
    <row r="230" spans="1:17" x14ac:dyDescent="0.15">
      <c r="A230" s="5" t="s">
        <v>3</v>
      </c>
      <c r="B230" s="5">
        <v>23</v>
      </c>
      <c r="C230" s="5" t="s">
        <v>21</v>
      </c>
      <c r="D230" s="5" t="s">
        <v>30</v>
      </c>
      <c r="E230" s="7">
        <v>44727</v>
      </c>
      <c r="F230" s="5" t="s">
        <v>5</v>
      </c>
      <c r="G230" s="5" t="s">
        <v>35</v>
      </c>
      <c r="H230" s="5" t="s">
        <v>21</v>
      </c>
      <c r="I230" s="4" t="s">
        <v>21</v>
      </c>
      <c r="J230" s="4" t="s">
        <v>21</v>
      </c>
      <c r="K230" t="s">
        <v>154</v>
      </c>
      <c r="L230">
        <v>2</v>
      </c>
      <c r="M230" t="e">
        <v>#N/A</v>
      </c>
      <c r="N230" t="e">
        <f>VLOOKUP(H230,'Tree shrub sapling root eq'!$A$2:$C$12,3,)</f>
        <v>#N/A</v>
      </c>
      <c r="O230" t="e">
        <f t="shared" si="6"/>
        <v>#N/A</v>
      </c>
      <c r="P230" t="e" cm="1">
        <f t="array" ref="P230">eval_tr_dbh</f>
        <v>#N/A</v>
      </c>
      <c r="Q230" t="str">
        <f t="shared" si="7"/>
        <v>TN_23_NA_B1</v>
      </c>
    </row>
    <row r="231" spans="1:17" x14ac:dyDescent="0.15">
      <c r="A231" s="5" t="s">
        <v>3</v>
      </c>
      <c r="B231" s="5">
        <v>23</v>
      </c>
      <c r="C231" s="5" t="s">
        <v>21</v>
      </c>
      <c r="D231" s="5" t="s">
        <v>30</v>
      </c>
      <c r="E231" s="7">
        <v>44727</v>
      </c>
      <c r="F231" s="5" t="s">
        <v>6</v>
      </c>
      <c r="G231" s="5" t="s">
        <v>36</v>
      </c>
      <c r="H231" s="5" t="s">
        <v>21</v>
      </c>
      <c r="I231" s="4" t="s">
        <v>21</v>
      </c>
      <c r="J231" s="4" t="s">
        <v>21</v>
      </c>
      <c r="K231" t="s">
        <v>154</v>
      </c>
      <c r="L231">
        <v>2</v>
      </c>
      <c r="M231" t="e">
        <v>#N/A</v>
      </c>
      <c r="N231" t="e">
        <f>VLOOKUP(H231,'Tree shrub sapling root eq'!$A$2:$C$12,3,)</f>
        <v>#N/A</v>
      </c>
      <c r="O231" t="e">
        <f t="shared" si="6"/>
        <v>#N/A</v>
      </c>
      <c r="P231" t="e" cm="1">
        <f t="array" ref="P231">eval_tr_dbh</f>
        <v>#N/A</v>
      </c>
      <c r="Q231" t="str">
        <f t="shared" si="7"/>
        <v>TN_23_NA_B2</v>
      </c>
    </row>
    <row r="232" spans="1:17" x14ac:dyDescent="0.15">
      <c r="A232" s="5" t="s">
        <v>3</v>
      </c>
      <c r="B232" s="5">
        <v>23</v>
      </c>
      <c r="C232" s="5" t="s">
        <v>21</v>
      </c>
      <c r="D232" s="5" t="s">
        <v>30</v>
      </c>
      <c r="E232" s="7">
        <v>44727</v>
      </c>
      <c r="F232" s="5" t="s">
        <v>7</v>
      </c>
      <c r="G232" s="5" t="s">
        <v>34</v>
      </c>
      <c r="H232" s="5" t="s">
        <v>21</v>
      </c>
      <c r="I232" s="4" t="s">
        <v>21</v>
      </c>
      <c r="J232" s="4" t="s">
        <v>21</v>
      </c>
      <c r="K232" t="s">
        <v>154</v>
      </c>
      <c r="L232">
        <v>2</v>
      </c>
      <c r="M232" t="e">
        <v>#N/A</v>
      </c>
      <c r="N232" t="e">
        <f>VLOOKUP(H232,'Tree shrub sapling root eq'!$A$2:$C$12,3,)</f>
        <v>#N/A</v>
      </c>
      <c r="O232" t="e">
        <f t="shared" si="6"/>
        <v>#N/A</v>
      </c>
      <c r="P232" t="e" cm="1">
        <f t="array" ref="P232">eval_tr_dbh</f>
        <v>#N/A</v>
      </c>
      <c r="Q232" t="str">
        <f t="shared" si="7"/>
        <v>TN_23_NA_B3</v>
      </c>
    </row>
    <row r="233" spans="1:17" x14ac:dyDescent="0.15">
      <c r="A233" s="5" t="s">
        <v>3</v>
      </c>
      <c r="B233" s="5">
        <v>23</v>
      </c>
      <c r="C233" s="5" t="s">
        <v>21</v>
      </c>
      <c r="D233" s="5" t="s">
        <v>30</v>
      </c>
      <c r="E233" s="7">
        <v>44727</v>
      </c>
      <c r="F233" s="5" t="s">
        <v>9</v>
      </c>
      <c r="G233" s="5" t="s">
        <v>37</v>
      </c>
      <c r="H233" s="5" t="s">
        <v>21</v>
      </c>
      <c r="I233" s="4" t="s">
        <v>21</v>
      </c>
      <c r="J233" s="4" t="s">
        <v>21</v>
      </c>
      <c r="K233" t="s">
        <v>154</v>
      </c>
      <c r="L233">
        <v>2</v>
      </c>
      <c r="M233" t="e">
        <v>#N/A</v>
      </c>
      <c r="N233" t="e">
        <f>VLOOKUP(H233,'Tree shrub sapling root eq'!$A$2:$C$12,3,)</f>
        <v>#N/A</v>
      </c>
      <c r="O233" t="e">
        <f t="shared" si="6"/>
        <v>#N/A</v>
      </c>
      <c r="P233" t="e" cm="1">
        <f t="array" ref="P233">eval_tr_dbh</f>
        <v>#N/A</v>
      </c>
      <c r="Q233" t="str">
        <f t="shared" si="7"/>
        <v>TN_23_NA_B4</v>
      </c>
    </row>
    <row r="234" spans="1:17" x14ac:dyDescent="0.15">
      <c r="A234" s="5" t="s">
        <v>3</v>
      </c>
      <c r="B234" s="5">
        <v>24</v>
      </c>
      <c r="C234" s="5" t="s">
        <v>21</v>
      </c>
      <c r="D234" s="5" t="s">
        <v>30</v>
      </c>
      <c r="E234" s="7">
        <v>44725</v>
      </c>
      <c r="F234" s="5" t="s">
        <v>7</v>
      </c>
      <c r="G234" s="5" t="s">
        <v>34</v>
      </c>
      <c r="H234" s="5" t="s">
        <v>8</v>
      </c>
      <c r="I234" s="4">
        <v>11.4</v>
      </c>
      <c r="J234" s="4">
        <v>42.5</v>
      </c>
      <c r="K234" t="s">
        <v>167</v>
      </c>
      <c r="L234">
        <v>1</v>
      </c>
      <c r="M234">
        <v>764106.97414221941</v>
      </c>
      <c r="N234" t="str">
        <f>VLOOKUP(H234,'Tree shrub sapling root eq'!$A$2:$C$12,3,)</f>
        <v>=0.222*X6</v>
      </c>
      <c r="O234" t="str">
        <f t="shared" si="6"/>
        <v>=0.222*764106.974142219</v>
      </c>
      <c r="P234" cm="1">
        <f t="array" ref="P234">eval_tr_dbh</f>
        <v>169631.74825957263</v>
      </c>
      <c r="Q234" t="str">
        <f t="shared" si="7"/>
        <v>TN_24_NA_B3</v>
      </c>
    </row>
    <row r="235" spans="1:17" x14ac:dyDescent="0.15">
      <c r="A235" s="5" t="s">
        <v>3</v>
      </c>
      <c r="B235" s="5">
        <v>24</v>
      </c>
      <c r="C235" s="5" t="s">
        <v>21</v>
      </c>
      <c r="D235" s="5" t="s">
        <v>30</v>
      </c>
      <c r="E235" s="7">
        <v>44725</v>
      </c>
      <c r="F235" s="5" t="s">
        <v>5</v>
      </c>
      <c r="G235" s="5" t="s">
        <v>35</v>
      </c>
      <c r="H235" s="5" t="s">
        <v>21</v>
      </c>
      <c r="I235" s="4" t="s">
        <v>21</v>
      </c>
      <c r="J235" s="4" t="s">
        <v>21</v>
      </c>
      <c r="K235" t="s">
        <v>167</v>
      </c>
      <c r="L235">
        <v>1</v>
      </c>
      <c r="M235" t="e">
        <v>#N/A</v>
      </c>
      <c r="N235" t="e">
        <f>VLOOKUP(H235,'Tree shrub sapling root eq'!$A$2:$C$12,3,)</f>
        <v>#N/A</v>
      </c>
      <c r="O235" t="e">
        <f t="shared" si="6"/>
        <v>#N/A</v>
      </c>
      <c r="P235" t="e" cm="1">
        <f t="array" ref="P235">eval_tr_dbh</f>
        <v>#N/A</v>
      </c>
      <c r="Q235" t="str">
        <f t="shared" si="7"/>
        <v>TN_24_NA_B1</v>
      </c>
    </row>
    <row r="236" spans="1:17" x14ac:dyDescent="0.15">
      <c r="A236" s="5" t="s">
        <v>3</v>
      </c>
      <c r="B236" s="5">
        <v>24</v>
      </c>
      <c r="C236" s="5" t="s">
        <v>21</v>
      </c>
      <c r="D236" s="5" t="s">
        <v>30</v>
      </c>
      <c r="E236" s="7">
        <v>44725</v>
      </c>
      <c r="F236" s="5" t="s">
        <v>6</v>
      </c>
      <c r="G236" s="5" t="s">
        <v>36</v>
      </c>
      <c r="H236" s="5" t="s">
        <v>21</v>
      </c>
      <c r="I236" s="4" t="s">
        <v>21</v>
      </c>
      <c r="J236" s="4" t="s">
        <v>21</v>
      </c>
      <c r="K236" t="s">
        <v>167</v>
      </c>
      <c r="L236">
        <v>1</v>
      </c>
      <c r="M236" t="e">
        <v>#N/A</v>
      </c>
      <c r="N236" t="e">
        <f>VLOOKUP(H236,'Tree shrub sapling root eq'!$A$2:$C$12,3,)</f>
        <v>#N/A</v>
      </c>
      <c r="O236" t="e">
        <f t="shared" si="6"/>
        <v>#N/A</v>
      </c>
      <c r="P236" t="e" cm="1">
        <f t="array" ref="P236">eval_tr_dbh</f>
        <v>#N/A</v>
      </c>
      <c r="Q236" t="str">
        <f t="shared" si="7"/>
        <v>TN_24_NA_B2</v>
      </c>
    </row>
    <row r="237" spans="1:17" x14ac:dyDescent="0.15">
      <c r="A237" s="5" t="s">
        <v>3</v>
      </c>
      <c r="B237" s="5">
        <v>24</v>
      </c>
      <c r="C237" s="5" t="s">
        <v>21</v>
      </c>
      <c r="D237" s="5" t="s">
        <v>30</v>
      </c>
      <c r="E237" s="7">
        <v>44725</v>
      </c>
      <c r="F237" s="5" t="s">
        <v>9</v>
      </c>
      <c r="G237" s="5" t="s">
        <v>37</v>
      </c>
      <c r="H237" s="5" t="s">
        <v>21</v>
      </c>
      <c r="I237" s="4" t="s">
        <v>21</v>
      </c>
      <c r="J237" s="4" t="s">
        <v>21</v>
      </c>
      <c r="K237" t="s">
        <v>167</v>
      </c>
      <c r="L237">
        <v>1</v>
      </c>
      <c r="M237" t="e">
        <v>#N/A</v>
      </c>
      <c r="N237" t="e">
        <f>VLOOKUP(H237,'Tree shrub sapling root eq'!$A$2:$C$12,3,)</f>
        <v>#N/A</v>
      </c>
      <c r="O237" t="e">
        <f t="shared" si="6"/>
        <v>#N/A</v>
      </c>
      <c r="P237" t="e" cm="1">
        <f t="array" ref="P237">eval_tr_dbh</f>
        <v>#N/A</v>
      </c>
      <c r="Q237" t="str">
        <f t="shared" si="7"/>
        <v>TN_24_NA_B4</v>
      </c>
    </row>
    <row r="238" spans="1:17" x14ac:dyDescent="0.15">
      <c r="A238" s="5" t="s">
        <v>3</v>
      </c>
      <c r="B238" s="5">
        <v>25</v>
      </c>
      <c r="C238" s="5" t="s">
        <v>22</v>
      </c>
      <c r="D238" s="5" t="s">
        <v>31</v>
      </c>
      <c r="E238" s="7">
        <v>44728</v>
      </c>
      <c r="F238" s="5" t="s">
        <v>5</v>
      </c>
      <c r="G238" s="5" t="s">
        <v>35</v>
      </c>
      <c r="H238" s="5" t="s">
        <v>21</v>
      </c>
      <c r="I238" s="4" t="s">
        <v>21</v>
      </c>
      <c r="J238" s="4" t="s">
        <v>21</v>
      </c>
      <c r="K238" t="s">
        <v>258</v>
      </c>
      <c r="L238">
        <v>2</v>
      </c>
      <c r="M238" t="e">
        <v>#N/A</v>
      </c>
      <c r="N238" t="e">
        <f>VLOOKUP(H238,'Tree shrub sapling root eq'!$A$2:$C$12,3,)</f>
        <v>#N/A</v>
      </c>
      <c r="O238" t="e">
        <f t="shared" si="6"/>
        <v>#N/A</v>
      </c>
      <c r="P238" t="e" cm="1">
        <f t="array" ref="P238">eval_tr_dbh</f>
        <v>#N/A</v>
      </c>
      <c r="Q238" t="str">
        <f t="shared" si="7"/>
        <v>TN_25_CTRL_B1</v>
      </c>
    </row>
    <row r="239" spans="1:17" x14ac:dyDescent="0.15">
      <c r="A239" s="5" t="s">
        <v>3</v>
      </c>
      <c r="B239" s="5">
        <v>25</v>
      </c>
      <c r="C239" s="5" t="s">
        <v>22</v>
      </c>
      <c r="D239" s="5" t="s">
        <v>31</v>
      </c>
      <c r="E239" s="7">
        <v>44728</v>
      </c>
      <c r="F239" s="5" t="s">
        <v>6</v>
      </c>
      <c r="G239" s="5" t="s">
        <v>36</v>
      </c>
      <c r="H239" s="5" t="s">
        <v>21</v>
      </c>
      <c r="I239" s="4" t="s">
        <v>21</v>
      </c>
      <c r="J239" s="4" t="s">
        <v>21</v>
      </c>
      <c r="K239" t="s">
        <v>258</v>
      </c>
      <c r="L239">
        <v>2</v>
      </c>
      <c r="M239" t="e">
        <v>#N/A</v>
      </c>
      <c r="N239" t="e">
        <f>VLOOKUP(H239,'Tree shrub sapling root eq'!$A$2:$C$12,3,)</f>
        <v>#N/A</v>
      </c>
      <c r="O239" t="e">
        <f t="shared" si="6"/>
        <v>#N/A</v>
      </c>
      <c r="P239" t="e" cm="1">
        <f t="array" ref="P239">eval_tr_dbh</f>
        <v>#N/A</v>
      </c>
      <c r="Q239" t="str">
        <f t="shared" si="7"/>
        <v>TN_25_CTRL_B2</v>
      </c>
    </row>
    <row r="240" spans="1:17" x14ac:dyDescent="0.15">
      <c r="A240" s="5" t="s">
        <v>3</v>
      </c>
      <c r="B240" s="5">
        <v>25</v>
      </c>
      <c r="C240" s="5" t="s">
        <v>22</v>
      </c>
      <c r="D240" s="5" t="s">
        <v>31</v>
      </c>
      <c r="E240" s="7">
        <v>44728</v>
      </c>
      <c r="F240" s="5" t="s">
        <v>7</v>
      </c>
      <c r="G240" s="5" t="s">
        <v>34</v>
      </c>
      <c r="H240" s="5" t="s">
        <v>21</v>
      </c>
      <c r="I240" s="4" t="s">
        <v>21</v>
      </c>
      <c r="J240" s="4" t="s">
        <v>21</v>
      </c>
      <c r="K240" t="s">
        <v>258</v>
      </c>
      <c r="L240">
        <v>2</v>
      </c>
      <c r="M240" t="e">
        <v>#N/A</v>
      </c>
      <c r="N240" t="e">
        <f>VLOOKUP(H240,'Tree shrub sapling root eq'!$A$2:$C$12,3,)</f>
        <v>#N/A</v>
      </c>
      <c r="O240" t="e">
        <f t="shared" si="6"/>
        <v>#N/A</v>
      </c>
      <c r="P240" t="e" cm="1">
        <f t="array" ref="P240">eval_tr_dbh</f>
        <v>#N/A</v>
      </c>
      <c r="Q240" t="str">
        <f t="shared" si="7"/>
        <v>TN_25_CTRL_B3</v>
      </c>
    </row>
    <row r="241" spans="1:17" x14ac:dyDescent="0.15">
      <c r="A241" s="5" t="s">
        <v>3</v>
      </c>
      <c r="B241" s="5">
        <v>25</v>
      </c>
      <c r="C241" s="5" t="s">
        <v>22</v>
      </c>
      <c r="D241" s="5" t="s">
        <v>31</v>
      </c>
      <c r="E241" s="7">
        <v>44728</v>
      </c>
      <c r="F241" s="5" t="s">
        <v>9</v>
      </c>
      <c r="G241" s="5" t="s">
        <v>37</v>
      </c>
      <c r="H241" s="5" t="s">
        <v>21</v>
      </c>
      <c r="I241" s="4" t="s">
        <v>21</v>
      </c>
      <c r="J241" s="4" t="s">
        <v>21</v>
      </c>
      <c r="K241" t="s">
        <v>258</v>
      </c>
      <c r="L241">
        <v>2</v>
      </c>
      <c r="M241" t="e">
        <v>#N/A</v>
      </c>
      <c r="N241" t="e">
        <f>VLOOKUP(H241,'Tree shrub sapling root eq'!$A$2:$C$12,3,)</f>
        <v>#N/A</v>
      </c>
      <c r="O241" t="e">
        <f t="shared" si="6"/>
        <v>#N/A</v>
      </c>
      <c r="P241" t="e" cm="1">
        <f t="array" ref="P241">eval_tr_dbh</f>
        <v>#N/A</v>
      </c>
      <c r="Q241" t="str">
        <f t="shared" si="7"/>
        <v>TN_25_CTRL_B4</v>
      </c>
    </row>
    <row r="242" spans="1:17" x14ac:dyDescent="0.15">
      <c r="A242" s="5" t="s">
        <v>3</v>
      </c>
      <c r="B242" s="5">
        <v>25</v>
      </c>
      <c r="C242" s="5" t="s">
        <v>23</v>
      </c>
      <c r="D242" s="5" t="s">
        <v>31</v>
      </c>
      <c r="E242" s="7">
        <v>44728</v>
      </c>
      <c r="F242" s="5" t="s">
        <v>5</v>
      </c>
      <c r="G242" s="5" t="s">
        <v>35</v>
      </c>
      <c r="H242" s="5" t="s">
        <v>19</v>
      </c>
      <c r="I242" s="4">
        <v>3.25</v>
      </c>
      <c r="J242" s="4">
        <v>2.2999999999999998</v>
      </c>
      <c r="K242" t="s">
        <v>259</v>
      </c>
      <c r="L242">
        <v>2</v>
      </c>
      <c r="M242">
        <v>765.67479916956313</v>
      </c>
      <c r="N242" t="str">
        <f>VLOOKUP(H242,'Tree shrub sapling root eq'!$A$2:$C$12,3,)</f>
        <v>=1.576*X6^0.615</v>
      </c>
      <c r="O242" t="str">
        <f t="shared" si="6"/>
        <v>=1.576*765.674799169563^0.615</v>
      </c>
      <c r="P242" cm="1">
        <f t="array" ref="P242">eval_tr_dbh</f>
        <v>93.593026333677983</v>
      </c>
      <c r="Q242" t="str">
        <f t="shared" si="7"/>
        <v>TN_25_EX_B1</v>
      </c>
    </row>
    <row r="243" spans="1:17" x14ac:dyDescent="0.15">
      <c r="A243" s="5" t="s">
        <v>3</v>
      </c>
      <c r="B243" s="5">
        <v>25</v>
      </c>
      <c r="C243" s="5" t="s">
        <v>23</v>
      </c>
      <c r="D243" s="5" t="s">
        <v>31</v>
      </c>
      <c r="E243" s="7">
        <v>44728</v>
      </c>
      <c r="F243" s="5" t="s">
        <v>9</v>
      </c>
      <c r="G243" s="5" t="s">
        <v>37</v>
      </c>
      <c r="H243" s="5" t="s">
        <v>16</v>
      </c>
      <c r="I243" s="4">
        <v>3</v>
      </c>
      <c r="J243" s="4">
        <v>3.5</v>
      </c>
      <c r="K243" t="s">
        <v>259</v>
      </c>
      <c r="L243">
        <v>2</v>
      </c>
      <c r="M243">
        <v>2070.8363258584486</v>
      </c>
      <c r="N243" t="str">
        <f>VLOOKUP(H243,'Tree shrub sapling root eq'!$A$2:$C$12,3,)</f>
        <v>=1.576*X6^0.615</v>
      </c>
      <c r="O243" t="str">
        <f t="shared" si="6"/>
        <v>=1.576*2070.83632585845^0.615</v>
      </c>
      <c r="P243" cm="1">
        <f t="array" ref="P243">eval_tr_dbh</f>
        <v>172.57817201622174</v>
      </c>
      <c r="Q243" t="str">
        <f t="shared" si="7"/>
        <v>TN_25_EX_B4</v>
      </c>
    </row>
    <row r="244" spans="1:17" x14ac:dyDescent="0.15">
      <c r="A244" s="5" t="s">
        <v>3</v>
      </c>
      <c r="B244" s="5">
        <v>25</v>
      </c>
      <c r="C244" s="5" t="s">
        <v>23</v>
      </c>
      <c r="D244" s="5" t="s">
        <v>31</v>
      </c>
      <c r="E244" s="7">
        <v>44728</v>
      </c>
      <c r="F244" s="5" t="s">
        <v>5</v>
      </c>
      <c r="G244" s="5" t="s">
        <v>35</v>
      </c>
      <c r="H244" s="5" t="s">
        <v>16</v>
      </c>
      <c r="I244" s="4">
        <v>4</v>
      </c>
      <c r="J244" s="4">
        <v>3.4</v>
      </c>
      <c r="K244" t="s">
        <v>259</v>
      </c>
      <c r="L244">
        <v>2</v>
      </c>
      <c r="M244">
        <v>1932.6070930285855</v>
      </c>
      <c r="N244" t="str">
        <f>VLOOKUP(H244,'Tree shrub sapling root eq'!$A$2:$C$12,3,)</f>
        <v>=1.576*X6^0.615</v>
      </c>
      <c r="O244" t="str">
        <f t="shared" si="6"/>
        <v>=1.576*1932.60709302859^0.615</v>
      </c>
      <c r="P244" cm="1">
        <f t="array" ref="P244">eval_tr_dbh</f>
        <v>165.39962028133144</v>
      </c>
      <c r="Q244" t="str">
        <f t="shared" si="7"/>
        <v>TN_25_EX_B1</v>
      </c>
    </row>
    <row r="245" spans="1:17" x14ac:dyDescent="0.15">
      <c r="A245" s="5" t="s">
        <v>3</v>
      </c>
      <c r="B245" s="5">
        <v>25</v>
      </c>
      <c r="C245" s="5" t="s">
        <v>23</v>
      </c>
      <c r="D245" s="5" t="s">
        <v>31</v>
      </c>
      <c r="E245" s="7">
        <v>44728</v>
      </c>
      <c r="F245" s="5" t="s">
        <v>5</v>
      </c>
      <c r="G245" s="5" t="s">
        <v>35</v>
      </c>
      <c r="H245" s="5" t="s">
        <v>16</v>
      </c>
      <c r="I245" s="4">
        <v>5.5</v>
      </c>
      <c r="J245" s="4">
        <v>3.7</v>
      </c>
      <c r="K245" t="s">
        <v>259</v>
      </c>
      <c r="L245">
        <v>2</v>
      </c>
      <c r="M245">
        <v>2364.416427809982</v>
      </c>
      <c r="N245" t="str">
        <f>VLOOKUP(H245,'Tree shrub sapling root eq'!$A$2:$C$12,3,)</f>
        <v>=1.576*X6^0.615</v>
      </c>
      <c r="O245" t="str">
        <f t="shared" si="6"/>
        <v>=1.576*2364.41642780998^0.615</v>
      </c>
      <c r="P245" cm="1">
        <f t="array" ref="P245">eval_tr_dbh</f>
        <v>187.23906060104559</v>
      </c>
      <c r="Q245" t="str">
        <f t="shared" si="7"/>
        <v>TN_25_EX_B1</v>
      </c>
    </row>
    <row r="246" spans="1:17" x14ac:dyDescent="0.15">
      <c r="A246" s="5" t="s">
        <v>3</v>
      </c>
      <c r="B246" s="5">
        <v>25</v>
      </c>
      <c r="C246" s="5" t="s">
        <v>23</v>
      </c>
      <c r="D246" s="5" t="s">
        <v>31</v>
      </c>
      <c r="E246" s="7">
        <v>44728</v>
      </c>
      <c r="F246" s="5" t="s">
        <v>6</v>
      </c>
      <c r="G246" s="5" t="s">
        <v>36</v>
      </c>
      <c r="H246" s="5" t="s">
        <v>16</v>
      </c>
      <c r="I246" s="4">
        <v>4.5</v>
      </c>
      <c r="J246" s="4">
        <v>4.4000000000000004</v>
      </c>
      <c r="K246" t="s">
        <v>259</v>
      </c>
      <c r="L246">
        <v>2</v>
      </c>
      <c r="M246">
        <v>3579.0013216951497</v>
      </c>
      <c r="N246" t="str">
        <f>VLOOKUP(H246,'Tree shrub sapling root eq'!$A$2:$C$12,3,)</f>
        <v>=1.576*X6^0.615</v>
      </c>
      <c r="O246" t="str">
        <f t="shared" si="6"/>
        <v>=1.576*3579.00132169515^0.615</v>
      </c>
      <c r="P246" cm="1">
        <f t="array" ref="P246">eval_tr_dbh</f>
        <v>241.61269873561739</v>
      </c>
      <c r="Q246" t="str">
        <f t="shared" si="7"/>
        <v>TN_25_EX_B2</v>
      </c>
    </row>
    <row r="247" spans="1:17" x14ac:dyDescent="0.15">
      <c r="A247" s="5" t="s">
        <v>3</v>
      </c>
      <c r="B247" s="5">
        <v>25</v>
      </c>
      <c r="C247" s="5" t="s">
        <v>23</v>
      </c>
      <c r="D247" s="5" t="s">
        <v>31</v>
      </c>
      <c r="E247" s="7">
        <v>44728</v>
      </c>
      <c r="F247" s="5" t="s">
        <v>7</v>
      </c>
      <c r="G247" s="5" t="s">
        <v>34</v>
      </c>
      <c r="H247" s="5" t="s">
        <v>16</v>
      </c>
      <c r="I247" s="4">
        <v>4.3</v>
      </c>
      <c r="J247" s="4">
        <v>4.7</v>
      </c>
      <c r="K247" t="s">
        <v>259</v>
      </c>
      <c r="L247">
        <v>2</v>
      </c>
      <c r="M247">
        <v>4192.5978610720231</v>
      </c>
      <c r="N247" t="str">
        <f>VLOOKUP(H247,'Tree shrub sapling root eq'!$A$2:$C$12,3,)</f>
        <v>=1.576*X6^0.615</v>
      </c>
      <c r="O247" t="str">
        <f t="shared" si="6"/>
        <v>=1.576*4192.59786107202^0.615</v>
      </c>
      <c r="P247" cm="1">
        <f t="array" ref="P247">eval_tr_dbh</f>
        <v>266.30749308533473</v>
      </c>
      <c r="Q247" t="str">
        <f t="shared" si="7"/>
        <v>TN_25_EX_B3</v>
      </c>
    </row>
    <row r="248" spans="1:17" x14ac:dyDescent="0.15">
      <c r="A248" s="5" t="s">
        <v>3</v>
      </c>
      <c r="B248" s="5">
        <v>26</v>
      </c>
      <c r="C248" s="5" t="s">
        <v>21</v>
      </c>
      <c r="D248" s="5" t="s">
        <v>31</v>
      </c>
      <c r="E248" s="7">
        <v>44729</v>
      </c>
      <c r="F248" s="5" t="s">
        <v>5</v>
      </c>
      <c r="G248" s="5" t="s">
        <v>35</v>
      </c>
      <c r="H248" s="5" t="s">
        <v>21</v>
      </c>
      <c r="I248" s="4" t="s">
        <v>21</v>
      </c>
      <c r="J248" s="4" t="s">
        <v>21</v>
      </c>
      <c r="K248" t="s">
        <v>155</v>
      </c>
      <c r="L248">
        <v>2</v>
      </c>
      <c r="M248" t="e">
        <v>#N/A</v>
      </c>
      <c r="N248" t="e">
        <f>VLOOKUP(H248,'Tree shrub sapling root eq'!$A$2:$C$12,3,)</f>
        <v>#N/A</v>
      </c>
      <c r="O248" t="e">
        <f t="shared" si="6"/>
        <v>#N/A</v>
      </c>
      <c r="P248" t="e" cm="1">
        <f t="array" ref="P248">eval_tr_dbh</f>
        <v>#N/A</v>
      </c>
      <c r="Q248" t="str">
        <f t="shared" si="7"/>
        <v>TN_26_NA_B1</v>
      </c>
    </row>
    <row r="249" spans="1:17" x14ac:dyDescent="0.15">
      <c r="A249" s="5" t="s">
        <v>3</v>
      </c>
      <c r="B249" s="5">
        <v>26</v>
      </c>
      <c r="C249" s="5" t="s">
        <v>21</v>
      </c>
      <c r="D249" s="5" t="s">
        <v>31</v>
      </c>
      <c r="E249" s="7">
        <v>44729</v>
      </c>
      <c r="F249" s="5" t="s">
        <v>6</v>
      </c>
      <c r="G249" s="5" t="s">
        <v>36</v>
      </c>
      <c r="H249" s="5" t="s">
        <v>21</v>
      </c>
      <c r="I249" s="4" t="s">
        <v>21</v>
      </c>
      <c r="J249" s="4" t="s">
        <v>21</v>
      </c>
      <c r="K249" t="s">
        <v>155</v>
      </c>
      <c r="L249">
        <v>2</v>
      </c>
      <c r="M249" t="e">
        <v>#N/A</v>
      </c>
      <c r="N249" t="e">
        <f>VLOOKUP(H249,'Tree shrub sapling root eq'!$A$2:$C$12,3,)</f>
        <v>#N/A</v>
      </c>
      <c r="O249" t="e">
        <f t="shared" si="6"/>
        <v>#N/A</v>
      </c>
      <c r="P249" t="e" cm="1">
        <f t="array" ref="P249">eval_tr_dbh</f>
        <v>#N/A</v>
      </c>
      <c r="Q249" t="str">
        <f t="shared" si="7"/>
        <v>TN_26_NA_B2</v>
      </c>
    </row>
    <row r="250" spans="1:17" x14ac:dyDescent="0.15">
      <c r="A250" s="5" t="s">
        <v>3</v>
      </c>
      <c r="B250" s="5">
        <v>26</v>
      </c>
      <c r="C250" s="5" t="s">
        <v>21</v>
      </c>
      <c r="D250" s="5" t="s">
        <v>31</v>
      </c>
      <c r="E250" s="7">
        <v>44729</v>
      </c>
      <c r="F250" s="5" t="s">
        <v>7</v>
      </c>
      <c r="G250" s="5" t="s">
        <v>34</v>
      </c>
      <c r="H250" s="5" t="s">
        <v>21</v>
      </c>
      <c r="I250" s="4" t="s">
        <v>21</v>
      </c>
      <c r="J250" s="4" t="s">
        <v>21</v>
      </c>
      <c r="K250" t="s">
        <v>155</v>
      </c>
      <c r="L250">
        <v>2</v>
      </c>
      <c r="M250" t="e">
        <v>#N/A</v>
      </c>
      <c r="N250" t="e">
        <f>VLOOKUP(H250,'Tree shrub sapling root eq'!$A$2:$C$12,3,)</f>
        <v>#N/A</v>
      </c>
      <c r="O250" t="e">
        <f t="shared" si="6"/>
        <v>#N/A</v>
      </c>
      <c r="P250" t="e" cm="1">
        <f t="array" ref="P250">eval_tr_dbh</f>
        <v>#N/A</v>
      </c>
      <c r="Q250" t="str">
        <f t="shared" si="7"/>
        <v>TN_26_NA_B3</v>
      </c>
    </row>
    <row r="251" spans="1:17" x14ac:dyDescent="0.15">
      <c r="A251" s="5" t="s">
        <v>3</v>
      </c>
      <c r="B251" s="5">
        <v>26</v>
      </c>
      <c r="C251" s="5" t="s">
        <v>21</v>
      </c>
      <c r="D251" s="5" t="s">
        <v>31</v>
      </c>
      <c r="E251" s="7">
        <v>44729</v>
      </c>
      <c r="F251" s="5" t="s">
        <v>9</v>
      </c>
      <c r="G251" s="5" t="s">
        <v>37</v>
      </c>
      <c r="H251" s="5" t="s">
        <v>21</v>
      </c>
      <c r="I251" s="4" t="s">
        <v>21</v>
      </c>
      <c r="J251" s="4" t="s">
        <v>21</v>
      </c>
      <c r="K251" t="s">
        <v>155</v>
      </c>
      <c r="L251">
        <v>2</v>
      </c>
      <c r="M251" t="e">
        <v>#N/A</v>
      </c>
      <c r="N251" t="e">
        <f>VLOOKUP(H251,'Tree shrub sapling root eq'!$A$2:$C$12,3,)</f>
        <v>#N/A</v>
      </c>
      <c r="O251" t="e">
        <f t="shared" si="6"/>
        <v>#N/A</v>
      </c>
      <c r="P251" t="e" cm="1">
        <f t="array" ref="P251">eval_tr_dbh</f>
        <v>#N/A</v>
      </c>
      <c r="Q251" t="str">
        <f t="shared" si="7"/>
        <v>TN_26_NA_B4</v>
      </c>
    </row>
    <row r="252" spans="1:17" x14ac:dyDescent="0.15">
      <c r="A252" s="6" t="s">
        <v>3</v>
      </c>
      <c r="B252" s="6">
        <v>27</v>
      </c>
      <c r="C252" s="5" t="s">
        <v>21</v>
      </c>
      <c r="D252" s="5" t="s">
        <v>31</v>
      </c>
      <c r="E252" s="7">
        <v>44727</v>
      </c>
      <c r="F252" s="6" t="s">
        <v>6</v>
      </c>
      <c r="G252" s="6" t="s">
        <v>36</v>
      </c>
      <c r="H252" s="3" t="s">
        <v>8</v>
      </c>
      <c r="I252" s="2">
        <v>5</v>
      </c>
      <c r="J252" s="2">
        <v>6.25</v>
      </c>
      <c r="K252" t="s">
        <v>142</v>
      </c>
      <c r="L252">
        <v>1</v>
      </c>
      <c r="M252">
        <v>9185.3295684467903</v>
      </c>
      <c r="N252" t="str">
        <f>VLOOKUP(H252,'Tree shrub sapling root eq'!$A$2:$C$12,3,)</f>
        <v>=0.222*X6</v>
      </c>
      <c r="O252" t="str">
        <f t="shared" si="6"/>
        <v>=0.222*9185.32956844679</v>
      </c>
      <c r="P252" cm="1">
        <f t="array" ref="P252">eval_tr_dbh</f>
        <v>2039.1431641951874</v>
      </c>
      <c r="Q252" t="str">
        <f t="shared" si="7"/>
        <v>TN_27_NA_B2</v>
      </c>
    </row>
    <row r="253" spans="1:17" x14ac:dyDescent="0.15">
      <c r="A253" s="6" t="s">
        <v>3</v>
      </c>
      <c r="B253" s="6">
        <v>27</v>
      </c>
      <c r="C253" s="5" t="s">
        <v>21</v>
      </c>
      <c r="D253" s="5" t="s">
        <v>31</v>
      </c>
      <c r="E253" s="7">
        <v>44727</v>
      </c>
      <c r="F253" s="6" t="s">
        <v>5</v>
      </c>
      <c r="G253" s="6" t="s">
        <v>35</v>
      </c>
      <c r="H253" s="6" t="s">
        <v>21</v>
      </c>
      <c r="I253" s="2" t="s">
        <v>21</v>
      </c>
      <c r="J253" s="2" t="s">
        <v>21</v>
      </c>
      <c r="K253" t="s">
        <v>142</v>
      </c>
      <c r="L253">
        <v>1</v>
      </c>
      <c r="M253" t="e">
        <v>#N/A</v>
      </c>
      <c r="N253" t="e">
        <f>VLOOKUP(H253,'Tree shrub sapling root eq'!$A$2:$C$12,3,)</f>
        <v>#N/A</v>
      </c>
      <c r="O253" t="e">
        <f t="shared" si="6"/>
        <v>#N/A</v>
      </c>
      <c r="P253" t="e" cm="1">
        <f t="array" ref="P253">eval_tr_dbh</f>
        <v>#N/A</v>
      </c>
      <c r="Q253" t="str">
        <f t="shared" si="7"/>
        <v>TN_27_NA_B1</v>
      </c>
    </row>
    <row r="254" spans="1:17" x14ac:dyDescent="0.15">
      <c r="A254" s="6" t="s">
        <v>3</v>
      </c>
      <c r="B254" s="6">
        <v>27</v>
      </c>
      <c r="C254" s="5" t="s">
        <v>21</v>
      </c>
      <c r="D254" s="5" t="s">
        <v>31</v>
      </c>
      <c r="E254" s="7">
        <v>44727</v>
      </c>
      <c r="F254" s="6" t="s">
        <v>7</v>
      </c>
      <c r="G254" s="6" t="s">
        <v>34</v>
      </c>
      <c r="H254" s="6" t="s">
        <v>21</v>
      </c>
      <c r="I254" s="2" t="s">
        <v>21</v>
      </c>
      <c r="J254" s="2" t="s">
        <v>21</v>
      </c>
      <c r="K254" t="s">
        <v>142</v>
      </c>
      <c r="L254">
        <v>1</v>
      </c>
      <c r="M254" t="e">
        <v>#N/A</v>
      </c>
      <c r="N254" t="e">
        <f>VLOOKUP(H254,'Tree shrub sapling root eq'!$A$2:$C$12,3,)</f>
        <v>#N/A</v>
      </c>
      <c r="O254" t="e">
        <f t="shared" si="6"/>
        <v>#N/A</v>
      </c>
      <c r="P254" t="e" cm="1">
        <f t="array" ref="P254">eval_tr_dbh</f>
        <v>#N/A</v>
      </c>
      <c r="Q254" t="str">
        <f t="shared" si="7"/>
        <v>TN_27_NA_B3</v>
      </c>
    </row>
    <row r="255" spans="1:17" x14ac:dyDescent="0.15">
      <c r="A255" s="6" t="s">
        <v>3</v>
      </c>
      <c r="B255" s="6">
        <v>27</v>
      </c>
      <c r="C255" s="5" t="s">
        <v>21</v>
      </c>
      <c r="D255" s="5" t="s">
        <v>31</v>
      </c>
      <c r="E255" s="7">
        <v>44727</v>
      </c>
      <c r="F255" s="6" t="s">
        <v>9</v>
      </c>
      <c r="G255" s="6" t="s">
        <v>37</v>
      </c>
      <c r="H255" s="6" t="s">
        <v>21</v>
      </c>
      <c r="I255" s="2" t="s">
        <v>21</v>
      </c>
      <c r="J255" s="2" t="s">
        <v>21</v>
      </c>
      <c r="K255" t="s">
        <v>142</v>
      </c>
      <c r="L255">
        <v>1</v>
      </c>
      <c r="M255" t="e">
        <v>#N/A</v>
      </c>
      <c r="N255" t="e">
        <f>VLOOKUP(H255,'Tree shrub sapling root eq'!$A$2:$C$12,3,)</f>
        <v>#N/A</v>
      </c>
      <c r="O255" t="e">
        <f t="shared" si="6"/>
        <v>#N/A</v>
      </c>
      <c r="P255" t="e" cm="1">
        <f t="array" ref="P255">eval_tr_dbh</f>
        <v>#N/A</v>
      </c>
      <c r="Q255" t="str">
        <f t="shared" si="7"/>
        <v>TN_27_NA_B4</v>
      </c>
    </row>
    <row r="256" spans="1:17" x14ac:dyDescent="0.15">
      <c r="A256" s="6" t="s">
        <v>3</v>
      </c>
      <c r="B256" s="6">
        <v>28</v>
      </c>
      <c r="C256" s="5" t="s">
        <v>21</v>
      </c>
      <c r="D256" s="5" t="s">
        <v>31</v>
      </c>
      <c r="E256" s="7">
        <v>44729</v>
      </c>
      <c r="F256" s="6" t="s">
        <v>7</v>
      </c>
      <c r="G256" s="6" t="s">
        <v>34</v>
      </c>
      <c r="H256" s="3" t="s">
        <v>8</v>
      </c>
      <c r="I256" s="2">
        <v>3</v>
      </c>
      <c r="J256" s="2">
        <v>5</v>
      </c>
      <c r="K256" t="s">
        <v>143</v>
      </c>
      <c r="L256">
        <v>1</v>
      </c>
      <c r="M256">
        <v>5696.4311335056445</v>
      </c>
      <c r="N256" t="str">
        <f>VLOOKUP(H256,'Tree shrub sapling root eq'!$A$2:$C$12,3,)</f>
        <v>=0.222*X6</v>
      </c>
      <c r="O256" t="str">
        <f t="shared" si="6"/>
        <v>=0.222*5696.43113350564</v>
      </c>
      <c r="P256" cm="1">
        <f t="array" ref="P256">eval_tr_dbh</f>
        <v>1264.6077116382521</v>
      </c>
      <c r="Q256" t="str">
        <f t="shared" si="7"/>
        <v>TN_28_NA_B3</v>
      </c>
    </row>
    <row r="257" spans="1:17" x14ac:dyDescent="0.15">
      <c r="A257" s="6" t="s">
        <v>3</v>
      </c>
      <c r="B257" s="6">
        <v>28</v>
      </c>
      <c r="C257" s="5" t="s">
        <v>21</v>
      </c>
      <c r="D257" s="5" t="s">
        <v>31</v>
      </c>
      <c r="E257" s="7">
        <v>44729</v>
      </c>
      <c r="F257" s="6" t="s">
        <v>5</v>
      </c>
      <c r="G257" s="6" t="s">
        <v>35</v>
      </c>
      <c r="H257" s="3" t="s">
        <v>8</v>
      </c>
      <c r="I257" s="2">
        <v>3.5</v>
      </c>
      <c r="J257" s="2">
        <v>6</v>
      </c>
      <c r="K257" t="s">
        <v>143</v>
      </c>
      <c r="L257">
        <v>1</v>
      </c>
      <c r="M257">
        <v>8410.1083756831194</v>
      </c>
      <c r="N257" t="str">
        <f>VLOOKUP(H257,'Tree shrub sapling root eq'!$A$2:$C$12,3,)</f>
        <v>=0.222*X6</v>
      </c>
      <c r="O257" t="str">
        <f t="shared" si="6"/>
        <v>=0.222*8410.10837568312</v>
      </c>
      <c r="P257" cm="1">
        <f t="array" ref="P257">eval_tr_dbh</f>
        <v>1867.0440594016525</v>
      </c>
      <c r="Q257" t="str">
        <f t="shared" si="7"/>
        <v>TN_28_NA_B1</v>
      </c>
    </row>
    <row r="258" spans="1:17" x14ac:dyDescent="0.15">
      <c r="A258" s="6" t="s">
        <v>3</v>
      </c>
      <c r="B258" s="6">
        <v>28</v>
      </c>
      <c r="C258" s="5" t="s">
        <v>21</v>
      </c>
      <c r="D258" s="5" t="s">
        <v>31</v>
      </c>
      <c r="E258" s="7">
        <v>44729</v>
      </c>
      <c r="F258" s="6" t="s">
        <v>9</v>
      </c>
      <c r="G258" s="6" t="s">
        <v>37</v>
      </c>
      <c r="H258" s="3" t="s">
        <v>8</v>
      </c>
      <c r="I258" s="2">
        <v>8</v>
      </c>
      <c r="J258" s="2">
        <v>24</v>
      </c>
      <c r="K258" t="s">
        <v>143</v>
      </c>
      <c r="L258">
        <v>1</v>
      </c>
      <c r="M258">
        <v>195771.08116918363</v>
      </c>
      <c r="N258" t="str">
        <f>VLOOKUP(H258,'Tree shrub sapling root eq'!$A$2:$C$12,3,)</f>
        <v>=0.222*X6</v>
      </c>
      <c r="O258" t="str">
        <f t="shared" si="6"/>
        <v>=0.222*195771.081169184</v>
      </c>
      <c r="P258" cm="1">
        <f t="array" ref="P258">eval_tr_dbh</f>
        <v>43461.180019558851</v>
      </c>
      <c r="Q258" t="str">
        <f t="shared" si="7"/>
        <v>TN_28_NA_B4</v>
      </c>
    </row>
    <row r="259" spans="1:17" x14ac:dyDescent="0.15">
      <c r="A259" s="6" t="s">
        <v>3</v>
      </c>
      <c r="B259" s="6">
        <v>28</v>
      </c>
      <c r="C259" s="5" t="s">
        <v>21</v>
      </c>
      <c r="D259" s="5" t="s">
        <v>31</v>
      </c>
      <c r="E259" s="7">
        <v>44729</v>
      </c>
      <c r="F259" s="6" t="s">
        <v>6</v>
      </c>
      <c r="G259" s="6" t="s">
        <v>36</v>
      </c>
      <c r="H259" s="6" t="s">
        <v>21</v>
      </c>
      <c r="I259" s="2" t="s">
        <v>21</v>
      </c>
      <c r="J259" s="2" t="s">
        <v>21</v>
      </c>
      <c r="K259" t="s">
        <v>143</v>
      </c>
      <c r="L259">
        <v>1</v>
      </c>
      <c r="M259" t="e">
        <v>#N/A</v>
      </c>
      <c r="N259" t="e">
        <f>VLOOKUP(H259,'Tree shrub sapling root eq'!$A$2:$C$12,3,)</f>
        <v>#N/A</v>
      </c>
      <c r="O259" t="e">
        <f t="shared" ref="O259:O316" si="8">SUBSTITUTE(N259,"X6",M259)</f>
        <v>#N/A</v>
      </c>
      <c r="P259" t="e" cm="1">
        <f t="array" ref="P259">eval_tr_dbh</f>
        <v>#N/A</v>
      </c>
      <c r="Q259" t="str">
        <f t="shared" ref="Q259:Q316" si="9">A259&amp;"_"&amp;B259&amp;"_"&amp;C259&amp;"_"&amp;G259</f>
        <v>TN_28_NA_B2</v>
      </c>
    </row>
    <row r="260" spans="1:17" x14ac:dyDescent="0.15">
      <c r="A260" s="5" t="s">
        <v>3</v>
      </c>
      <c r="B260" s="5">
        <v>29</v>
      </c>
      <c r="C260" s="5" t="s">
        <v>21</v>
      </c>
      <c r="D260" s="5" t="s">
        <v>31</v>
      </c>
      <c r="E260" s="7">
        <v>44727</v>
      </c>
      <c r="F260" s="5" t="s">
        <v>5</v>
      </c>
      <c r="G260" s="5" t="s">
        <v>35</v>
      </c>
      <c r="H260" s="5" t="s">
        <v>21</v>
      </c>
      <c r="I260" s="4" t="s">
        <v>21</v>
      </c>
      <c r="J260" s="4" t="s">
        <v>21</v>
      </c>
      <c r="K260" t="s">
        <v>156</v>
      </c>
      <c r="L260">
        <v>2</v>
      </c>
      <c r="M260" t="e">
        <v>#N/A</v>
      </c>
      <c r="N260" t="e">
        <f>VLOOKUP(H260,'Tree shrub sapling root eq'!$A$2:$C$12,3,)</f>
        <v>#N/A</v>
      </c>
      <c r="O260" t="e">
        <f t="shared" si="8"/>
        <v>#N/A</v>
      </c>
      <c r="P260" t="e" cm="1">
        <f t="array" ref="P260">eval_tr_dbh</f>
        <v>#N/A</v>
      </c>
      <c r="Q260" t="str">
        <f t="shared" si="9"/>
        <v>TN_29_NA_B1</v>
      </c>
    </row>
    <row r="261" spans="1:17" x14ac:dyDescent="0.15">
      <c r="A261" s="5" t="s">
        <v>3</v>
      </c>
      <c r="B261" s="5">
        <v>29</v>
      </c>
      <c r="C261" s="5" t="s">
        <v>21</v>
      </c>
      <c r="D261" s="5" t="s">
        <v>31</v>
      </c>
      <c r="E261" s="7">
        <v>44727</v>
      </c>
      <c r="F261" s="5" t="s">
        <v>6</v>
      </c>
      <c r="G261" s="5" t="s">
        <v>36</v>
      </c>
      <c r="H261" s="5" t="s">
        <v>21</v>
      </c>
      <c r="I261" s="4" t="s">
        <v>21</v>
      </c>
      <c r="J261" s="4" t="s">
        <v>21</v>
      </c>
      <c r="K261" t="s">
        <v>156</v>
      </c>
      <c r="L261">
        <v>2</v>
      </c>
      <c r="M261" t="e">
        <v>#N/A</v>
      </c>
      <c r="N261" t="e">
        <f>VLOOKUP(H261,'Tree shrub sapling root eq'!$A$2:$C$12,3,)</f>
        <v>#N/A</v>
      </c>
      <c r="O261" t="e">
        <f t="shared" si="8"/>
        <v>#N/A</v>
      </c>
      <c r="P261" t="e" cm="1">
        <f t="array" ref="P261">eval_tr_dbh</f>
        <v>#N/A</v>
      </c>
      <c r="Q261" t="str">
        <f t="shared" si="9"/>
        <v>TN_29_NA_B2</v>
      </c>
    </row>
    <row r="262" spans="1:17" x14ac:dyDescent="0.15">
      <c r="A262" s="5" t="s">
        <v>3</v>
      </c>
      <c r="B262" s="5">
        <v>29</v>
      </c>
      <c r="C262" s="5" t="s">
        <v>21</v>
      </c>
      <c r="D262" s="5" t="s">
        <v>31</v>
      </c>
      <c r="E262" s="7">
        <v>44727</v>
      </c>
      <c r="F262" s="5" t="s">
        <v>7</v>
      </c>
      <c r="G262" s="5" t="s">
        <v>34</v>
      </c>
      <c r="H262" s="5" t="s">
        <v>21</v>
      </c>
      <c r="I262" s="4" t="s">
        <v>21</v>
      </c>
      <c r="J262" s="4" t="s">
        <v>21</v>
      </c>
      <c r="K262" t="s">
        <v>156</v>
      </c>
      <c r="L262">
        <v>2</v>
      </c>
      <c r="M262" t="e">
        <v>#N/A</v>
      </c>
      <c r="N262" t="e">
        <f>VLOOKUP(H262,'Tree shrub sapling root eq'!$A$2:$C$12,3,)</f>
        <v>#N/A</v>
      </c>
      <c r="O262" t="e">
        <f t="shared" si="8"/>
        <v>#N/A</v>
      </c>
      <c r="P262" t="e" cm="1">
        <f t="array" ref="P262">eval_tr_dbh</f>
        <v>#N/A</v>
      </c>
      <c r="Q262" t="str">
        <f t="shared" si="9"/>
        <v>TN_29_NA_B3</v>
      </c>
    </row>
    <row r="263" spans="1:17" x14ac:dyDescent="0.15">
      <c r="A263" s="5" t="s">
        <v>3</v>
      </c>
      <c r="B263" s="5">
        <v>29</v>
      </c>
      <c r="C263" s="5" t="s">
        <v>21</v>
      </c>
      <c r="D263" s="5" t="s">
        <v>31</v>
      </c>
      <c r="E263" s="7">
        <v>44727</v>
      </c>
      <c r="F263" s="5" t="s">
        <v>9</v>
      </c>
      <c r="G263" s="5" t="s">
        <v>37</v>
      </c>
      <c r="H263" s="5" t="s">
        <v>21</v>
      </c>
      <c r="I263" s="4" t="s">
        <v>21</v>
      </c>
      <c r="J263" s="4" t="s">
        <v>21</v>
      </c>
      <c r="K263" t="s">
        <v>156</v>
      </c>
      <c r="L263">
        <v>2</v>
      </c>
      <c r="M263" t="e">
        <v>#N/A</v>
      </c>
      <c r="N263" t="e">
        <f>VLOOKUP(H263,'Tree shrub sapling root eq'!$A$2:$C$12,3,)</f>
        <v>#N/A</v>
      </c>
      <c r="O263" t="e">
        <f t="shared" si="8"/>
        <v>#N/A</v>
      </c>
      <c r="P263" t="e" cm="1">
        <f t="array" ref="P263">eval_tr_dbh</f>
        <v>#N/A</v>
      </c>
      <c r="Q263" t="str">
        <f t="shared" si="9"/>
        <v>TN_29_NA_B4</v>
      </c>
    </row>
    <row r="264" spans="1:17" x14ac:dyDescent="0.15">
      <c r="A264" s="5" t="s">
        <v>3</v>
      </c>
      <c r="B264" s="5">
        <v>30</v>
      </c>
      <c r="C264" s="5" t="s">
        <v>21</v>
      </c>
      <c r="D264" s="5" t="s">
        <v>31</v>
      </c>
      <c r="E264" s="7">
        <v>44727</v>
      </c>
      <c r="F264" s="5" t="s">
        <v>5</v>
      </c>
      <c r="G264" s="5" t="s">
        <v>35</v>
      </c>
      <c r="H264" s="5" t="s">
        <v>21</v>
      </c>
      <c r="I264" s="4" t="s">
        <v>21</v>
      </c>
      <c r="J264" s="4" t="s">
        <v>21</v>
      </c>
      <c r="K264" t="s">
        <v>144</v>
      </c>
      <c r="L264">
        <v>1</v>
      </c>
      <c r="M264" t="e">
        <v>#N/A</v>
      </c>
      <c r="N264" t="e">
        <f>VLOOKUP(H264,'Tree shrub sapling root eq'!$A$2:$C$12,3,)</f>
        <v>#N/A</v>
      </c>
      <c r="O264" t="e">
        <f t="shared" si="8"/>
        <v>#N/A</v>
      </c>
      <c r="P264" t="e" cm="1">
        <f t="array" ref="P264">eval_tr_dbh</f>
        <v>#N/A</v>
      </c>
      <c r="Q264" t="str">
        <f t="shared" si="9"/>
        <v>TN_30_NA_B1</v>
      </c>
    </row>
    <row r="265" spans="1:17" x14ac:dyDescent="0.15">
      <c r="A265" s="5" t="s">
        <v>3</v>
      </c>
      <c r="B265" s="5">
        <v>30</v>
      </c>
      <c r="C265" s="5" t="s">
        <v>21</v>
      </c>
      <c r="D265" s="5" t="s">
        <v>31</v>
      </c>
      <c r="E265" s="7">
        <v>44727</v>
      </c>
      <c r="F265" s="5" t="s">
        <v>6</v>
      </c>
      <c r="G265" s="5" t="s">
        <v>36</v>
      </c>
      <c r="H265" s="5" t="s">
        <v>21</v>
      </c>
      <c r="I265" s="4" t="s">
        <v>21</v>
      </c>
      <c r="J265" s="4" t="s">
        <v>21</v>
      </c>
      <c r="K265" t="s">
        <v>144</v>
      </c>
      <c r="L265">
        <v>1</v>
      </c>
      <c r="M265" t="e">
        <v>#N/A</v>
      </c>
      <c r="N265" t="e">
        <f>VLOOKUP(H265,'Tree shrub sapling root eq'!$A$2:$C$12,3,)</f>
        <v>#N/A</v>
      </c>
      <c r="O265" t="e">
        <f t="shared" si="8"/>
        <v>#N/A</v>
      </c>
      <c r="P265" t="e" cm="1">
        <f t="array" ref="P265">eval_tr_dbh</f>
        <v>#N/A</v>
      </c>
      <c r="Q265" t="str">
        <f t="shared" si="9"/>
        <v>TN_30_NA_B2</v>
      </c>
    </row>
    <row r="266" spans="1:17" x14ac:dyDescent="0.15">
      <c r="A266" s="5" t="s">
        <v>3</v>
      </c>
      <c r="B266" s="5">
        <v>30</v>
      </c>
      <c r="C266" s="5" t="s">
        <v>21</v>
      </c>
      <c r="D266" s="5" t="s">
        <v>31</v>
      </c>
      <c r="E266" s="7">
        <v>44727</v>
      </c>
      <c r="F266" s="5" t="s">
        <v>7</v>
      </c>
      <c r="G266" s="5" t="s">
        <v>34</v>
      </c>
      <c r="H266" s="5" t="s">
        <v>21</v>
      </c>
      <c r="I266" s="4" t="s">
        <v>21</v>
      </c>
      <c r="J266" s="4" t="s">
        <v>21</v>
      </c>
      <c r="K266" t="s">
        <v>144</v>
      </c>
      <c r="L266">
        <v>1</v>
      </c>
      <c r="M266" t="e">
        <v>#N/A</v>
      </c>
      <c r="N266" t="e">
        <f>VLOOKUP(H266,'Tree shrub sapling root eq'!$A$2:$C$12,3,)</f>
        <v>#N/A</v>
      </c>
      <c r="O266" t="e">
        <f t="shared" si="8"/>
        <v>#N/A</v>
      </c>
      <c r="P266" t="e" cm="1">
        <f t="array" ref="P266">eval_tr_dbh</f>
        <v>#N/A</v>
      </c>
      <c r="Q266" t="str">
        <f t="shared" si="9"/>
        <v>TN_30_NA_B3</v>
      </c>
    </row>
    <row r="267" spans="1:17" x14ac:dyDescent="0.15">
      <c r="A267" s="5" t="s">
        <v>3</v>
      </c>
      <c r="B267" s="5">
        <v>30</v>
      </c>
      <c r="C267" s="5" t="s">
        <v>21</v>
      </c>
      <c r="D267" s="5" t="s">
        <v>31</v>
      </c>
      <c r="E267" s="7">
        <v>44727</v>
      </c>
      <c r="F267" s="5" t="s">
        <v>9</v>
      </c>
      <c r="G267" s="5" t="s">
        <v>37</v>
      </c>
      <c r="H267" s="5" t="s">
        <v>21</v>
      </c>
      <c r="I267" s="4" t="s">
        <v>21</v>
      </c>
      <c r="J267" s="4" t="s">
        <v>21</v>
      </c>
      <c r="K267" t="s">
        <v>144</v>
      </c>
      <c r="L267">
        <v>1</v>
      </c>
      <c r="M267" t="e">
        <v>#N/A</v>
      </c>
      <c r="N267" t="e">
        <f>VLOOKUP(H267,'Tree shrub sapling root eq'!$A$2:$C$12,3,)</f>
        <v>#N/A</v>
      </c>
      <c r="O267" t="e">
        <f t="shared" si="8"/>
        <v>#N/A</v>
      </c>
      <c r="P267" t="e" cm="1">
        <f t="array" ref="P267">eval_tr_dbh</f>
        <v>#N/A</v>
      </c>
      <c r="Q267" t="str">
        <f t="shared" si="9"/>
        <v>TN_30_NA_B4</v>
      </c>
    </row>
    <row r="268" spans="1:17" x14ac:dyDescent="0.15">
      <c r="A268" s="6" t="s">
        <v>3</v>
      </c>
      <c r="B268" s="6">
        <v>31</v>
      </c>
      <c r="C268" s="6" t="s">
        <v>22</v>
      </c>
      <c r="D268" s="6" t="s">
        <v>32</v>
      </c>
      <c r="E268" s="8">
        <v>44733</v>
      </c>
      <c r="F268" s="6" t="s">
        <v>9</v>
      </c>
      <c r="G268" s="6" t="s">
        <v>37</v>
      </c>
      <c r="H268" s="3" t="s">
        <v>10</v>
      </c>
      <c r="I268" s="2">
        <v>9.5</v>
      </c>
      <c r="J268" s="2">
        <v>13.5</v>
      </c>
      <c r="K268" t="s">
        <v>174</v>
      </c>
      <c r="L268">
        <v>1</v>
      </c>
      <c r="M268">
        <v>44656.943186176934</v>
      </c>
      <c r="N268" t="str">
        <f>VLOOKUP(H268,'Tree shrub sapling root eq'!$A$2:$C$12,3,)</f>
        <v>=0.25*X6</v>
      </c>
      <c r="O268" t="str">
        <f t="shared" si="8"/>
        <v>=0.25*44656.9431861769</v>
      </c>
      <c r="P268" cm="1">
        <f t="array" ref="P268">eval_tr_dbh</f>
        <v>11164.235796544224</v>
      </c>
      <c r="Q268" t="str">
        <f t="shared" si="9"/>
        <v>TN_31_CTRL_B4</v>
      </c>
    </row>
    <row r="269" spans="1:17" x14ac:dyDescent="0.15">
      <c r="A269" s="6" t="s">
        <v>3</v>
      </c>
      <c r="B269" s="6">
        <v>31</v>
      </c>
      <c r="C269" s="6" t="s">
        <v>22</v>
      </c>
      <c r="D269" s="6" t="s">
        <v>32</v>
      </c>
      <c r="E269" s="8">
        <v>44733</v>
      </c>
      <c r="F269" s="6" t="s">
        <v>9</v>
      </c>
      <c r="G269" s="6" t="s">
        <v>37</v>
      </c>
      <c r="H269" s="3" t="s">
        <v>10</v>
      </c>
      <c r="I269" s="2">
        <v>13.5</v>
      </c>
      <c r="J269" s="2">
        <v>31</v>
      </c>
      <c r="K269" t="s">
        <v>174</v>
      </c>
      <c r="L269">
        <v>1</v>
      </c>
      <c r="M269">
        <v>310344.5074998223</v>
      </c>
      <c r="N269" t="str">
        <f>VLOOKUP(H269,'Tree shrub sapling root eq'!$A$2:$C$12,3,)</f>
        <v>=0.25*X6</v>
      </c>
      <c r="O269" t="str">
        <f t="shared" si="8"/>
        <v>=0.25*310344.507499822</v>
      </c>
      <c r="P269" cm="1">
        <f t="array" ref="P269">eval_tr_dbh</f>
        <v>77586.126874955502</v>
      </c>
      <c r="Q269" t="str">
        <f t="shared" si="9"/>
        <v>TN_31_CTRL_B4</v>
      </c>
    </row>
    <row r="270" spans="1:17" x14ac:dyDescent="0.15">
      <c r="A270" s="6" t="s">
        <v>3</v>
      </c>
      <c r="B270" s="6">
        <v>31</v>
      </c>
      <c r="C270" s="6" t="s">
        <v>22</v>
      </c>
      <c r="D270" s="6" t="s">
        <v>32</v>
      </c>
      <c r="E270" s="8">
        <v>44733</v>
      </c>
      <c r="F270" s="6" t="s">
        <v>5</v>
      </c>
      <c r="G270" s="6" t="s">
        <v>35</v>
      </c>
      <c r="H270" s="3" t="s">
        <v>10</v>
      </c>
      <c r="I270" s="2">
        <v>14.2</v>
      </c>
      <c r="J270" s="2">
        <v>31</v>
      </c>
      <c r="K270" t="s">
        <v>174</v>
      </c>
      <c r="L270">
        <v>1</v>
      </c>
      <c r="M270">
        <v>310344.5074998223</v>
      </c>
      <c r="N270" t="str">
        <f>VLOOKUP(H270,'Tree shrub sapling root eq'!$A$2:$C$12,3,)</f>
        <v>=0.25*X6</v>
      </c>
      <c r="O270" t="str">
        <f t="shared" si="8"/>
        <v>=0.25*310344.507499822</v>
      </c>
      <c r="P270" cm="1">
        <f t="array" ref="P270">eval_tr_dbh</f>
        <v>77586.126874955502</v>
      </c>
      <c r="Q270" t="str">
        <f t="shared" si="9"/>
        <v>TN_31_CTRL_B1</v>
      </c>
    </row>
    <row r="271" spans="1:17" x14ac:dyDescent="0.15">
      <c r="A271" s="6" t="s">
        <v>3</v>
      </c>
      <c r="B271" s="6">
        <v>31</v>
      </c>
      <c r="C271" s="6" t="s">
        <v>22</v>
      </c>
      <c r="D271" s="6" t="s">
        <v>32</v>
      </c>
      <c r="E271" s="8">
        <v>44733</v>
      </c>
      <c r="F271" s="6" t="s">
        <v>6</v>
      </c>
      <c r="G271" s="6" t="s">
        <v>36</v>
      </c>
      <c r="H271" s="6" t="s">
        <v>21</v>
      </c>
      <c r="I271" s="2" t="s">
        <v>21</v>
      </c>
      <c r="J271" s="2" t="s">
        <v>21</v>
      </c>
      <c r="K271" t="s">
        <v>174</v>
      </c>
      <c r="L271">
        <v>1</v>
      </c>
      <c r="M271" t="e">
        <v>#N/A</v>
      </c>
      <c r="N271" t="e">
        <f>VLOOKUP(H271,'Tree shrub sapling root eq'!$A$2:$C$12,3,)</f>
        <v>#N/A</v>
      </c>
      <c r="O271" t="e">
        <f t="shared" si="8"/>
        <v>#N/A</v>
      </c>
      <c r="P271" t="e" cm="1">
        <f t="array" ref="P271">eval_tr_dbh</f>
        <v>#N/A</v>
      </c>
      <c r="Q271" t="str">
        <f t="shared" si="9"/>
        <v>TN_31_CTRL_B2</v>
      </c>
    </row>
    <row r="272" spans="1:17" x14ac:dyDescent="0.15">
      <c r="A272" s="6" t="s">
        <v>3</v>
      </c>
      <c r="B272" s="6">
        <v>31</v>
      </c>
      <c r="C272" s="6" t="s">
        <v>22</v>
      </c>
      <c r="D272" s="6" t="s">
        <v>32</v>
      </c>
      <c r="E272" s="8">
        <v>44733</v>
      </c>
      <c r="F272" s="6" t="s">
        <v>7</v>
      </c>
      <c r="G272" s="6" t="s">
        <v>34</v>
      </c>
      <c r="H272" s="6" t="s">
        <v>21</v>
      </c>
      <c r="I272" s="2" t="s">
        <v>21</v>
      </c>
      <c r="J272" s="2" t="s">
        <v>21</v>
      </c>
      <c r="K272" t="s">
        <v>174</v>
      </c>
      <c r="L272">
        <v>1</v>
      </c>
      <c r="M272" t="e">
        <v>#N/A</v>
      </c>
      <c r="N272" t="e">
        <f>VLOOKUP(H272,'Tree shrub sapling root eq'!$A$2:$C$12,3,)</f>
        <v>#N/A</v>
      </c>
      <c r="O272" t="e">
        <f t="shared" si="8"/>
        <v>#N/A</v>
      </c>
      <c r="P272" t="e" cm="1">
        <f t="array" ref="P272">eval_tr_dbh</f>
        <v>#N/A</v>
      </c>
      <c r="Q272" t="str">
        <f t="shared" si="9"/>
        <v>TN_31_CTRL_B3</v>
      </c>
    </row>
    <row r="273" spans="1:17" x14ac:dyDescent="0.15">
      <c r="A273" s="6" t="s">
        <v>3</v>
      </c>
      <c r="B273" s="6">
        <v>31</v>
      </c>
      <c r="C273" s="6" t="s">
        <v>23</v>
      </c>
      <c r="D273" s="6" t="s">
        <v>32</v>
      </c>
      <c r="E273" s="8">
        <v>44733</v>
      </c>
      <c r="F273" s="6" t="s">
        <v>9</v>
      </c>
      <c r="G273" s="6" t="s">
        <v>37</v>
      </c>
      <c r="H273" s="6" t="s">
        <v>17</v>
      </c>
      <c r="I273" s="2">
        <v>3.84</v>
      </c>
      <c r="J273" s="2">
        <v>2.75</v>
      </c>
      <c r="K273" t="s">
        <v>260</v>
      </c>
      <c r="L273">
        <v>1</v>
      </c>
      <c r="M273">
        <v>1783.4484683986022</v>
      </c>
      <c r="N273" t="str">
        <f>VLOOKUP(H273,'Tree shrub sapling root eq'!$A$2:$C$12,3,)</f>
        <v>=1.576*X6^0.615</v>
      </c>
      <c r="O273" t="str">
        <f t="shared" si="8"/>
        <v>=1.576*1783.4484683986^0.615</v>
      </c>
      <c r="P273" cm="1">
        <f t="array" ref="P273">eval_tr_dbh</f>
        <v>157.42781246018194</v>
      </c>
      <c r="Q273" t="str">
        <f t="shared" si="9"/>
        <v>TN_31_EX_B4</v>
      </c>
    </row>
    <row r="274" spans="1:17" x14ac:dyDescent="0.15">
      <c r="A274" s="6" t="s">
        <v>3</v>
      </c>
      <c r="B274" s="6">
        <v>31</v>
      </c>
      <c r="C274" s="6" t="s">
        <v>23</v>
      </c>
      <c r="D274" s="6" t="s">
        <v>32</v>
      </c>
      <c r="E274" s="8">
        <v>44733</v>
      </c>
      <c r="F274" s="6" t="s">
        <v>6</v>
      </c>
      <c r="G274" s="6" t="s">
        <v>36</v>
      </c>
      <c r="H274" s="6" t="s">
        <v>15</v>
      </c>
      <c r="I274" s="2">
        <v>4.5</v>
      </c>
      <c r="J274" s="2">
        <v>2.5</v>
      </c>
      <c r="K274" t="s">
        <v>260</v>
      </c>
      <c r="L274">
        <v>1</v>
      </c>
      <c r="M274">
        <v>1091.8394234603797</v>
      </c>
      <c r="N274" t="str">
        <f>VLOOKUP(H274,'Tree shrub sapling root eq'!$A$2:$C$12,3,)</f>
        <v>=1.576*X6^0.615</v>
      </c>
      <c r="O274" t="str">
        <f t="shared" si="8"/>
        <v>=1.576*1091.83942346038^0.615</v>
      </c>
      <c r="P274" cm="1">
        <f t="array" ref="P274">eval_tr_dbh</f>
        <v>116.41899814969447</v>
      </c>
      <c r="Q274" t="str">
        <f t="shared" si="9"/>
        <v>TN_31_EX_B2</v>
      </c>
    </row>
    <row r="275" spans="1:17" x14ac:dyDescent="0.15">
      <c r="A275" s="6" t="s">
        <v>3</v>
      </c>
      <c r="B275" s="6">
        <v>31</v>
      </c>
      <c r="C275" s="6" t="s">
        <v>23</v>
      </c>
      <c r="D275" s="6" t="s">
        <v>32</v>
      </c>
      <c r="E275" s="8">
        <v>44733</v>
      </c>
      <c r="F275" s="6" t="s">
        <v>9</v>
      </c>
      <c r="G275" s="6" t="s">
        <v>37</v>
      </c>
      <c r="H275" s="6" t="s">
        <v>16</v>
      </c>
      <c r="I275" s="2">
        <v>3.34</v>
      </c>
      <c r="J275" s="2">
        <v>3.75</v>
      </c>
      <c r="K275" t="s">
        <v>260</v>
      </c>
      <c r="L275">
        <v>1</v>
      </c>
      <c r="M275">
        <v>2441.4301191672339</v>
      </c>
      <c r="N275" t="str">
        <f>VLOOKUP(H275,'Tree shrub sapling root eq'!$A$2:$C$12,3,)</f>
        <v>=1.576*X6^0.615</v>
      </c>
      <c r="O275" t="str">
        <f t="shared" si="8"/>
        <v>=1.576*2441.43011916723^0.615</v>
      </c>
      <c r="P275" cm="1">
        <f t="array" ref="P275">eval_tr_dbh</f>
        <v>190.9666178184583</v>
      </c>
      <c r="Q275" t="str">
        <f t="shared" si="9"/>
        <v>TN_31_EX_B4</v>
      </c>
    </row>
    <row r="276" spans="1:17" x14ac:dyDescent="0.15">
      <c r="A276" s="6" t="s">
        <v>3</v>
      </c>
      <c r="B276" s="6">
        <v>31</v>
      </c>
      <c r="C276" s="6" t="s">
        <v>23</v>
      </c>
      <c r="D276" s="6" t="s">
        <v>32</v>
      </c>
      <c r="E276" s="8">
        <v>44733</v>
      </c>
      <c r="F276" s="6" t="s">
        <v>6</v>
      </c>
      <c r="G276" s="6" t="s">
        <v>36</v>
      </c>
      <c r="H276" s="6" t="s">
        <v>16</v>
      </c>
      <c r="I276" s="2">
        <v>5.5</v>
      </c>
      <c r="J276" s="2">
        <v>3.5</v>
      </c>
      <c r="K276" t="s">
        <v>260</v>
      </c>
      <c r="L276">
        <v>1</v>
      </c>
      <c r="M276">
        <v>2070.8363258584486</v>
      </c>
      <c r="N276" t="str">
        <f>VLOOKUP(H276,'Tree shrub sapling root eq'!$A$2:$C$12,3,)</f>
        <v>=1.576*X6^0.615</v>
      </c>
      <c r="O276" t="str">
        <f t="shared" si="8"/>
        <v>=1.576*2070.83632585845^0.615</v>
      </c>
      <c r="P276" cm="1">
        <f t="array" ref="P276">eval_tr_dbh</f>
        <v>172.57817201622174</v>
      </c>
      <c r="Q276" t="str">
        <f t="shared" si="9"/>
        <v>TN_31_EX_B2</v>
      </c>
    </row>
    <row r="277" spans="1:17" x14ac:dyDescent="0.15">
      <c r="A277" s="6" t="s">
        <v>3</v>
      </c>
      <c r="B277" s="6">
        <v>31</v>
      </c>
      <c r="C277" s="6" t="s">
        <v>23</v>
      </c>
      <c r="D277" s="6" t="s">
        <v>32</v>
      </c>
      <c r="E277" s="8">
        <v>44733</v>
      </c>
      <c r="F277" s="6" t="s">
        <v>6</v>
      </c>
      <c r="G277" s="6" t="s">
        <v>36</v>
      </c>
      <c r="H277" s="6" t="s">
        <v>15</v>
      </c>
      <c r="I277" s="2">
        <v>5</v>
      </c>
      <c r="J277" s="2">
        <v>3</v>
      </c>
      <c r="K277" t="s">
        <v>260</v>
      </c>
      <c r="L277">
        <v>1</v>
      </c>
      <c r="M277">
        <v>1665.3089362664957</v>
      </c>
      <c r="N277" t="str">
        <f>VLOOKUP(H277,'Tree shrub sapling root eq'!$A$2:$C$12,3,)</f>
        <v>=1.576*X6^0.615</v>
      </c>
      <c r="O277" t="str">
        <f t="shared" si="8"/>
        <v>=1.576*1665.3089362665^0.615</v>
      </c>
      <c r="P277" cm="1">
        <f t="array" ref="P277">eval_tr_dbh</f>
        <v>150.92998290838406</v>
      </c>
      <c r="Q277" t="str">
        <f t="shared" si="9"/>
        <v>TN_31_EX_B2</v>
      </c>
    </row>
    <row r="278" spans="1:17" x14ac:dyDescent="0.15">
      <c r="A278" s="6" t="s">
        <v>3</v>
      </c>
      <c r="B278" s="6">
        <v>31</v>
      </c>
      <c r="C278" s="6" t="s">
        <v>23</v>
      </c>
      <c r="D278" s="6" t="s">
        <v>32</v>
      </c>
      <c r="E278" s="8">
        <v>44733</v>
      </c>
      <c r="F278" s="6" t="s">
        <v>6</v>
      </c>
      <c r="G278" s="6" t="s">
        <v>36</v>
      </c>
      <c r="H278" s="6" t="s">
        <v>15</v>
      </c>
      <c r="I278" s="2">
        <v>5</v>
      </c>
      <c r="J278" s="2">
        <v>3.5</v>
      </c>
      <c r="K278" t="s">
        <v>260</v>
      </c>
      <c r="L278">
        <v>1</v>
      </c>
      <c r="M278">
        <v>2387.1129935541735</v>
      </c>
      <c r="N278" t="str">
        <f>VLOOKUP(H278,'Tree shrub sapling root eq'!$A$2:$C$12,3,)</f>
        <v>=1.576*X6^0.615</v>
      </c>
      <c r="O278" t="str">
        <f t="shared" si="8"/>
        <v>=1.576*2387.11299355417^0.615</v>
      </c>
      <c r="P278" cm="1">
        <f t="array" ref="P278">eval_tr_dbh</f>
        <v>188.34239723558343</v>
      </c>
      <c r="Q278" t="str">
        <f t="shared" si="9"/>
        <v>TN_31_EX_B2</v>
      </c>
    </row>
    <row r="279" spans="1:17" x14ac:dyDescent="0.15">
      <c r="A279" s="6" t="s">
        <v>3</v>
      </c>
      <c r="B279" s="6">
        <v>31</v>
      </c>
      <c r="C279" s="6" t="s">
        <v>23</v>
      </c>
      <c r="D279" s="6" t="s">
        <v>32</v>
      </c>
      <c r="E279" s="8">
        <v>44733</v>
      </c>
      <c r="F279" s="6" t="s">
        <v>6</v>
      </c>
      <c r="G279" s="6" t="s">
        <v>36</v>
      </c>
      <c r="H279" s="3" t="s">
        <v>10</v>
      </c>
      <c r="I279" s="2">
        <v>7.5</v>
      </c>
      <c r="J279" s="2">
        <v>15</v>
      </c>
      <c r="K279" t="s">
        <v>260</v>
      </c>
      <c r="L279">
        <v>1</v>
      </c>
      <c r="M279">
        <v>56962.526078158444</v>
      </c>
      <c r="N279" t="str">
        <f>VLOOKUP(H279,'Tree shrub sapling root eq'!$A$2:$C$12,3,)</f>
        <v>=0.25*X6</v>
      </c>
      <c r="O279" t="str">
        <f t="shared" si="8"/>
        <v>=0.25*56962.5260781584</v>
      </c>
      <c r="P279" cm="1">
        <f t="array" ref="P279">eval_tr_dbh</f>
        <v>14240.6315195396</v>
      </c>
      <c r="Q279" t="str">
        <f t="shared" si="9"/>
        <v>TN_31_EX_B2</v>
      </c>
    </row>
    <row r="280" spans="1:17" x14ac:dyDescent="0.15">
      <c r="A280" s="6" t="s">
        <v>3</v>
      </c>
      <c r="B280" s="6">
        <v>31</v>
      </c>
      <c r="C280" s="6" t="s">
        <v>23</v>
      </c>
      <c r="D280" s="6" t="s">
        <v>32</v>
      </c>
      <c r="E280" s="8">
        <v>44733</v>
      </c>
      <c r="F280" s="6" t="s">
        <v>6</v>
      </c>
      <c r="G280" s="6" t="s">
        <v>36</v>
      </c>
      <c r="H280" s="3" t="s">
        <v>10</v>
      </c>
      <c r="I280" s="2">
        <v>10.5</v>
      </c>
      <c r="J280" s="2">
        <v>25.5</v>
      </c>
      <c r="K280" t="s">
        <v>260</v>
      </c>
      <c r="L280">
        <v>1</v>
      </c>
      <c r="M280">
        <v>196127.35745488695</v>
      </c>
      <c r="N280" t="str">
        <f>VLOOKUP(H280,'Tree shrub sapling root eq'!$A$2:$C$12,3,)</f>
        <v>=0.25*X6</v>
      </c>
      <c r="O280" t="str">
        <f t="shared" si="8"/>
        <v>=0.25*196127.357454887</v>
      </c>
      <c r="P280" cm="1">
        <f t="array" ref="P280">eval_tr_dbh</f>
        <v>49031.839363721752</v>
      </c>
      <c r="Q280" t="str">
        <f t="shared" si="9"/>
        <v>TN_31_EX_B2</v>
      </c>
    </row>
    <row r="281" spans="1:17" x14ac:dyDescent="0.15">
      <c r="A281" s="6" t="s">
        <v>3</v>
      </c>
      <c r="B281" s="6">
        <v>31</v>
      </c>
      <c r="C281" s="6" t="s">
        <v>23</v>
      </c>
      <c r="D281" s="6" t="s">
        <v>32</v>
      </c>
      <c r="E281" s="8">
        <v>44733</v>
      </c>
      <c r="F281" s="6" t="s">
        <v>6</v>
      </c>
      <c r="G281" s="6" t="s">
        <v>36</v>
      </c>
      <c r="H281" s="3" t="s">
        <v>10</v>
      </c>
      <c r="I281" s="2">
        <v>9</v>
      </c>
      <c r="J281" s="2">
        <v>29.5</v>
      </c>
      <c r="K281" t="s">
        <v>260</v>
      </c>
      <c r="L281">
        <v>1</v>
      </c>
      <c r="M281">
        <v>276157.68807667313</v>
      </c>
      <c r="N281" t="str">
        <f>VLOOKUP(H281,'Tree shrub sapling root eq'!$A$2:$C$12,3,)</f>
        <v>=0.25*X6</v>
      </c>
      <c r="O281" t="str">
        <f t="shared" si="8"/>
        <v>=0.25*276157.688076673</v>
      </c>
      <c r="P281" cm="1">
        <f t="array" ref="P281">eval_tr_dbh</f>
        <v>69039.422019168254</v>
      </c>
      <c r="Q281" t="str">
        <f t="shared" si="9"/>
        <v>TN_31_EX_B2</v>
      </c>
    </row>
    <row r="282" spans="1:17" x14ac:dyDescent="0.15">
      <c r="A282" s="6" t="s">
        <v>3</v>
      </c>
      <c r="B282" s="6">
        <v>31</v>
      </c>
      <c r="C282" s="6" t="s">
        <v>23</v>
      </c>
      <c r="D282" s="6" t="s">
        <v>32</v>
      </c>
      <c r="E282" s="8">
        <v>44733</v>
      </c>
      <c r="F282" s="6" t="s">
        <v>9</v>
      </c>
      <c r="G282" s="6" t="s">
        <v>37</v>
      </c>
      <c r="H282" s="3" t="s">
        <v>10</v>
      </c>
      <c r="I282" s="2">
        <v>15</v>
      </c>
      <c r="J282" s="2">
        <v>30</v>
      </c>
      <c r="K282" t="s">
        <v>260</v>
      </c>
      <c r="L282">
        <v>1</v>
      </c>
      <c r="M282">
        <v>287295.00947340351</v>
      </c>
      <c r="N282" t="str">
        <f>VLOOKUP(H282,'Tree shrub sapling root eq'!$A$2:$C$12,3,)</f>
        <v>=0.25*X6</v>
      </c>
      <c r="O282" t="str">
        <f t="shared" si="8"/>
        <v>=0.25*287295.009473404</v>
      </c>
      <c r="P282" cm="1">
        <f t="array" ref="P282">eval_tr_dbh</f>
        <v>71823.752368350993</v>
      </c>
      <c r="Q282" t="str">
        <f t="shared" si="9"/>
        <v>TN_31_EX_B4</v>
      </c>
    </row>
    <row r="283" spans="1:17" x14ac:dyDescent="0.15">
      <c r="A283" s="6" t="s">
        <v>3</v>
      </c>
      <c r="B283" s="6">
        <v>31</v>
      </c>
      <c r="C283" s="6" t="s">
        <v>23</v>
      </c>
      <c r="D283" s="6" t="s">
        <v>32</v>
      </c>
      <c r="E283" s="8">
        <v>44733</v>
      </c>
      <c r="F283" s="6" t="s">
        <v>7</v>
      </c>
      <c r="G283" s="6" t="s">
        <v>34</v>
      </c>
      <c r="H283" s="3" t="s">
        <v>8</v>
      </c>
      <c r="I283" s="2">
        <v>10</v>
      </c>
      <c r="J283" s="2">
        <v>33.75</v>
      </c>
      <c r="K283" t="s">
        <v>260</v>
      </c>
      <c r="L283">
        <v>1</v>
      </c>
      <c r="M283">
        <v>439816.31111294916</v>
      </c>
      <c r="N283" t="str">
        <f>VLOOKUP(H283,'Tree shrub sapling root eq'!$A$2:$C$12,3,)</f>
        <v>=0.222*X6</v>
      </c>
      <c r="O283" t="str">
        <f t="shared" si="8"/>
        <v>=0.222*439816.311112949</v>
      </c>
      <c r="P283" cm="1">
        <f t="array" ref="P283">eval_tr_dbh</f>
        <v>97639.221067074672</v>
      </c>
      <c r="Q283" t="str">
        <f t="shared" si="9"/>
        <v>TN_31_EX_B3</v>
      </c>
    </row>
    <row r="284" spans="1:17" x14ac:dyDescent="0.15">
      <c r="A284" s="6" t="s">
        <v>3</v>
      </c>
      <c r="B284" s="6">
        <v>31</v>
      </c>
      <c r="C284" s="6" t="s">
        <v>23</v>
      </c>
      <c r="D284" s="6" t="s">
        <v>32</v>
      </c>
      <c r="E284" s="8">
        <v>44733</v>
      </c>
      <c r="F284" s="6" t="s">
        <v>5</v>
      </c>
      <c r="G284" s="6" t="s">
        <v>35</v>
      </c>
      <c r="H284" s="3" t="s">
        <v>10</v>
      </c>
      <c r="I284" s="2">
        <v>12</v>
      </c>
      <c r="J284" s="2">
        <v>36</v>
      </c>
      <c r="K284" t="s">
        <v>260</v>
      </c>
      <c r="L284">
        <v>1</v>
      </c>
      <c r="M284">
        <v>441521.01012588822</v>
      </c>
      <c r="N284" t="str">
        <f>VLOOKUP(H284,'Tree shrub sapling root eq'!$A$2:$C$12,3,)</f>
        <v>=0.25*X6</v>
      </c>
      <c r="O284" t="str">
        <f t="shared" si="8"/>
        <v>=0.25*441521.010125888</v>
      </c>
      <c r="P284" cm="1">
        <f t="array" ref="P284">eval_tr_dbh</f>
        <v>110380.252531472</v>
      </c>
      <c r="Q284" t="str">
        <f t="shared" si="9"/>
        <v>TN_31_EX_B1</v>
      </c>
    </row>
    <row r="285" spans="1:17" x14ac:dyDescent="0.15">
      <c r="A285" s="5" t="s">
        <v>3</v>
      </c>
      <c r="B285" s="5">
        <v>32</v>
      </c>
      <c r="C285" s="5" t="s">
        <v>21</v>
      </c>
      <c r="D285" s="6" t="s">
        <v>32</v>
      </c>
      <c r="E285" s="7">
        <v>44725</v>
      </c>
      <c r="F285" s="5" t="s">
        <v>6</v>
      </c>
      <c r="G285" s="5" t="s">
        <v>36</v>
      </c>
      <c r="H285" s="3" t="s">
        <v>8</v>
      </c>
      <c r="I285" s="4">
        <v>8.5</v>
      </c>
      <c r="J285" s="4">
        <v>28</v>
      </c>
      <c r="K285" t="s">
        <v>157</v>
      </c>
      <c r="L285">
        <v>2</v>
      </c>
      <c r="M285">
        <v>281944.50390453037</v>
      </c>
      <c r="N285" t="str">
        <f>VLOOKUP(H285,'Tree shrub sapling root eq'!$A$2:$C$12,3,)</f>
        <v>=0.222*X6</v>
      </c>
      <c r="O285" t="str">
        <f t="shared" si="8"/>
        <v>=0.222*281944.50390453</v>
      </c>
      <c r="P285" cm="1">
        <f t="array" ref="P285">eval_tr_dbh</f>
        <v>62591.679866805665</v>
      </c>
      <c r="Q285" t="str">
        <f t="shared" si="9"/>
        <v>TN_32_NA_B2</v>
      </c>
    </row>
    <row r="286" spans="1:17" x14ac:dyDescent="0.15">
      <c r="A286" s="5" t="s">
        <v>3</v>
      </c>
      <c r="B286" s="5">
        <v>32</v>
      </c>
      <c r="C286" s="5" t="s">
        <v>21</v>
      </c>
      <c r="D286" s="6" t="s">
        <v>32</v>
      </c>
      <c r="E286" s="7">
        <v>44725</v>
      </c>
      <c r="F286" s="5" t="s">
        <v>6</v>
      </c>
      <c r="G286" s="5" t="s">
        <v>36</v>
      </c>
      <c r="H286" s="3" t="s">
        <v>8</v>
      </c>
      <c r="I286" s="4">
        <v>8.6</v>
      </c>
      <c r="J286" s="4">
        <v>29.5</v>
      </c>
      <c r="K286" t="s">
        <v>157</v>
      </c>
      <c r="L286">
        <v>2</v>
      </c>
      <c r="M286">
        <v>319150.86606913956</v>
      </c>
      <c r="N286" t="str">
        <f>VLOOKUP(H286,'Tree shrub sapling root eq'!$A$2:$C$12,3,)</f>
        <v>=0.222*X6</v>
      </c>
      <c r="O286" t="str">
        <f t="shared" si="8"/>
        <v>=0.222*319150.86606914</v>
      </c>
      <c r="P286" cm="1">
        <f t="array" ref="P286">eval_tr_dbh</f>
        <v>70851.49226734908</v>
      </c>
      <c r="Q286" t="str">
        <f t="shared" si="9"/>
        <v>TN_32_NA_B2</v>
      </c>
    </row>
    <row r="287" spans="1:17" x14ac:dyDescent="0.15">
      <c r="A287" s="5" t="s">
        <v>3</v>
      </c>
      <c r="B287" s="5">
        <v>32</v>
      </c>
      <c r="C287" s="5" t="s">
        <v>21</v>
      </c>
      <c r="D287" s="6" t="s">
        <v>32</v>
      </c>
      <c r="E287" s="7">
        <v>44725</v>
      </c>
      <c r="F287" s="5" t="s">
        <v>5</v>
      </c>
      <c r="G287" s="5" t="s">
        <v>35</v>
      </c>
      <c r="H287" s="3" t="s">
        <v>8</v>
      </c>
      <c r="I287" s="4">
        <v>11.4</v>
      </c>
      <c r="J287" s="4">
        <v>31.75</v>
      </c>
      <c r="K287" t="s">
        <v>157</v>
      </c>
      <c r="L287">
        <v>2</v>
      </c>
      <c r="M287">
        <v>380172.84006575641</v>
      </c>
      <c r="N287" t="str">
        <f>VLOOKUP(H287,'Tree shrub sapling root eq'!$A$2:$C$12,3,)</f>
        <v>=0.222*X6</v>
      </c>
      <c r="O287" t="str">
        <f t="shared" si="8"/>
        <v>=0.222*380172.840065756</v>
      </c>
      <c r="P287" cm="1">
        <f t="array" ref="P287">eval_tr_dbh</f>
        <v>84398.370494597839</v>
      </c>
      <c r="Q287" t="str">
        <f t="shared" si="9"/>
        <v>TN_32_NA_B1</v>
      </c>
    </row>
    <row r="288" spans="1:17" x14ac:dyDescent="0.15">
      <c r="A288" s="5" t="s">
        <v>3</v>
      </c>
      <c r="B288" s="5">
        <v>32</v>
      </c>
      <c r="C288" s="5" t="s">
        <v>21</v>
      </c>
      <c r="D288" s="6" t="s">
        <v>32</v>
      </c>
      <c r="E288" s="7">
        <v>44725</v>
      </c>
      <c r="F288" s="5" t="s">
        <v>5</v>
      </c>
      <c r="G288" s="5" t="s">
        <v>35</v>
      </c>
      <c r="H288" s="5" t="s">
        <v>8</v>
      </c>
      <c r="I288" s="4">
        <v>14.4</v>
      </c>
      <c r="J288" s="4">
        <v>33.5</v>
      </c>
      <c r="K288" t="s">
        <v>157</v>
      </c>
      <c r="L288">
        <v>2</v>
      </c>
      <c r="M288">
        <v>432077.56737212726</v>
      </c>
      <c r="N288" t="str">
        <f>VLOOKUP(H288,'Tree shrub sapling root eq'!$A$2:$C$12,3,)</f>
        <v>=0.222*X6</v>
      </c>
      <c r="O288" t="str">
        <f t="shared" si="8"/>
        <v>=0.222*432077.567372127</v>
      </c>
      <c r="P288" cm="1">
        <f t="array" ref="P288">eval_tr_dbh</f>
        <v>95921.2199566122</v>
      </c>
      <c r="Q288" t="str">
        <f t="shared" si="9"/>
        <v>TN_32_NA_B1</v>
      </c>
    </row>
    <row r="289" spans="1:17" x14ac:dyDescent="0.15">
      <c r="A289" s="5" t="s">
        <v>3</v>
      </c>
      <c r="B289" s="5">
        <v>32</v>
      </c>
      <c r="C289" s="5" t="s">
        <v>21</v>
      </c>
      <c r="D289" s="6" t="s">
        <v>32</v>
      </c>
      <c r="E289" s="7">
        <v>44725</v>
      </c>
      <c r="F289" s="5" t="s">
        <v>7</v>
      </c>
      <c r="G289" s="5" t="s">
        <v>34</v>
      </c>
      <c r="H289" s="3" t="s">
        <v>8</v>
      </c>
      <c r="I289" s="4">
        <v>9.1999999999999993</v>
      </c>
      <c r="J289" s="4">
        <v>46</v>
      </c>
      <c r="K289" t="s">
        <v>157</v>
      </c>
      <c r="L289">
        <v>2</v>
      </c>
      <c r="M289">
        <v>924389.27445366234</v>
      </c>
      <c r="N289" t="str">
        <f>VLOOKUP(H289,'Tree shrub sapling root eq'!$A$2:$C$12,3,)</f>
        <v>=0.222*X6</v>
      </c>
      <c r="O289" t="str">
        <f t="shared" si="8"/>
        <v>=0.222*924389.274453662</v>
      </c>
      <c r="P289" cm="1">
        <f t="array" ref="P289">eval_tr_dbh</f>
        <v>205214.41892871296</v>
      </c>
      <c r="Q289" t="str">
        <f t="shared" si="9"/>
        <v>TN_32_NA_B3</v>
      </c>
    </row>
    <row r="290" spans="1:17" x14ac:dyDescent="0.15">
      <c r="A290" s="5" t="s">
        <v>3</v>
      </c>
      <c r="B290" s="5">
        <v>32</v>
      </c>
      <c r="C290" s="5" t="s">
        <v>21</v>
      </c>
      <c r="D290" s="6" t="s">
        <v>32</v>
      </c>
      <c r="E290" s="7">
        <v>44725</v>
      </c>
      <c r="F290" s="5" t="s">
        <v>6</v>
      </c>
      <c r="G290" s="5" t="s">
        <v>36</v>
      </c>
      <c r="H290" s="3" t="s">
        <v>8</v>
      </c>
      <c r="I290" s="4">
        <v>9.9</v>
      </c>
      <c r="J290" s="4">
        <v>48.1</v>
      </c>
      <c r="K290" t="s">
        <v>157</v>
      </c>
      <c r="L290">
        <v>2</v>
      </c>
      <c r="M290">
        <v>1029386.5615102877</v>
      </c>
      <c r="N290" t="str">
        <f>VLOOKUP(H290,'Tree shrub sapling root eq'!$A$2:$C$12,3,)</f>
        <v>=0.222*X6</v>
      </c>
      <c r="O290" t="str">
        <f t="shared" si="8"/>
        <v>=0.222*1029386.56151029</v>
      </c>
      <c r="P290" cm="1">
        <f t="array" ref="P290">eval_tr_dbh</f>
        <v>228523.81665528438</v>
      </c>
      <c r="Q290" t="str">
        <f t="shared" si="9"/>
        <v>TN_32_NA_B2</v>
      </c>
    </row>
    <row r="291" spans="1:17" x14ac:dyDescent="0.15">
      <c r="A291" s="5" t="s">
        <v>3</v>
      </c>
      <c r="B291" s="5">
        <v>32</v>
      </c>
      <c r="C291" s="5" t="s">
        <v>21</v>
      </c>
      <c r="D291" s="6" t="s">
        <v>32</v>
      </c>
      <c r="E291" s="7">
        <v>44725</v>
      </c>
      <c r="F291" s="5" t="s">
        <v>9</v>
      </c>
      <c r="G291" s="5" t="s">
        <v>37</v>
      </c>
      <c r="H291" s="5" t="s">
        <v>21</v>
      </c>
      <c r="I291" s="4" t="s">
        <v>21</v>
      </c>
      <c r="J291" s="4" t="s">
        <v>21</v>
      </c>
      <c r="K291" t="s">
        <v>157</v>
      </c>
      <c r="L291">
        <v>2</v>
      </c>
      <c r="M291" t="e">
        <v>#N/A</v>
      </c>
      <c r="N291" t="e">
        <f>VLOOKUP(H291,'Tree shrub sapling root eq'!$A$2:$C$12,3,)</f>
        <v>#N/A</v>
      </c>
      <c r="O291" t="e">
        <f t="shared" si="8"/>
        <v>#N/A</v>
      </c>
      <c r="P291" t="e" cm="1">
        <f t="array" ref="P291">eval_tr_dbh</f>
        <v>#N/A</v>
      </c>
      <c r="Q291" t="str">
        <f t="shared" si="9"/>
        <v>TN_32_NA_B4</v>
      </c>
    </row>
    <row r="292" spans="1:17" x14ac:dyDescent="0.15">
      <c r="A292" s="5" t="s">
        <v>3</v>
      </c>
      <c r="B292" s="5">
        <v>33</v>
      </c>
      <c r="C292" s="5" t="s">
        <v>21</v>
      </c>
      <c r="D292" s="6" t="s">
        <v>32</v>
      </c>
      <c r="E292" s="7">
        <v>44725</v>
      </c>
      <c r="F292" s="5" t="s">
        <v>6</v>
      </c>
      <c r="G292" s="5" t="s">
        <v>36</v>
      </c>
      <c r="H292" s="3" t="s">
        <v>10</v>
      </c>
      <c r="I292" s="4">
        <v>8.3000000000000007</v>
      </c>
      <c r="J292" s="4">
        <v>13.5</v>
      </c>
      <c r="K292" t="s">
        <v>145</v>
      </c>
      <c r="L292">
        <v>1</v>
      </c>
      <c r="M292">
        <v>44656.943186176934</v>
      </c>
      <c r="N292" t="str">
        <f>VLOOKUP(H292,'Tree shrub sapling root eq'!$A$2:$C$12,3,)</f>
        <v>=0.25*X6</v>
      </c>
      <c r="O292" t="str">
        <f t="shared" si="8"/>
        <v>=0.25*44656.9431861769</v>
      </c>
      <c r="P292" cm="1">
        <f t="array" ref="P292">eval_tr_dbh</f>
        <v>11164.235796544224</v>
      </c>
      <c r="Q292" t="str">
        <f t="shared" si="9"/>
        <v>TN_33_NA_B2</v>
      </c>
    </row>
    <row r="293" spans="1:17" x14ac:dyDescent="0.15">
      <c r="A293" s="5" t="s">
        <v>3</v>
      </c>
      <c r="B293" s="5">
        <v>33</v>
      </c>
      <c r="C293" s="5" t="s">
        <v>21</v>
      </c>
      <c r="D293" s="6" t="s">
        <v>32</v>
      </c>
      <c r="E293" s="7">
        <v>44725</v>
      </c>
      <c r="F293" s="5" t="s">
        <v>6</v>
      </c>
      <c r="G293" s="5" t="s">
        <v>36</v>
      </c>
      <c r="H293" s="3" t="s">
        <v>8</v>
      </c>
      <c r="I293" s="4">
        <v>11.4</v>
      </c>
      <c r="J293" s="4">
        <v>21</v>
      </c>
      <c r="K293" t="s">
        <v>145</v>
      </c>
      <c r="L293">
        <v>1</v>
      </c>
      <c r="M293">
        <v>142989.85380333508</v>
      </c>
      <c r="N293" t="str">
        <f>VLOOKUP(H293,'Tree shrub sapling root eq'!$A$2:$C$12,3,)</f>
        <v>=0.222*X6</v>
      </c>
      <c r="O293" t="str">
        <f t="shared" si="8"/>
        <v>=0.222*142989.853803335</v>
      </c>
      <c r="P293" cm="1">
        <f t="array" ref="P293">eval_tr_dbh</f>
        <v>31743.747544340367</v>
      </c>
      <c r="Q293" t="str">
        <f t="shared" si="9"/>
        <v>TN_33_NA_B2</v>
      </c>
    </row>
    <row r="294" spans="1:17" x14ac:dyDescent="0.15">
      <c r="A294" s="5" t="s">
        <v>3</v>
      </c>
      <c r="B294" s="5">
        <v>33</v>
      </c>
      <c r="C294" s="5" t="s">
        <v>21</v>
      </c>
      <c r="D294" s="6" t="s">
        <v>32</v>
      </c>
      <c r="E294" s="7">
        <v>44725</v>
      </c>
      <c r="F294" s="5" t="s">
        <v>9</v>
      </c>
      <c r="G294" s="5" t="s">
        <v>37</v>
      </c>
      <c r="H294" s="3" t="s">
        <v>10</v>
      </c>
      <c r="I294" s="4">
        <v>11</v>
      </c>
      <c r="J294" s="4">
        <v>28.5</v>
      </c>
      <c r="K294" t="s">
        <v>145</v>
      </c>
      <c r="L294">
        <v>1</v>
      </c>
      <c r="M294">
        <v>254649.31291781011</v>
      </c>
      <c r="N294" t="str">
        <f>VLOOKUP(H294,'Tree shrub sapling root eq'!$A$2:$C$12,3,)</f>
        <v>=0.25*X6</v>
      </c>
      <c r="O294" t="str">
        <f t="shared" si="8"/>
        <v>=0.25*254649.31291781</v>
      </c>
      <c r="P294" cm="1">
        <f t="array" ref="P294">eval_tr_dbh</f>
        <v>63662.328229452498</v>
      </c>
      <c r="Q294" t="str">
        <f t="shared" si="9"/>
        <v>TN_33_NA_B4</v>
      </c>
    </row>
    <row r="295" spans="1:17" x14ac:dyDescent="0.15">
      <c r="A295" s="5" t="s">
        <v>3</v>
      </c>
      <c r="B295" s="5">
        <v>33</v>
      </c>
      <c r="C295" s="5" t="s">
        <v>21</v>
      </c>
      <c r="D295" s="6" t="s">
        <v>32</v>
      </c>
      <c r="E295" s="7">
        <v>44725</v>
      </c>
      <c r="F295" s="5" t="s">
        <v>5</v>
      </c>
      <c r="G295" s="5" t="s">
        <v>35</v>
      </c>
      <c r="H295" s="5" t="s">
        <v>21</v>
      </c>
      <c r="I295" s="4" t="s">
        <v>21</v>
      </c>
      <c r="J295" s="4" t="s">
        <v>21</v>
      </c>
      <c r="K295" t="s">
        <v>145</v>
      </c>
      <c r="L295">
        <v>1</v>
      </c>
      <c r="M295" t="e">
        <v>#N/A</v>
      </c>
      <c r="N295" t="e">
        <f>VLOOKUP(H295,'Tree shrub sapling root eq'!$A$2:$C$12,3,)</f>
        <v>#N/A</v>
      </c>
      <c r="O295" t="e">
        <f t="shared" si="8"/>
        <v>#N/A</v>
      </c>
      <c r="P295" t="e" cm="1">
        <f t="array" ref="P295">eval_tr_dbh</f>
        <v>#N/A</v>
      </c>
      <c r="Q295" t="str">
        <f t="shared" si="9"/>
        <v>TN_33_NA_B1</v>
      </c>
    </row>
    <row r="296" spans="1:17" x14ac:dyDescent="0.15">
      <c r="A296" s="5" t="s">
        <v>3</v>
      </c>
      <c r="B296" s="5">
        <v>33</v>
      </c>
      <c r="C296" s="5" t="s">
        <v>21</v>
      </c>
      <c r="D296" s="6" t="s">
        <v>32</v>
      </c>
      <c r="E296" s="7">
        <v>44725</v>
      </c>
      <c r="F296" s="5" t="s">
        <v>7</v>
      </c>
      <c r="G296" s="5" t="s">
        <v>34</v>
      </c>
      <c r="H296" s="5" t="s">
        <v>21</v>
      </c>
      <c r="I296" s="4" t="s">
        <v>21</v>
      </c>
      <c r="J296" s="4" t="s">
        <v>21</v>
      </c>
      <c r="K296" t="s">
        <v>145</v>
      </c>
      <c r="L296">
        <v>1</v>
      </c>
      <c r="M296" t="e">
        <v>#N/A</v>
      </c>
      <c r="N296" t="e">
        <f>VLOOKUP(H296,'Tree shrub sapling root eq'!$A$2:$C$12,3,)</f>
        <v>#N/A</v>
      </c>
      <c r="O296" t="e">
        <f t="shared" si="8"/>
        <v>#N/A</v>
      </c>
      <c r="P296" t="e" cm="1">
        <f t="array" ref="P296">eval_tr_dbh</f>
        <v>#N/A</v>
      </c>
      <c r="Q296" t="str">
        <f t="shared" si="9"/>
        <v>TN_33_NA_B3</v>
      </c>
    </row>
    <row r="297" spans="1:17" x14ac:dyDescent="0.15">
      <c r="A297" s="5" t="s">
        <v>3</v>
      </c>
      <c r="B297" s="5">
        <v>34</v>
      </c>
      <c r="C297" s="5" t="s">
        <v>22</v>
      </c>
      <c r="D297" s="6" t="s">
        <v>32</v>
      </c>
      <c r="E297" s="7">
        <v>44732</v>
      </c>
      <c r="F297" s="5" t="s">
        <v>7</v>
      </c>
      <c r="G297" s="5" t="s">
        <v>34</v>
      </c>
      <c r="H297" s="3" t="s">
        <v>10</v>
      </c>
      <c r="I297" s="4">
        <v>3.3</v>
      </c>
      <c r="J297" s="4">
        <v>3.8</v>
      </c>
      <c r="K297" t="s">
        <v>171</v>
      </c>
      <c r="L297">
        <v>2</v>
      </c>
      <c r="M297">
        <v>2573.2249292684633</v>
      </c>
      <c r="N297" t="str">
        <f>VLOOKUP(H297,'Tree shrub sapling root eq'!$A$2:$C$12,3,)</f>
        <v>=0.25*X6</v>
      </c>
      <c r="O297" t="str">
        <f t="shared" si="8"/>
        <v>=0.25*2573.22492926846</v>
      </c>
      <c r="P297" cm="1">
        <f t="array" ref="P297">eval_tr_dbh</f>
        <v>643.30623231711502</v>
      </c>
      <c r="Q297" t="str">
        <f t="shared" si="9"/>
        <v>TN_34_CTRL_B3</v>
      </c>
    </row>
    <row r="298" spans="1:17" x14ac:dyDescent="0.15">
      <c r="A298" s="5" t="s">
        <v>3</v>
      </c>
      <c r="B298" s="5">
        <v>34</v>
      </c>
      <c r="C298" s="5" t="s">
        <v>22</v>
      </c>
      <c r="D298" s="6" t="s">
        <v>32</v>
      </c>
      <c r="E298" s="7">
        <v>44732</v>
      </c>
      <c r="F298" s="5" t="s">
        <v>7</v>
      </c>
      <c r="G298" s="5" t="s">
        <v>34</v>
      </c>
      <c r="H298" s="5" t="s">
        <v>16</v>
      </c>
      <c r="I298" s="4">
        <v>14.2</v>
      </c>
      <c r="J298" s="4">
        <v>33.200000000000003</v>
      </c>
      <c r="K298" t="s">
        <v>171</v>
      </c>
      <c r="L298">
        <v>2</v>
      </c>
      <c r="M298">
        <v>488508.65481977485</v>
      </c>
      <c r="N298" t="str">
        <f>VLOOKUP(H298,'Tree shrub sapling root eq'!$A$2:$C$12,3,)</f>
        <v>=1.576*X6^0.615</v>
      </c>
      <c r="O298" t="str">
        <f t="shared" si="8"/>
        <v>=1.576*488508.654819775^0.615</v>
      </c>
      <c r="P298" cm="1">
        <f t="array" ref="P298">eval_tr_dbh</f>
        <v>4968.3554000770473</v>
      </c>
      <c r="Q298" t="str">
        <f t="shared" si="9"/>
        <v>TN_34_CTRL_B3</v>
      </c>
    </row>
    <row r="299" spans="1:17" x14ac:dyDescent="0.15">
      <c r="A299" s="5" t="s">
        <v>3</v>
      </c>
      <c r="B299" s="5">
        <v>34</v>
      </c>
      <c r="C299" s="5" t="s">
        <v>22</v>
      </c>
      <c r="D299" s="6" t="s">
        <v>32</v>
      </c>
      <c r="E299" s="7">
        <v>44732</v>
      </c>
      <c r="F299" s="5" t="s">
        <v>5</v>
      </c>
      <c r="G299" s="5" t="s">
        <v>35</v>
      </c>
      <c r="H299" s="5" t="s">
        <v>21</v>
      </c>
      <c r="I299" s="4" t="s">
        <v>21</v>
      </c>
      <c r="J299" s="4" t="s">
        <v>21</v>
      </c>
      <c r="K299" t="s">
        <v>171</v>
      </c>
      <c r="L299">
        <v>2</v>
      </c>
      <c r="M299" t="e">
        <v>#N/A</v>
      </c>
      <c r="N299" t="e">
        <f>VLOOKUP(H299,'Tree shrub sapling root eq'!$A$2:$C$12,3,)</f>
        <v>#N/A</v>
      </c>
      <c r="O299" t="e">
        <f t="shared" si="8"/>
        <v>#N/A</v>
      </c>
      <c r="P299" t="e" cm="1">
        <f t="array" ref="P299">eval_tr_dbh</f>
        <v>#N/A</v>
      </c>
      <c r="Q299" t="str">
        <f t="shared" si="9"/>
        <v>TN_34_CTRL_B1</v>
      </c>
    </row>
    <row r="300" spans="1:17" x14ac:dyDescent="0.15">
      <c r="A300" s="5" t="s">
        <v>3</v>
      </c>
      <c r="B300" s="5">
        <v>34</v>
      </c>
      <c r="C300" s="5" t="s">
        <v>22</v>
      </c>
      <c r="D300" s="6" t="s">
        <v>32</v>
      </c>
      <c r="E300" s="7">
        <v>44732</v>
      </c>
      <c r="F300" s="5" t="s">
        <v>6</v>
      </c>
      <c r="G300" s="5" t="s">
        <v>36</v>
      </c>
      <c r="H300" s="5" t="s">
        <v>21</v>
      </c>
      <c r="I300" s="4" t="s">
        <v>21</v>
      </c>
      <c r="J300" s="4" t="s">
        <v>21</v>
      </c>
      <c r="K300" t="s">
        <v>171</v>
      </c>
      <c r="L300">
        <v>2</v>
      </c>
      <c r="M300" t="e">
        <v>#N/A</v>
      </c>
      <c r="N300" t="e">
        <f>VLOOKUP(H300,'Tree shrub sapling root eq'!$A$2:$C$12,3,)</f>
        <v>#N/A</v>
      </c>
      <c r="O300" t="e">
        <f t="shared" si="8"/>
        <v>#N/A</v>
      </c>
      <c r="P300" t="e" cm="1">
        <f t="array" ref="P300">eval_tr_dbh</f>
        <v>#N/A</v>
      </c>
      <c r="Q300" t="str">
        <f t="shared" si="9"/>
        <v>TN_34_CTRL_B2</v>
      </c>
    </row>
    <row r="301" spans="1:17" x14ac:dyDescent="0.15">
      <c r="A301" s="5" t="s">
        <v>3</v>
      </c>
      <c r="B301" s="5">
        <v>34</v>
      </c>
      <c r="C301" s="5" t="s">
        <v>22</v>
      </c>
      <c r="D301" s="6" t="s">
        <v>32</v>
      </c>
      <c r="E301" s="7">
        <v>44732</v>
      </c>
      <c r="F301" s="5" t="s">
        <v>9</v>
      </c>
      <c r="G301" s="5" t="s">
        <v>37</v>
      </c>
      <c r="H301" s="5" t="s">
        <v>21</v>
      </c>
      <c r="I301" s="4" t="s">
        <v>21</v>
      </c>
      <c r="J301" s="4" t="s">
        <v>21</v>
      </c>
      <c r="K301" t="s">
        <v>171</v>
      </c>
      <c r="L301">
        <v>2</v>
      </c>
      <c r="M301" t="e">
        <v>#N/A</v>
      </c>
      <c r="N301" t="e">
        <f>VLOOKUP(H301,'Tree shrub sapling root eq'!$A$2:$C$12,3,)</f>
        <v>#N/A</v>
      </c>
      <c r="O301" t="e">
        <f t="shared" si="8"/>
        <v>#N/A</v>
      </c>
      <c r="P301" t="e" cm="1">
        <f t="array" ref="P301">eval_tr_dbh</f>
        <v>#N/A</v>
      </c>
      <c r="Q301" t="str">
        <f t="shared" si="9"/>
        <v>TN_34_CTRL_B4</v>
      </c>
    </row>
    <row r="302" spans="1:17" x14ac:dyDescent="0.15">
      <c r="A302" s="5" t="s">
        <v>3</v>
      </c>
      <c r="B302" s="5">
        <v>34</v>
      </c>
      <c r="C302" s="5" t="s">
        <v>23</v>
      </c>
      <c r="D302" s="6" t="s">
        <v>32</v>
      </c>
      <c r="E302" s="7">
        <v>44732</v>
      </c>
      <c r="F302" s="5" t="s">
        <v>7</v>
      </c>
      <c r="G302" s="5" t="s">
        <v>34</v>
      </c>
      <c r="H302" s="5" t="s">
        <v>10</v>
      </c>
      <c r="I302" s="4">
        <v>3.9</v>
      </c>
      <c r="J302" s="4">
        <v>6.8</v>
      </c>
      <c r="K302" t="s">
        <v>261</v>
      </c>
      <c r="L302">
        <v>2</v>
      </c>
      <c r="M302">
        <v>9357.0676458545495</v>
      </c>
      <c r="N302" t="str">
        <f>VLOOKUP(H302,'Tree shrub sapling root eq'!$A$2:$C$12,3,)</f>
        <v>=0.25*X6</v>
      </c>
      <c r="O302" t="str">
        <f t="shared" si="8"/>
        <v>=0.25*9357.06764585455</v>
      </c>
      <c r="P302" cm="1">
        <f t="array" ref="P302">eval_tr_dbh</f>
        <v>2339.2669114636374</v>
      </c>
      <c r="Q302" t="str">
        <f t="shared" si="9"/>
        <v>TN_34_EX_B3</v>
      </c>
    </row>
    <row r="303" spans="1:17" x14ac:dyDescent="0.15">
      <c r="A303" s="5" t="s">
        <v>3</v>
      </c>
      <c r="B303" s="5">
        <v>34</v>
      </c>
      <c r="C303" s="5" t="s">
        <v>23</v>
      </c>
      <c r="D303" s="6" t="s">
        <v>32</v>
      </c>
      <c r="E303" s="7">
        <v>44732</v>
      </c>
      <c r="F303" s="5" t="s">
        <v>7</v>
      </c>
      <c r="G303" s="5" t="s">
        <v>34</v>
      </c>
      <c r="H303" s="5" t="s">
        <v>16</v>
      </c>
      <c r="I303" s="4">
        <v>6.8</v>
      </c>
      <c r="J303" s="4">
        <v>33.299999999999997</v>
      </c>
      <c r="K303" t="s">
        <v>261</v>
      </c>
      <c r="L303">
        <v>2</v>
      </c>
      <c r="M303">
        <v>492128.12466628331</v>
      </c>
      <c r="N303" t="str">
        <f>VLOOKUP(H303,'Tree shrub sapling root eq'!$A$2:$C$12,3,)</f>
        <v>=1.576*X6^0.615</v>
      </c>
      <c r="O303" t="str">
        <f t="shared" si="8"/>
        <v>=1.576*492128.124666283^0.615</v>
      </c>
      <c r="P303" cm="1">
        <f t="array" ref="P303">eval_tr_dbh</f>
        <v>4990.9623887930529</v>
      </c>
      <c r="Q303" t="str">
        <f t="shared" si="9"/>
        <v>TN_34_EX_B3</v>
      </c>
    </row>
    <row r="304" spans="1:17" x14ac:dyDescent="0.15">
      <c r="A304" s="5" t="s">
        <v>3</v>
      </c>
      <c r="B304" s="5">
        <v>34</v>
      </c>
      <c r="C304" s="5" t="s">
        <v>23</v>
      </c>
      <c r="D304" s="6" t="s">
        <v>32</v>
      </c>
      <c r="E304" s="7">
        <v>44732</v>
      </c>
      <c r="F304" s="5" t="s">
        <v>5</v>
      </c>
      <c r="G304" s="5" t="s">
        <v>35</v>
      </c>
      <c r="H304" s="5" t="s">
        <v>21</v>
      </c>
      <c r="I304" s="4" t="s">
        <v>4</v>
      </c>
      <c r="J304" s="4" t="s">
        <v>4</v>
      </c>
      <c r="K304" t="s">
        <v>261</v>
      </c>
      <c r="L304">
        <v>2</v>
      </c>
      <c r="M304" t="e">
        <v>#N/A</v>
      </c>
      <c r="N304" t="e">
        <f>VLOOKUP(H304,'Tree shrub sapling root eq'!$A$2:$C$12,3,)</f>
        <v>#N/A</v>
      </c>
      <c r="O304" t="e">
        <f t="shared" si="8"/>
        <v>#N/A</v>
      </c>
      <c r="P304" t="e" cm="1">
        <f t="array" ref="P304">eval_tr_dbh</f>
        <v>#N/A</v>
      </c>
      <c r="Q304" t="str">
        <f t="shared" si="9"/>
        <v>TN_34_EX_B1</v>
      </c>
    </row>
    <row r="305" spans="1:17" x14ac:dyDescent="0.15">
      <c r="A305" s="5" t="s">
        <v>3</v>
      </c>
      <c r="B305" s="5">
        <v>34</v>
      </c>
      <c r="C305" s="5" t="s">
        <v>23</v>
      </c>
      <c r="D305" s="6" t="s">
        <v>32</v>
      </c>
      <c r="E305" s="7">
        <v>44732</v>
      </c>
      <c r="F305" s="5" t="s">
        <v>6</v>
      </c>
      <c r="G305" s="5" t="s">
        <v>36</v>
      </c>
      <c r="H305" s="5" t="s">
        <v>21</v>
      </c>
      <c r="I305" s="4" t="s">
        <v>4</v>
      </c>
      <c r="J305" s="4" t="s">
        <v>4</v>
      </c>
      <c r="K305" t="s">
        <v>261</v>
      </c>
      <c r="L305">
        <v>2</v>
      </c>
      <c r="M305" t="e">
        <v>#N/A</v>
      </c>
      <c r="N305" t="e">
        <f>VLOOKUP(H305,'Tree shrub sapling root eq'!$A$2:$C$12,3,)</f>
        <v>#N/A</v>
      </c>
      <c r="O305" t="e">
        <f t="shared" si="8"/>
        <v>#N/A</v>
      </c>
      <c r="P305" t="e" cm="1">
        <f t="array" ref="P305">eval_tr_dbh</f>
        <v>#N/A</v>
      </c>
      <c r="Q305" t="str">
        <f t="shared" si="9"/>
        <v>TN_34_EX_B2</v>
      </c>
    </row>
    <row r="306" spans="1:17" x14ac:dyDescent="0.15">
      <c r="A306" s="5" t="s">
        <v>3</v>
      </c>
      <c r="B306" s="5">
        <v>34</v>
      </c>
      <c r="C306" s="5" t="s">
        <v>23</v>
      </c>
      <c r="D306" s="6" t="s">
        <v>32</v>
      </c>
      <c r="E306" s="7">
        <v>44732</v>
      </c>
      <c r="F306" s="5" t="s">
        <v>9</v>
      </c>
      <c r="G306" s="5" t="s">
        <v>37</v>
      </c>
      <c r="H306" s="5" t="s">
        <v>21</v>
      </c>
      <c r="I306" s="4" t="s">
        <v>4</v>
      </c>
      <c r="J306" s="4" t="s">
        <v>4</v>
      </c>
      <c r="K306" t="s">
        <v>261</v>
      </c>
      <c r="L306">
        <v>2</v>
      </c>
      <c r="M306" t="e">
        <v>#N/A</v>
      </c>
      <c r="N306" t="e">
        <f>VLOOKUP(H306,'Tree shrub sapling root eq'!$A$2:$C$12,3,)</f>
        <v>#N/A</v>
      </c>
      <c r="O306" t="e">
        <f t="shared" si="8"/>
        <v>#N/A</v>
      </c>
      <c r="P306" t="e" cm="1">
        <f t="array" ref="P306">eval_tr_dbh</f>
        <v>#N/A</v>
      </c>
      <c r="Q306" t="str">
        <f t="shared" si="9"/>
        <v>TN_34_EX_B4</v>
      </c>
    </row>
    <row r="307" spans="1:17" x14ac:dyDescent="0.15">
      <c r="A307" s="5" t="s">
        <v>18</v>
      </c>
      <c r="B307" s="5">
        <v>35</v>
      </c>
      <c r="C307" s="5" t="s">
        <v>21</v>
      </c>
      <c r="D307" s="5" t="s">
        <v>32</v>
      </c>
      <c r="E307" s="7">
        <v>44746</v>
      </c>
      <c r="F307" s="5" t="s">
        <v>5</v>
      </c>
      <c r="G307" s="5" t="s">
        <v>35</v>
      </c>
      <c r="H307" s="3" t="s">
        <v>10</v>
      </c>
      <c r="I307" s="4">
        <v>4</v>
      </c>
      <c r="J307" s="4">
        <v>3.5</v>
      </c>
      <c r="K307" t="s">
        <v>164</v>
      </c>
      <c r="L307">
        <v>2</v>
      </c>
      <c r="M307">
        <v>2150.6724889929069</v>
      </c>
      <c r="N307" t="str">
        <f>VLOOKUP(H307,'Tree shrub sapling root eq'!$A$2:$C$12,3,)</f>
        <v>=0.25*X6</v>
      </c>
      <c r="O307" t="str">
        <f t="shared" si="8"/>
        <v>=0.25*2150.67248899291</v>
      </c>
      <c r="P307" cm="1">
        <f t="array" ref="P307">eval_tr_dbh</f>
        <v>537.66812224822752</v>
      </c>
      <c r="Q307" t="str">
        <f t="shared" si="9"/>
        <v>GM_35_NA_B1</v>
      </c>
    </row>
    <row r="308" spans="1:17" x14ac:dyDescent="0.15">
      <c r="A308" s="5" t="s">
        <v>18</v>
      </c>
      <c r="B308" s="5">
        <v>35</v>
      </c>
      <c r="C308" s="5" t="s">
        <v>21</v>
      </c>
      <c r="D308" s="5" t="s">
        <v>32</v>
      </c>
      <c r="E308" s="7">
        <v>44746</v>
      </c>
      <c r="F308" s="5" t="s">
        <v>7</v>
      </c>
      <c r="G308" s="5" t="s">
        <v>34</v>
      </c>
      <c r="H308" s="5" t="s">
        <v>20</v>
      </c>
      <c r="I308" s="4">
        <v>8</v>
      </c>
      <c r="J308" s="4">
        <v>4.5999999999999996</v>
      </c>
      <c r="K308" t="s">
        <v>164</v>
      </c>
      <c r="L308">
        <v>2</v>
      </c>
      <c r="M308">
        <v>5636.4812133764708</v>
      </c>
      <c r="N308" t="str">
        <f>VLOOKUP(H308,'Tree shrub sapling root eq'!$A$2:$C$12,3,)</f>
        <v>=1.576*X6^0.615</v>
      </c>
      <c r="O308" t="str">
        <f t="shared" si="8"/>
        <v>=1.576*5636.48121337647^0.615</v>
      </c>
      <c r="P308" cm="1">
        <f t="array" ref="P308">eval_tr_dbh</f>
        <v>319.4671242658639</v>
      </c>
      <c r="Q308" t="str">
        <f t="shared" si="9"/>
        <v>GM_35_NA_B3</v>
      </c>
    </row>
    <row r="309" spans="1:17" x14ac:dyDescent="0.15">
      <c r="A309" s="5" t="s">
        <v>18</v>
      </c>
      <c r="B309" s="5">
        <v>35</v>
      </c>
      <c r="C309" s="5" t="s">
        <v>21</v>
      </c>
      <c r="D309" s="5" t="s">
        <v>32</v>
      </c>
      <c r="E309" s="7">
        <v>44746</v>
      </c>
      <c r="F309" s="5" t="s">
        <v>6</v>
      </c>
      <c r="G309" s="5" t="s">
        <v>36</v>
      </c>
      <c r="H309" s="3" t="s">
        <v>10</v>
      </c>
      <c r="I309" s="4">
        <v>4</v>
      </c>
      <c r="J309" s="4">
        <v>6</v>
      </c>
      <c r="K309" t="s">
        <v>164</v>
      </c>
      <c r="L309">
        <v>2</v>
      </c>
      <c r="M309">
        <v>7067.0252069550461</v>
      </c>
      <c r="N309" t="str">
        <f>VLOOKUP(H309,'Tree shrub sapling root eq'!$A$2:$C$12,3,)</f>
        <v>=0.25*X6</v>
      </c>
      <c r="O309" t="str">
        <f t="shared" si="8"/>
        <v>=0.25*7067.02520695505</v>
      </c>
      <c r="P309" cm="1">
        <f t="array" ref="P309">eval_tr_dbh</f>
        <v>1766.7563017387624</v>
      </c>
      <c r="Q309" t="str">
        <f t="shared" si="9"/>
        <v>GM_35_NA_B2</v>
      </c>
    </row>
    <row r="310" spans="1:17" x14ac:dyDescent="0.15">
      <c r="A310" s="5" t="s">
        <v>18</v>
      </c>
      <c r="B310" s="5">
        <v>35</v>
      </c>
      <c r="C310" s="5" t="s">
        <v>21</v>
      </c>
      <c r="D310" s="5" t="s">
        <v>32</v>
      </c>
      <c r="E310" s="7">
        <v>44746</v>
      </c>
      <c r="F310" s="5" t="s">
        <v>5</v>
      </c>
      <c r="G310" s="5" t="s">
        <v>35</v>
      </c>
      <c r="H310" s="3" t="s">
        <v>10</v>
      </c>
      <c r="I310" s="4">
        <v>5</v>
      </c>
      <c r="J310" s="4">
        <v>7.3</v>
      </c>
      <c r="K310" t="s">
        <v>164</v>
      </c>
      <c r="L310">
        <v>2</v>
      </c>
      <c r="M310">
        <v>10978.383682710886</v>
      </c>
      <c r="N310" t="str">
        <f>VLOOKUP(H310,'Tree shrub sapling root eq'!$A$2:$C$12,3,)</f>
        <v>=0.25*X6</v>
      </c>
      <c r="O310" t="str">
        <f t="shared" si="8"/>
        <v>=0.25*10978.3836827109</v>
      </c>
      <c r="P310" cm="1">
        <f t="array" ref="P310">eval_tr_dbh</f>
        <v>2744.5959206777252</v>
      </c>
      <c r="Q310" t="str">
        <f t="shared" si="9"/>
        <v>GM_35_NA_B1</v>
      </c>
    </row>
    <row r="311" spans="1:17" x14ac:dyDescent="0.15">
      <c r="A311" s="5" t="s">
        <v>18</v>
      </c>
      <c r="B311" s="5">
        <v>35</v>
      </c>
      <c r="C311" s="5" t="s">
        <v>21</v>
      </c>
      <c r="D311" s="5" t="s">
        <v>32</v>
      </c>
      <c r="E311" s="7">
        <v>44746</v>
      </c>
      <c r="F311" s="5" t="s">
        <v>6</v>
      </c>
      <c r="G311" s="5" t="s">
        <v>36</v>
      </c>
      <c r="H311" s="3" t="s">
        <v>10</v>
      </c>
      <c r="I311" s="4">
        <v>7.5</v>
      </c>
      <c r="J311" s="4">
        <v>19.100000000000001</v>
      </c>
      <c r="K311" t="s">
        <v>164</v>
      </c>
      <c r="L311">
        <v>2</v>
      </c>
      <c r="M311">
        <v>99818.028459541747</v>
      </c>
      <c r="N311" t="str">
        <f>VLOOKUP(H311,'Tree shrub sapling root eq'!$A$2:$C$12,3,)</f>
        <v>=0.25*X6</v>
      </c>
      <c r="O311" t="str">
        <f t="shared" si="8"/>
        <v>=0.25*99818.0284595417</v>
      </c>
      <c r="P311" cm="1">
        <f t="array" ref="P311">eval_tr_dbh</f>
        <v>24954.507114885426</v>
      </c>
      <c r="Q311" t="str">
        <f t="shared" si="9"/>
        <v>GM_35_NA_B2</v>
      </c>
    </row>
    <row r="312" spans="1:17" x14ac:dyDescent="0.15">
      <c r="A312" s="5" t="s">
        <v>18</v>
      </c>
      <c r="B312" s="5">
        <v>35</v>
      </c>
      <c r="C312" s="5" t="s">
        <v>21</v>
      </c>
      <c r="D312" s="5" t="s">
        <v>32</v>
      </c>
      <c r="E312" s="7">
        <v>44746</v>
      </c>
      <c r="F312" s="5" t="s">
        <v>9</v>
      </c>
      <c r="G312" s="5" t="s">
        <v>37</v>
      </c>
      <c r="H312" s="5" t="s">
        <v>21</v>
      </c>
      <c r="I312" s="4" t="s">
        <v>21</v>
      </c>
      <c r="J312" s="4" t="s">
        <v>21</v>
      </c>
      <c r="K312" t="s">
        <v>164</v>
      </c>
      <c r="L312">
        <v>2</v>
      </c>
      <c r="M312" t="e">
        <v>#N/A</v>
      </c>
      <c r="N312" t="e">
        <f>VLOOKUP(H312,'Tree shrub sapling root eq'!$A$2:$C$12,3,)</f>
        <v>#N/A</v>
      </c>
      <c r="O312" t="e">
        <f t="shared" si="8"/>
        <v>#N/A</v>
      </c>
      <c r="P312" t="e" cm="1">
        <f t="array" ref="P312">eval_tr_dbh</f>
        <v>#N/A</v>
      </c>
      <c r="Q312" t="str">
        <f t="shared" si="9"/>
        <v>GM_35_NA_B4</v>
      </c>
    </row>
    <row r="313" spans="1:17" x14ac:dyDescent="0.15">
      <c r="A313" s="5" t="s">
        <v>18</v>
      </c>
      <c r="B313" s="5">
        <v>36</v>
      </c>
      <c r="C313" s="5" t="s">
        <v>21</v>
      </c>
      <c r="D313" s="5" t="s">
        <v>32</v>
      </c>
      <c r="E313" s="7">
        <v>44749</v>
      </c>
      <c r="F313" s="5" t="s">
        <v>5</v>
      </c>
      <c r="G313" s="5" t="s">
        <v>35</v>
      </c>
      <c r="H313" s="5" t="s">
        <v>15</v>
      </c>
      <c r="I313" s="4">
        <v>7</v>
      </c>
      <c r="J313" s="4">
        <v>15</v>
      </c>
      <c r="K313" t="s">
        <v>151</v>
      </c>
      <c r="L313">
        <v>1</v>
      </c>
      <c r="M313">
        <v>79181.648219178343</v>
      </c>
      <c r="N313" t="str">
        <f>VLOOKUP(H313,'Tree shrub sapling root eq'!$A$2:$C$12,3,)</f>
        <v>=1.576*X6^0.615</v>
      </c>
      <c r="O313" t="str">
        <f t="shared" si="8"/>
        <v>=1.576*79181.6482191783^0.615</v>
      </c>
      <c r="P313" cm="1">
        <f t="array" ref="P313">eval_tr_dbh</f>
        <v>1622.5956367564347</v>
      </c>
      <c r="Q313" t="str">
        <f t="shared" si="9"/>
        <v>GM_36_NA_B1</v>
      </c>
    </row>
    <row r="314" spans="1:17" x14ac:dyDescent="0.15">
      <c r="A314" s="5" t="s">
        <v>18</v>
      </c>
      <c r="B314" s="5">
        <v>36</v>
      </c>
      <c r="C314" s="5" t="s">
        <v>21</v>
      </c>
      <c r="D314" s="5" t="s">
        <v>32</v>
      </c>
      <c r="E314" s="7">
        <v>44749</v>
      </c>
      <c r="F314" s="5" t="s">
        <v>7</v>
      </c>
      <c r="G314" s="5" t="s">
        <v>34</v>
      </c>
      <c r="H314" s="3" t="s">
        <v>8</v>
      </c>
      <c r="I314" s="4">
        <v>6</v>
      </c>
      <c r="J314" s="4">
        <v>16</v>
      </c>
      <c r="K314" t="s">
        <v>151</v>
      </c>
      <c r="L314">
        <v>1</v>
      </c>
      <c r="M314">
        <v>75854.868550937084</v>
      </c>
      <c r="N314" t="str">
        <f>VLOOKUP(H314,'Tree shrub sapling root eq'!$A$2:$C$12,3,)</f>
        <v>=0.222*X6</v>
      </c>
      <c r="O314" t="str">
        <f t="shared" si="8"/>
        <v>=0.222*75854.8685509371</v>
      </c>
      <c r="P314" cm="1">
        <f t="array" ref="P314">eval_tr_dbh</f>
        <v>16839.780818308038</v>
      </c>
      <c r="Q314" t="str">
        <f t="shared" si="9"/>
        <v>GM_36_NA_B3</v>
      </c>
    </row>
    <row r="315" spans="1:17" x14ac:dyDescent="0.15">
      <c r="A315" s="5" t="s">
        <v>18</v>
      </c>
      <c r="B315" s="5">
        <v>36</v>
      </c>
      <c r="C315" s="5" t="s">
        <v>21</v>
      </c>
      <c r="D315" s="5" t="s">
        <v>32</v>
      </c>
      <c r="E315" s="7">
        <v>44749</v>
      </c>
      <c r="F315" s="5" t="s">
        <v>6</v>
      </c>
      <c r="G315" s="5" t="s">
        <v>36</v>
      </c>
      <c r="H315" s="5" t="s">
        <v>21</v>
      </c>
      <c r="I315" s="4" t="s">
        <v>21</v>
      </c>
      <c r="J315" s="4" t="s">
        <v>21</v>
      </c>
      <c r="K315" t="s">
        <v>151</v>
      </c>
      <c r="L315">
        <v>1</v>
      </c>
      <c r="M315" t="e">
        <v>#N/A</v>
      </c>
      <c r="N315" t="e">
        <f>VLOOKUP(H315,'Tree shrub sapling root eq'!$A$2:$C$12,3,)</f>
        <v>#N/A</v>
      </c>
      <c r="O315" t="e">
        <f t="shared" si="8"/>
        <v>#N/A</v>
      </c>
      <c r="P315" t="e" cm="1">
        <f t="array" ref="P315">eval_tr_dbh</f>
        <v>#N/A</v>
      </c>
      <c r="Q315" t="str">
        <f t="shared" si="9"/>
        <v>GM_36_NA_B2</v>
      </c>
    </row>
    <row r="316" spans="1:17" x14ac:dyDescent="0.15">
      <c r="A316" s="5" t="s">
        <v>18</v>
      </c>
      <c r="B316" s="5">
        <v>36</v>
      </c>
      <c r="C316" s="5" t="s">
        <v>21</v>
      </c>
      <c r="D316" s="5" t="s">
        <v>32</v>
      </c>
      <c r="E316" s="7">
        <v>44749</v>
      </c>
      <c r="F316" s="5" t="s">
        <v>9</v>
      </c>
      <c r="G316" s="5" t="s">
        <v>37</v>
      </c>
      <c r="H316" s="5" t="s">
        <v>21</v>
      </c>
      <c r="I316" s="4" t="s">
        <v>21</v>
      </c>
      <c r="J316" s="4" t="s">
        <v>21</v>
      </c>
      <c r="K316" t="s">
        <v>151</v>
      </c>
      <c r="L316">
        <v>1</v>
      </c>
      <c r="M316" t="e">
        <v>#N/A</v>
      </c>
      <c r="N316" t="e">
        <f>VLOOKUP(H316,'Tree shrub sapling root eq'!$A$2:$C$12,3,)</f>
        <v>#N/A</v>
      </c>
      <c r="O316" t="e">
        <f t="shared" si="8"/>
        <v>#N/A</v>
      </c>
      <c r="P316" t="e" cm="1">
        <f t="array" ref="P316">eval_tr_dbh</f>
        <v>#N/A</v>
      </c>
      <c r="Q316" t="str">
        <f t="shared" si="9"/>
        <v>GM_36_NA_B4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</sheetPr>
  <dimension ref="A1:P320"/>
  <sheetViews>
    <sheetView workbookViewId="0">
      <selection activeCell="M2" sqref="M2"/>
    </sheetView>
  </sheetViews>
  <sheetFormatPr baseColWidth="10" defaultColWidth="12.5" defaultRowHeight="15.75" customHeight="1" x14ac:dyDescent="0.15"/>
  <cols>
    <col min="1" max="1" width="9.6640625" customWidth="1"/>
    <col min="2" max="2" width="9.5" customWidth="1"/>
    <col min="3" max="3" width="11.5" customWidth="1"/>
    <col min="4" max="4" width="12.5" customWidth="1"/>
    <col min="5" max="5" width="16.1640625" customWidth="1"/>
    <col min="6" max="6" width="13.33203125" customWidth="1"/>
    <col min="7" max="7" width="11.83203125" customWidth="1"/>
    <col min="8" max="8" width="12.6640625" customWidth="1"/>
    <col min="9" max="9" width="8.1640625" customWidth="1"/>
    <col min="10" max="10" width="12.5" customWidth="1"/>
    <col min="11" max="11" width="116.5" customWidth="1"/>
    <col min="12" max="12" width="122" customWidth="1"/>
    <col min="13" max="14" width="12.5" customWidth="1"/>
  </cols>
  <sheetData>
    <row r="1" spans="1:16" ht="15.75" customHeight="1" x14ac:dyDescent="0.15">
      <c r="A1" s="1" t="s">
        <v>24</v>
      </c>
      <c r="B1" s="1" t="s">
        <v>25</v>
      </c>
      <c r="C1" s="1" t="s">
        <v>27</v>
      </c>
      <c r="D1" s="1" t="s">
        <v>29</v>
      </c>
      <c r="E1" s="1" t="s">
        <v>28</v>
      </c>
      <c r="F1" s="1" t="s">
        <v>26</v>
      </c>
      <c r="G1" s="1" t="s">
        <v>33</v>
      </c>
      <c r="H1" s="1" t="s">
        <v>0</v>
      </c>
      <c r="I1" s="1" t="s">
        <v>1</v>
      </c>
      <c r="J1" s="1" t="s">
        <v>2</v>
      </c>
      <c r="K1" s="1" t="s">
        <v>62</v>
      </c>
      <c r="L1" s="1" t="s">
        <v>63</v>
      </c>
      <c r="M1" s="1" t="s">
        <v>64</v>
      </c>
      <c r="N1" s="1" t="s">
        <v>67</v>
      </c>
      <c r="O1" s="1" t="s">
        <v>132</v>
      </c>
      <c r="P1" s="1" t="s">
        <v>133</v>
      </c>
    </row>
    <row r="2" spans="1:16" ht="15.75" customHeight="1" x14ac:dyDescent="0.15">
      <c r="A2" s="5" t="s">
        <v>18</v>
      </c>
      <c r="B2" s="5">
        <v>1</v>
      </c>
      <c r="C2" s="5" t="s">
        <v>22</v>
      </c>
      <c r="D2" s="5" t="s">
        <v>30</v>
      </c>
      <c r="E2" s="7">
        <v>44748</v>
      </c>
      <c r="F2" s="5" t="s">
        <v>5</v>
      </c>
      <c r="G2" s="5" t="s">
        <v>35</v>
      </c>
      <c r="H2" s="5" t="s">
        <v>21</v>
      </c>
      <c r="I2" s="4" t="s">
        <v>21</v>
      </c>
      <c r="J2" s="4" t="s">
        <v>21</v>
      </c>
      <c r="K2" s="1" t="e">
        <f>VLOOKUP(Table1[[#This Row],[Species ]],eq!$A$3:$B$13,2,)</f>
        <v>#N/A</v>
      </c>
      <c r="L2" s="1" t="e">
        <f t="shared" ref="L2:L65" si="0">SUBSTITUTE(SUBSTITUTE(K2, "X4",J2),"X2",I2)</f>
        <v>#N/A</v>
      </c>
      <c r="M2" s="1" t="e" cm="1">
        <f t="array" ref="M2">eval_tr</f>
        <v>#N/A</v>
      </c>
      <c r="N2" s="1">
        <f t="shared" ref="N2:N65" si="1">IF(ISNUMBER(M2),M2,0)</f>
        <v>0</v>
      </c>
      <c r="O2" s="1" t="str">
        <f t="shared" ref="O2:O65" si="2">A2&amp;"-"&amp;TEXT(B2,"0#")&amp;"-"&amp;C2</f>
        <v>GM-01-CTRL</v>
      </c>
      <c r="P2" s="1">
        <f>VLOOKUP(O2,teams!$A$1:$B$47,2,)</f>
        <v>1</v>
      </c>
    </row>
    <row r="3" spans="1:16" ht="15.75" customHeight="1" x14ac:dyDescent="0.15">
      <c r="A3" s="5" t="s">
        <v>18</v>
      </c>
      <c r="B3" s="5">
        <v>1</v>
      </c>
      <c r="C3" s="5" t="s">
        <v>22</v>
      </c>
      <c r="D3" s="5" t="s">
        <v>30</v>
      </c>
      <c r="E3" s="7">
        <v>44748</v>
      </c>
      <c r="F3" s="5" t="s">
        <v>6</v>
      </c>
      <c r="G3" s="5" t="s">
        <v>36</v>
      </c>
      <c r="H3" s="5" t="s">
        <v>21</v>
      </c>
      <c r="I3" s="4" t="s">
        <v>21</v>
      </c>
      <c r="J3" s="4" t="s">
        <v>21</v>
      </c>
      <c r="K3" s="1" t="e">
        <f>VLOOKUP(Table1[[#This Row],[Species ]],eq!$A$3:$B$13,2,)</f>
        <v>#N/A</v>
      </c>
      <c r="L3" s="1" t="e">
        <f t="shared" si="0"/>
        <v>#N/A</v>
      </c>
      <c r="M3" s="1" t="e" cm="1">
        <f t="array" ref="M3">eval_tr</f>
        <v>#N/A</v>
      </c>
      <c r="N3" s="1">
        <f t="shared" si="1"/>
        <v>0</v>
      </c>
      <c r="O3" s="1" t="str">
        <f t="shared" si="2"/>
        <v>GM-01-CTRL</v>
      </c>
      <c r="P3" s="1">
        <f>VLOOKUP(O3,teams!$A$1:$B$47,2,)</f>
        <v>1</v>
      </c>
    </row>
    <row r="4" spans="1:16" ht="15.75" customHeight="1" x14ac:dyDescent="0.15">
      <c r="A4" s="5" t="s">
        <v>18</v>
      </c>
      <c r="B4" s="5">
        <v>1</v>
      </c>
      <c r="C4" s="5" t="s">
        <v>22</v>
      </c>
      <c r="D4" s="5" t="s">
        <v>30</v>
      </c>
      <c r="E4" s="7">
        <v>44748</v>
      </c>
      <c r="F4" s="5" t="s">
        <v>7</v>
      </c>
      <c r="G4" s="5" t="s">
        <v>34</v>
      </c>
      <c r="H4" s="5" t="s">
        <v>21</v>
      </c>
      <c r="I4" s="4" t="s">
        <v>21</v>
      </c>
      <c r="J4" s="4" t="s">
        <v>21</v>
      </c>
      <c r="K4" s="1" t="e">
        <f>VLOOKUP(Table1[[#This Row],[Species ]],eq!$A$3:$B$13,2,)</f>
        <v>#N/A</v>
      </c>
      <c r="L4" s="1" t="e">
        <f t="shared" si="0"/>
        <v>#N/A</v>
      </c>
      <c r="M4" s="1" t="e" cm="1">
        <f t="array" ref="M4">eval_tr</f>
        <v>#N/A</v>
      </c>
      <c r="N4" s="1">
        <f t="shared" si="1"/>
        <v>0</v>
      </c>
      <c r="O4" s="1" t="str">
        <f t="shared" si="2"/>
        <v>GM-01-CTRL</v>
      </c>
      <c r="P4" s="1">
        <f>VLOOKUP(O4,teams!$A$1:$B$47,2,)</f>
        <v>1</v>
      </c>
    </row>
    <row r="5" spans="1:16" ht="15.75" customHeight="1" x14ac:dyDescent="0.15">
      <c r="A5" s="5" t="s">
        <v>18</v>
      </c>
      <c r="B5" s="5">
        <v>1</v>
      </c>
      <c r="C5" s="5" t="s">
        <v>22</v>
      </c>
      <c r="D5" s="5" t="s">
        <v>30</v>
      </c>
      <c r="E5" s="7">
        <v>44748</v>
      </c>
      <c r="F5" s="5" t="s">
        <v>9</v>
      </c>
      <c r="G5" s="5" t="s">
        <v>37</v>
      </c>
      <c r="H5" s="5" t="s">
        <v>21</v>
      </c>
      <c r="I5" s="4" t="s">
        <v>21</v>
      </c>
      <c r="J5" s="4" t="s">
        <v>21</v>
      </c>
      <c r="K5" s="1" t="e">
        <f>VLOOKUP(Table1[[#This Row],[Species ]],eq!$A$3:$B$13,2,)</f>
        <v>#N/A</v>
      </c>
      <c r="L5" s="1" t="e">
        <f t="shared" si="0"/>
        <v>#N/A</v>
      </c>
      <c r="M5" s="1" t="e" cm="1">
        <f t="array" ref="M5">eval_tr</f>
        <v>#N/A</v>
      </c>
      <c r="N5" s="1">
        <f t="shared" si="1"/>
        <v>0</v>
      </c>
      <c r="O5" s="1" t="str">
        <f t="shared" si="2"/>
        <v>GM-01-CTRL</v>
      </c>
      <c r="P5" s="1">
        <f>VLOOKUP(O5,teams!$A$1:$B$47,2,)</f>
        <v>1</v>
      </c>
    </row>
    <row r="6" spans="1:16" ht="15.75" customHeight="1" x14ac:dyDescent="0.15">
      <c r="A6" s="5" t="s">
        <v>18</v>
      </c>
      <c r="B6" s="5">
        <v>1</v>
      </c>
      <c r="C6" s="5" t="s">
        <v>23</v>
      </c>
      <c r="D6" s="5" t="s">
        <v>30</v>
      </c>
      <c r="E6" s="7">
        <v>44748</v>
      </c>
      <c r="F6" s="5" t="s">
        <v>7</v>
      </c>
      <c r="G6" s="5" t="s">
        <v>34</v>
      </c>
      <c r="H6" s="3" t="s">
        <v>10</v>
      </c>
      <c r="I6" s="4">
        <v>3.25</v>
      </c>
      <c r="J6" s="4">
        <v>5</v>
      </c>
      <c r="K6" s="1" t="str">
        <f>VLOOKUP(Table1[[#This Row],[Species ]],eq!$A$3:$B$13,2,)</f>
        <v>((0.0294*(X4^1.8357)*X2^0.864)+(0.0053*(X4^2.0876)*X2^0.5842)+(0.0117*(X4^3.5097)*X2^-1.3006)+(0.1245*(X4^2.523)*X2^-1.123))*1000</v>
      </c>
      <c r="L6" s="1" t="str">
        <f t="shared" si="0"/>
        <v>((0.0294*(5^1.8357)*3.25^0.864)+(0.0053*(5^2.0876)*3.25^0.5842)+(0.0117*(5^3.5097)*3.25^-1.3006)+(0.1245*(5^2.523)*3.25^-1.123))*1000</v>
      </c>
      <c r="M6" s="1" cm="1">
        <f t="array" ref="M6">eval_tr</f>
        <v>4505.3102509269274</v>
      </c>
      <c r="N6" s="1">
        <f t="shared" si="1"/>
        <v>4505.3102509269274</v>
      </c>
      <c r="O6" s="1" t="str">
        <f t="shared" si="2"/>
        <v>GM-01-EX</v>
      </c>
      <c r="P6" s="1">
        <f>VLOOKUP(O6,teams!$A$1:$B$47,2,)</f>
        <v>1</v>
      </c>
    </row>
    <row r="7" spans="1:16" ht="15.75" customHeight="1" x14ac:dyDescent="0.15">
      <c r="A7" s="5" t="s">
        <v>18</v>
      </c>
      <c r="B7" s="5">
        <v>1</v>
      </c>
      <c r="C7" s="5" t="s">
        <v>23</v>
      </c>
      <c r="D7" s="5" t="s">
        <v>30</v>
      </c>
      <c r="E7" s="7">
        <v>44748</v>
      </c>
      <c r="F7" s="5" t="s">
        <v>7</v>
      </c>
      <c r="G7" s="5" t="s">
        <v>34</v>
      </c>
      <c r="H7" s="3" t="s">
        <v>10</v>
      </c>
      <c r="I7" s="4">
        <v>3.15</v>
      </c>
      <c r="J7" s="4">
        <v>5</v>
      </c>
      <c r="K7" s="1" t="str">
        <f>VLOOKUP(Table1[[#This Row],[Species ]],eq!$A$3:$B$13,2,)</f>
        <v>((0.0294*(X4^1.8357)*X2^0.864)+(0.0053*(X4^2.0876)*X2^0.5842)+(0.0117*(X4^3.5097)*X2^-1.3006)+(0.1245*(X4^2.523)*X2^-1.123))*1000</v>
      </c>
      <c r="L7" s="1" t="str">
        <f t="shared" si="0"/>
        <v>((0.0294*(5^1.8357)*3.15^0.864)+(0.0053*(5^2.0876)*3.15^0.5842)+(0.0117*(5^3.5097)*3.15^-1.3006)+(0.1245*(5^2.523)*3.15^-1.123))*1000</v>
      </c>
      <c r="M7" s="1" cm="1">
        <f t="array" ref="M7">eval_tr</f>
        <v>4556.6139907235956</v>
      </c>
      <c r="N7" s="1">
        <f t="shared" si="1"/>
        <v>4556.6139907235956</v>
      </c>
      <c r="O7" s="1" t="str">
        <f t="shared" si="2"/>
        <v>GM-01-EX</v>
      </c>
      <c r="P7" s="1">
        <f>VLOOKUP(O7,teams!$A$1:$B$47,2,)</f>
        <v>1</v>
      </c>
    </row>
    <row r="8" spans="1:16" ht="15.75" customHeight="1" x14ac:dyDescent="0.15">
      <c r="A8" s="5" t="s">
        <v>18</v>
      </c>
      <c r="B8" s="5">
        <v>1</v>
      </c>
      <c r="C8" s="5" t="s">
        <v>23</v>
      </c>
      <c r="D8" s="5" t="s">
        <v>30</v>
      </c>
      <c r="E8" s="7">
        <v>44748</v>
      </c>
      <c r="F8" s="5" t="s">
        <v>7</v>
      </c>
      <c r="G8" s="5" t="s">
        <v>34</v>
      </c>
      <c r="H8" s="5" t="s">
        <v>14</v>
      </c>
      <c r="I8" s="4">
        <v>4</v>
      </c>
      <c r="J8" s="4">
        <v>4.5</v>
      </c>
      <c r="K8" s="1" t="str">
        <f>VLOOKUP(Table1[[#This Row],[Species ]],eq!$A$3:$B$13,2,)</f>
        <v>((0.0306*(X4^2.1836)*X2^0.574)+(0.0897*(X4^2.2634)*X2^-0.567)+(0.0994*(X4^2.163)*X2^-0.4809)+(0.0124*(X4^1.0325)*X2^0.8747))*1000</v>
      </c>
      <c r="L8" s="1" t="str">
        <f t="shared" si="0"/>
        <v>((0.0306*(4.5^2.1836)*4^0.574)+(0.0897*(4.5^2.2634)*4^-0.567)+(0.0994*(4.5^2.163)*4^-0.4809)+(0.0124*(4.5^1.0325)*4^0.8747))*1000</v>
      </c>
      <c r="M8" s="1" cm="1">
        <f t="array" ref="M8">eval_tr</f>
        <v>4557.4760432230396</v>
      </c>
      <c r="N8" s="1">
        <f t="shared" si="1"/>
        <v>4557.4760432230396</v>
      </c>
      <c r="O8" s="1" t="str">
        <f t="shared" si="2"/>
        <v>GM-01-EX</v>
      </c>
      <c r="P8" s="1">
        <f>VLOOKUP(O8,teams!$A$1:$B$47,2,)</f>
        <v>1</v>
      </c>
    </row>
    <row r="9" spans="1:16" ht="15.75" customHeight="1" x14ac:dyDescent="0.15">
      <c r="A9" s="5" t="s">
        <v>18</v>
      </c>
      <c r="B9" s="5">
        <v>1</v>
      </c>
      <c r="C9" s="5" t="s">
        <v>23</v>
      </c>
      <c r="D9" s="5" t="s">
        <v>30</v>
      </c>
      <c r="E9" s="7">
        <v>44748</v>
      </c>
      <c r="F9" s="5" t="s">
        <v>7</v>
      </c>
      <c r="G9" s="5" t="s">
        <v>34</v>
      </c>
      <c r="H9" s="5" t="s">
        <v>11</v>
      </c>
      <c r="I9" s="4">
        <v>5</v>
      </c>
      <c r="J9" s="4">
        <v>4.5</v>
      </c>
      <c r="K9" s="1" t="str">
        <f>VLOOKUP(Table1[[#This Row],[Species ]],eq!$A$3:$B$13,2,)</f>
        <v>((0.0259*(X4^1.9044)*X2^0.9715)+(0.0069*(X4^2.0834)*X2^0.5371)+(0.0325*(X4^2.3851)*X2^0)+(0.1683*(X4^1.2764)*X2^0))*1000</v>
      </c>
      <c r="L9" s="1" t="str">
        <f t="shared" si="0"/>
        <v>((0.0259*(4.5^1.9044)*5^0.9715)+(0.0069*(4.5^2.0834)*5^0.5371)+(0.0325*(4.5^2.3851)*5^0)+(0.1683*(4.5^1.2764)*5^0))*1000</v>
      </c>
      <c r="M9" s="1" cm="1">
        <f t="array" ref="M9">eval_tr</f>
        <v>4867.58367160528</v>
      </c>
      <c r="N9" s="1">
        <f t="shared" si="1"/>
        <v>4867.58367160528</v>
      </c>
      <c r="O9" s="1" t="str">
        <f t="shared" si="2"/>
        <v>GM-01-EX</v>
      </c>
      <c r="P9" s="1">
        <f>VLOOKUP(O9,teams!$A$1:$B$47,2,)</f>
        <v>1</v>
      </c>
    </row>
    <row r="10" spans="1:16" ht="15.75" customHeight="1" x14ac:dyDescent="0.15">
      <c r="A10" s="5" t="s">
        <v>18</v>
      </c>
      <c r="B10" s="5">
        <v>1</v>
      </c>
      <c r="C10" s="5" t="s">
        <v>23</v>
      </c>
      <c r="D10" s="5" t="s">
        <v>30</v>
      </c>
      <c r="E10" s="7">
        <v>44748</v>
      </c>
      <c r="F10" s="5" t="s">
        <v>5</v>
      </c>
      <c r="G10" s="5" t="s">
        <v>35</v>
      </c>
      <c r="H10" s="3" t="s">
        <v>10</v>
      </c>
      <c r="I10" s="4">
        <v>4.5</v>
      </c>
      <c r="J10" s="4">
        <v>6.5</v>
      </c>
      <c r="K10" s="1" t="str">
        <f>VLOOKUP(Table1[[#This Row],[Species ]],eq!$A$3:$B$13,2,)</f>
        <v>((0.0294*(X4^1.8357)*X2^0.864)+(0.0053*(X4^2.0876)*X2^0.5842)+(0.0117*(X4^3.5097)*X2^-1.3006)+(0.1245*(X4^2.523)*X2^-1.123))*1000</v>
      </c>
      <c r="L10" s="1" t="str">
        <f t="shared" si="0"/>
        <v>((0.0294*(6.5^1.8357)*4.5^0.864)+(0.0053*(6.5^2.0876)*4.5^0.5842)+(0.0117*(6.5^3.5097)*4.5^-1.3006)+(0.1245*(6.5^2.523)*4.5^-1.123))*1000</v>
      </c>
      <c r="M10" s="1" cm="1">
        <f t="array" ref="M10">eval_tr</f>
        <v>7750.064297962409</v>
      </c>
      <c r="N10" s="1">
        <f t="shared" si="1"/>
        <v>7750.064297962409</v>
      </c>
      <c r="O10" s="1" t="str">
        <f t="shared" si="2"/>
        <v>GM-01-EX</v>
      </c>
      <c r="P10" s="1">
        <f>VLOOKUP(O10,teams!$A$1:$B$47,2,)</f>
        <v>1</v>
      </c>
    </row>
    <row r="11" spans="1:16" ht="15.75" customHeight="1" x14ac:dyDescent="0.15">
      <c r="A11" s="5" t="s">
        <v>18</v>
      </c>
      <c r="B11" s="5">
        <v>1</v>
      </c>
      <c r="C11" s="5" t="s">
        <v>23</v>
      </c>
      <c r="D11" s="5" t="s">
        <v>30</v>
      </c>
      <c r="E11" s="7">
        <v>44748</v>
      </c>
      <c r="F11" s="5" t="s">
        <v>6</v>
      </c>
      <c r="G11" s="5" t="s">
        <v>36</v>
      </c>
      <c r="H11" s="3" t="s">
        <v>10</v>
      </c>
      <c r="I11" s="4">
        <v>6</v>
      </c>
      <c r="J11" s="4">
        <v>11.75</v>
      </c>
      <c r="K11" s="1" t="str">
        <f>VLOOKUP(Table1[[#This Row],[Species ]],eq!$A$3:$B$13,2,)</f>
        <v>((0.0294*(X4^1.8357)*X2^0.864)+(0.0053*(X4^2.0876)*X2^0.5842)+(0.0117*(X4^3.5097)*X2^-1.3006)+(0.1245*(X4^2.523)*X2^-1.123))*1000</v>
      </c>
      <c r="L11" s="1" t="str">
        <f t="shared" si="0"/>
        <v>((0.0294*(11.75^1.8357)*6^0.864)+(0.0053*(11.75^2.0876)*6^0.5842)+(0.0117*(11.75^3.5097)*6^-1.3006)+(0.1245*(11.75^2.523)*6^-1.123))*1000</v>
      </c>
      <c r="M11" s="1" cm="1">
        <f t="array" ref="M11">eval_tr</f>
        <v>30137.4595472275</v>
      </c>
      <c r="N11" s="1">
        <f t="shared" si="1"/>
        <v>30137.4595472275</v>
      </c>
      <c r="O11" s="1" t="str">
        <f t="shared" si="2"/>
        <v>GM-01-EX</v>
      </c>
      <c r="P11" s="1">
        <f>VLOOKUP(O11,teams!$A$1:$B$47,2,)</f>
        <v>1</v>
      </c>
    </row>
    <row r="12" spans="1:16" ht="15.75" customHeight="1" x14ac:dyDescent="0.15">
      <c r="A12" s="5" t="s">
        <v>18</v>
      </c>
      <c r="B12" s="5">
        <v>1</v>
      </c>
      <c r="C12" s="5" t="s">
        <v>23</v>
      </c>
      <c r="D12" s="5" t="s">
        <v>30</v>
      </c>
      <c r="E12" s="7">
        <v>44748</v>
      </c>
      <c r="F12" s="5" t="s">
        <v>6</v>
      </c>
      <c r="G12" s="5" t="s">
        <v>36</v>
      </c>
      <c r="H12" s="3" t="s">
        <v>10</v>
      </c>
      <c r="I12" s="4">
        <v>8</v>
      </c>
      <c r="J12" s="4">
        <v>12</v>
      </c>
      <c r="K12" s="1" t="str">
        <f>VLOOKUP(Table1[[#This Row],[Species ]],eq!$A$3:$B$13,2,)</f>
        <v>((0.0294*(X4^1.8357)*X2^0.864)+(0.0053*(X4^2.0876)*X2^0.5842)+(0.0117*(X4^3.5097)*X2^-1.3006)+(0.1245*(X4^2.523)*X2^-1.123))*1000</v>
      </c>
      <c r="L12" s="1" t="str">
        <f t="shared" si="0"/>
        <v>((0.0294*(12^1.8357)*8^0.864)+(0.0053*(12^2.0876)*8^0.5842)+(0.0117*(12^3.5097)*8^-1.3006)+(0.1245*(12^2.523)*8^-1.123))*1000</v>
      </c>
      <c r="M12" s="1" cm="1">
        <f t="array" ref="M12">eval_tr</f>
        <v>31331.17308986681</v>
      </c>
      <c r="N12" s="1">
        <f t="shared" si="1"/>
        <v>31331.17308986681</v>
      </c>
      <c r="O12" s="1" t="str">
        <f t="shared" si="2"/>
        <v>GM-01-EX</v>
      </c>
      <c r="P12" s="1">
        <f>VLOOKUP(O12,teams!$A$1:$B$47,2,)</f>
        <v>1</v>
      </c>
    </row>
    <row r="13" spans="1:16" ht="15.75" customHeight="1" x14ac:dyDescent="0.15">
      <c r="A13" s="5" t="s">
        <v>18</v>
      </c>
      <c r="B13" s="5">
        <v>1</v>
      </c>
      <c r="C13" s="5" t="s">
        <v>23</v>
      </c>
      <c r="D13" s="5" t="s">
        <v>30</v>
      </c>
      <c r="E13" s="7">
        <v>44748</v>
      </c>
      <c r="F13" s="5" t="s">
        <v>5</v>
      </c>
      <c r="G13" s="5" t="s">
        <v>35</v>
      </c>
      <c r="H13" s="3" t="s">
        <v>10</v>
      </c>
      <c r="I13" s="4">
        <v>6</v>
      </c>
      <c r="J13" s="4">
        <v>12</v>
      </c>
      <c r="K13" s="1" t="str">
        <f>VLOOKUP(Table1[[#This Row],[Species ]],eq!$A$3:$B$13,2,)</f>
        <v>((0.0294*(X4^1.8357)*X2^0.864)+(0.0053*(X4^2.0876)*X2^0.5842)+(0.0117*(X4^3.5097)*X2^-1.3006)+(0.1245*(X4^2.523)*X2^-1.123))*1000</v>
      </c>
      <c r="L13" s="1" t="str">
        <f t="shared" si="0"/>
        <v>((0.0294*(12^1.8357)*6^0.864)+(0.0053*(12^2.0876)*6^0.5842)+(0.0117*(12^3.5097)*6^-1.3006)+(0.1245*(12^2.523)*6^-1.123))*1000</v>
      </c>
      <c r="M13" s="1" cm="1">
        <f t="array" ref="M13">eval_tr</f>
        <v>31707.242868592057</v>
      </c>
      <c r="N13" s="1">
        <f t="shared" si="1"/>
        <v>31707.242868592057</v>
      </c>
      <c r="O13" s="1" t="str">
        <f t="shared" si="2"/>
        <v>GM-01-EX</v>
      </c>
      <c r="P13" s="1">
        <f>VLOOKUP(O13,teams!$A$1:$B$47,2,)</f>
        <v>1</v>
      </c>
    </row>
    <row r="14" spans="1:16" ht="15.75" customHeight="1" x14ac:dyDescent="0.15">
      <c r="A14" s="5" t="s">
        <v>18</v>
      </c>
      <c r="B14" s="5">
        <v>1</v>
      </c>
      <c r="C14" s="5" t="s">
        <v>23</v>
      </c>
      <c r="D14" s="5" t="s">
        <v>30</v>
      </c>
      <c r="E14" s="7">
        <v>44748</v>
      </c>
      <c r="F14" s="5" t="s">
        <v>6</v>
      </c>
      <c r="G14" s="5" t="s">
        <v>36</v>
      </c>
      <c r="H14" s="3" t="s">
        <v>10</v>
      </c>
      <c r="I14" s="4">
        <v>6.5</v>
      </c>
      <c r="J14" s="4">
        <v>12.25</v>
      </c>
      <c r="K14" s="1" t="str">
        <f>VLOOKUP(Table1[[#This Row],[Species ]],eq!$A$3:$B$13,2,)</f>
        <v>((0.0294*(X4^1.8357)*X2^0.864)+(0.0053*(X4^2.0876)*X2^0.5842)+(0.0117*(X4^3.5097)*X2^-1.3006)+(0.1245*(X4^2.523)*X2^-1.123))*1000</v>
      </c>
      <c r="L14" s="1" t="str">
        <f t="shared" si="0"/>
        <v>((0.0294*(12.25^1.8357)*6.5^0.864)+(0.0053*(12.25^2.0876)*6.5^0.5842)+(0.0117*(12.25^3.5097)*6.5^-1.3006)+(0.1245*(12.25^2.523)*6.5^-1.123))*1000</v>
      </c>
      <c r="M14" s="1" cm="1">
        <f t="array" ref="M14">eval_tr</f>
        <v>32911.315794026719</v>
      </c>
      <c r="N14" s="1">
        <f t="shared" si="1"/>
        <v>32911.315794026719</v>
      </c>
      <c r="O14" s="1" t="str">
        <f t="shared" si="2"/>
        <v>GM-01-EX</v>
      </c>
      <c r="P14" s="1">
        <f>VLOOKUP(O14,teams!$A$1:$B$47,2,)</f>
        <v>1</v>
      </c>
    </row>
    <row r="15" spans="1:16" ht="15.75" customHeight="1" x14ac:dyDescent="0.15">
      <c r="A15" s="5" t="s">
        <v>18</v>
      </c>
      <c r="B15" s="5">
        <v>1</v>
      </c>
      <c r="C15" s="5" t="s">
        <v>23</v>
      </c>
      <c r="D15" s="5" t="s">
        <v>30</v>
      </c>
      <c r="E15" s="7">
        <v>44748</v>
      </c>
      <c r="F15" s="5" t="s">
        <v>7</v>
      </c>
      <c r="G15" s="5" t="s">
        <v>34</v>
      </c>
      <c r="H15" s="3" t="s">
        <v>10</v>
      </c>
      <c r="I15" s="4">
        <v>7.5</v>
      </c>
      <c r="J15" s="4">
        <v>12.75</v>
      </c>
      <c r="K15" s="1" t="str">
        <f>VLOOKUP(Table1[[#This Row],[Species ]],eq!$A$3:$B$13,2,)</f>
        <v>((0.0294*(X4^1.8357)*X2^0.864)+(0.0053*(X4^2.0876)*X2^0.5842)+(0.0117*(X4^3.5097)*X2^-1.3006)+(0.1245*(X4^2.523)*X2^-1.123))*1000</v>
      </c>
      <c r="L15" s="1" t="str">
        <f t="shared" si="0"/>
        <v>((0.0294*(12.75^1.8357)*7.5^0.864)+(0.0053*(12.75^2.0876)*7.5^0.5842)+(0.0117*(12.75^3.5097)*7.5^-1.3006)+(0.1245*(12.75^2.523)*7.5^-1.123))*1000</v>
      </c>
      <c r="M15" s="1" cm="1">
        <f t="array" ref="M15">eval_tr</f>
        <v>35864.594481588058</v>
      </c>
      <c r="N15" s="1">
        <f t="shared" si="1"/>
        <v>35864.594481588058</v>
      </c>
      <c r="O15" s="1" t="str">
        <f t="shared" si="2"/>
        <v>GM-01-EX</v>
      </c>
      <c r="P15" s="1">
        <f>VLOOKUP(O15,teams!$A$1:$B$47,2,)</f>
        <v>1</v>
      </c>
    </row>
    <row r="16" spans="1:16" ht="15.75" customHeight="1" x14ac:dyDescent="0.15">
      <c r="A16" s="5" t="s">
        <v>18</v>
      </c>
      <c r="B16" s="5">
        <v>1</v>
      </c>
      <c r="C16" s="5" t="s">
        <v>23</v>
      </c>
      <c r="D16" s="5" t="s">
        <v>30</v>
      </c>
      <c r="E16" s="7">
        <v>44748</v>
      </c>
      <c r="F16" s="5" t="s">
        <v>6</v>
      </c>
      <c r="G16" s="5" t="s">
        <v>36</v>
      </c>
      <c r="H16" s="3" t="s">
        <v>10</v>
      </c>
      <c r="I16" s="4">
        <v>7.5</v>
      </c>
      <c r="J16" s="4">
        <v>14.25</v>
      </c>
      <c r="K16" s="1" t="str">
        <f>VLOOKUP(Table1[[#This Row],[Species ]],eq!$A$3:$B$13,2,)</f>
        <v>((0.0294*(X4^1.8357)*X2^0.864)+(0.0053*(X4^2.0876)*X2^0.5842)+(0.0117*(X4^3.5097)*X2^-1.3006)+(0.1245*(X4^2.523)*X2^-1.123))*1000</v>
      </c>
      <c r="L16" s="1" t="str">
        <f t="shared" si="0"/>
        <v>((0.0294*(14.25^1.8357)*7.5^0.864)+(0.0053*(14.25^2.0876)*7.5^0.5842)+(0.0117*(14.25^3.5097)*7.5^-1.3006)+(0.1245*(14.25^2.523)*7.5^-1.123))*1000</v>
      </c>
      <c r="M16" s="1" cm="1">
        <f t="array" ref="M16">eval_tr</f>
        <v>46508.211513225302</v>
      </c>
      <c r="N16" s="1">
        <f t="shared" si="1"/>
        <v>46508.211513225302</v>
      </c>
      <c r="O16" s="1" t="str">
        <f t="shared" si="2"/>
        <v>GM-01-EX</v>
      </c>
      <c r="P16" s="1">
        <f>VLOOKUP(O16,teams!$A$1:$B$47,2,)</f>
        <v>1</v>
      </c>
    </row>
    <row r="17" spans="1:16" ht="15.75" customHeight="1" x14ac:dyDescent="0.15">
      <c r="A17" s="5" t="s">
        <v>18</v>
      </c>
      <c r="B17" s="5">
        <v>2</v>
      </c>
      <c r="C17" s="5" t="s">
        <v>21</v>
      </c>
      <c r="D17" s="5" t="s">
        <v>30</v>
      </c>
      <c r="E17" s="7">
        <v>44741</v>
      </c>
      <c r="F17" s="5" t="s">
        <v>5</v>
      </c>
      <c r="G17" s="5" t="s">
        <v>35</v>
      </c>
      <c r="H17" s="5" t="s">
        <v>21</v>
      </c>
      <c r="I17" s="4" t="s">
        <v>21</v>
      </c>
      <c r="J17" s="4" t="s">
        <v>21</v>
      </c>
      <c r="K17" s="1" t="e">
        <f>VLOOKUP(Table1[[#This Row],[Species ]],eq!$A$3:$B$13,2,)</f>
        <v>#N/A</v>
      </c>
      <c r="L17" s="1" t="e">
        <f t="shared" si="0"/>
        <v>#N/A</v>
      </c>
      <c r="M17" s="1" t="e" cm="1">
        <f t="array" ref="M17">eval_tr</f>
        <v>#N/A</v>
      </c>
      <c r="N17" s="1">
        <f t="shared" si="1"/>
        <v>0</v>
      </c>
      <c r="O17" s="1" t="str">
        <f t="shared" si="2"/>
        <v>GM-02-NA</v>
      </c>
      <c r="P17" s="1">
        <f>VLOOKUP(O17,teams!$A$1:$B$47,2,)</f>
        <v>2</v>
      </c>
    </row>
    <row r="18" spans="1:16" ht="15.75" customHeight="1" x14ac:dyDescent="0.15">
      <c r="A18" s="5" t="s">
        <v>18</v>
      </c>
      <c r="B18" s="5">
        <v>2</v>
      </c>
      <c r="C18" s="5" t="s">
        <v>21</v>
      </c>
      <c r="D18" s="5" t="s">
        <v>30</v>
      </c>
      <c r="E18" s="7">
        <v>44741</v>
      </c>
      <c r="F18" s="5" t="s">
        <v>6</v>
      </c>
      <c r="G18" s="5" t="s">
        <v>36</v>
      </c>
      <c r="H18" s="5" t="s">
        <v>21</v>
      </c>
      <c r="I18" s="4" t="s">
        <v>21</v>
      </c>
      <c r="J18" s="4" t="s">
        <v>21</v>
      </c>
      <c r="K18" s="1" t="e">
        <f>VLOOKUP(Table1[[#This Row],[Species ]],eq!$A$3:$B$13,2,)</f>
        <v>#N/A</v>
      </c>
      <c r="L18" s="1" t="e">
        <f t="shared" si="0"/>
        <v>#N/A</v>
      </c>
      <c r="M18" s="1" t="e" cm="1">
        <f t="array" ref="M18">eval_tr</f>
        <v>#N/A</v>
      </c>
      <c r="N18" s="1">
        <f t="shared" si="1"/>
        <v>0</v>
      </c>
      <c r="O18" s="1" t="str">
        <f t="shared" si="2"/>
        <v>GM-02-NA</v>
      </c>
      <c r="P18" s="1">
        <f>VLOOKUP(O18,teams!$A$1:$B$47,2,)</f>
        <v>2</v>
      </c>
    </row>
    <row r="19" spans="1:16" ht="15.75" customHeight="1" x14ac:dyDescent="0.15">
      <c r="A19" s="5" t="s">
        <v>18</v>
      </c>
      <c r="B19" s="5">
        <v>2</v>
      </c>
      <c r="C19" s="5" t="s">
        <v>21</v>
      </c>
      <c r="D19" s="5" t="s">
        <v>30</v>
      </c>
      <c r="E19" s="7">
        <v>44741</v>
      </c>
      <c r="F19" s="5" t="s">
        <v>7</v>
      </c>
      <c r="G19" s="5" t="s">
        <v>34</v>
      </c>
      <c r="H19" s="5" t="s">
        <v>21</v>
      </c>
      <c r="I19" s="4" t="s">
        <v>21</v>
      </c>
      <c r="J19" s="4" t="s">
        <v>21</v>
      </c>
      <c r="K19" s="1" t="e">
        <f>VLOOKUP(Table1[[#This Row],[Species ]],eq!$A$3:$B$13,2,)</f>
        <v>#N/A</v>
      </c>
      <c r="L19" s="1" t="e">
        <f t="shared" si="0"/>
        <v>#N/A</v>
      </c>
      <c r="M19" s="1" t="e" cm="1">
        <f t="array" ref="M19">eval_tr</f>
        <v>#N/A</v>
      </c>
      <c r="N19" s="1">
        <f t="shared" si="1"/>
        <v>0</v>
      </c>
      <c r="O19" s="1" t="str">
        <f t="shared" si="2"/>
        <v>GM-02-NA</v>
      </c>
      <c r="P19" s="1">
        <f>VLOOKUP(O19,teams!$A$1:$B$47,2,)</f>
        <v>2</v>
      </c>
    </row>
    <row r="20" spans="1:16" ht="15.75" customHeight="1" x14ac:dyDescent="0.15">
      <c r="A20" s="5" t="s">
        <v>18</v>
      </c>
      <c r="B20" s="5">
        <v>2</v>
      </c>
      <c r="C20" s="5" t="s">
        <v>21</v>
      </c>
      <c r="D20" s="5" t="s">
        <v>30</v>
      </c>
      <c r="E20" s="7">
        <v>44741</v>
      </c>
      <c r="F20" s="5" t="s">
        <v>9</v>
      </c>
      <c r="G20" s="5" t="s">
        <v>37</v>
      </c>
      <c r="H20" s="5" t="s">
        <v>21</v>
      </c>
      <c r="I20" s="4" t="s">
        <v>21</v>
      </c>
      <c r="J20" s="4" t="s">
        <v>21</v>
      </c>
      <c r="K20" s="1" t="e">
        <f>VLOOKUP(Table1[[#This Row],[Species ]],eq!$A$3:$B$13,2,)</f>
        <v>#N/A</v>
      </c>
      <c r="L20" s="1" t="e">
        <f t="shared" si="0"/>
        <v>#N/A</v>
      </c>
      <c r="M20" s="1" t="e" cm="1">
        <f t="array" ref="M20">eval_tr</f>
        <v>#N/A</v>
      </c>
      <c r="N20" s="1">
        <f t="shared" si="1"/>
        <v>0</v>
      </c>
      <c r="O20" s="1" t="str">
        <f t="shared" si="2"/>
        <v>GM-02-NA</v>
      </c>
      <c r="P20" s="1">
        <f>VLOOKUP(O20,teams!$A$1:$B$47,2,)</f>
        <v>2</v>
      </c>
    </row>
    <row r="21" spans="1:16" ht="15.75" customHeight="1" x14ac:dyDescent="0.15">
      <c r="A21" s="5" t="s">
        <v>18</v>
      </c>
      <c r="B21" s="5">
        <v>3</v>
      </c>
      <c r="C21" s="5" t="s">
        <v>21</v>
      </c>
      <c r="D21" s="5" t="s">
        <v>30</v>
      </c>
      <c r="E21" s="7">
        <v>44742</v>
      </c>
      <c r="F21" s="5" t="s">
        <v>5</v>
      </c>
      <c r="G21" s="5" t="s">
        <v>35</v>
      </c>
      <c r="H21" s="5" t="s">
        <v>21</v>
      </c>
      <c r="I21" s="4" t="s">
        <v>21</v>
      </c>
      <c r="J21" s="4" t="s">
        <v>21</v>
      </c>
      <c r="K21" s="1" t="e">
        <f>VLOOKUP(Table1[[#This Row],[Species ]],eq!$A$3:$B$13,2,)</f>
        <v>#N/A</v>
      </c>
      <c r="L21" s="1" t="e">
        <f t="shared" si="0"/>
        <v>#N/A</v>
      </c>
      <c r="M21" s="1" t="e" cm="1">
        <f t="array" ref="M21">eval_tr</f>
        <v>#N/A</v>
      </c>
      <c r="N21" s="1">
        <f t="shared" si="1"/>
        <v>0</v>
      </c>
      <c r="O21" s="1" t="str">
        <f t="shared" si="2"/>
        <v>GM-03-NA</v>
      </c>
      <c r="P21" s="1">
        <f>VLOOKUP(O21,teams!$A$1:$B$47,2,)</f>
        <v>2</v>
      </c>
    </row>
    <row r="22" spans="1:16" ht="15.75" customHeight="1" x14ac:dyDescent="0.15">
      <c r="A22" s="5" t="s">
        <v>18</v>
      </c>
      <c r="B22" s="5">
        <v>3</v>
      </c>
      <c r="C22" s="5" t="s">
        <v>21</v>
      </c>
      <c r="D22" s="5" t="s">
        <v>30</v>
      </c>
      <c r="E22" s="7">
        <v>44742</v>
      </c>
      <c r="F22" s="5" t="s">
        <v>6</v>
      </c>
      <c r="G22" s="5" t="s">
        <v>36</v>
      </c>
      <c r="H22" s="5" t="s">
        <v>21</v>
      </c>
      <c r="I22" s="4" t="s">
        <v>21</v>
      </c>
      <c r="J22" s="4" t="s">
        <v>21</v>
      </c>
      <c r="K22" s="1" t="e">
        <f>VLOOKUP(Table1[[#This Row],[Species ]],eq!$A$3:$B$13,2,)</f>
        <v>#N/A</v>
      </c>
      <c r="L22" s="1" t="e">
        <f t="shared" si="0"/>
        <v>#N/A</v>
      </c>
      <c r="M22" s="1" t="e" cm="1">
        <f t="array" ref="M22">eval_tr</f>
        <v>#N/A</v>
      </c>
      <c r="N22" s="1">
        <f t="shared" si="1"/>
        <v>0</v>
      </c>
      <c r="O22" s="1" t="str">
        <f t="shared" si="2"/>
        <v>GM-03-NA</v>
      </c>
      <c r="P22" s="1">
        <f>VLOOKUP(O22,teams!$A$1:$B$47,2,)</f>
        <v>2</v>
      </c>
    </row>
    <row r="23" spans="1:16" ht="15.75" customHeight="1" x14ac:dyDescent="0.15">
      <c r="A23" s="5" t="s">
        <v>18</v>
      </c>
      <c r="B23" s="5">
        <v>3</v>
      </c>
      <c r="C23" s="5" t="s">
        <v>21</v>
      </c>
      <c r="D23" s="5" t="s">
        <v>30</v>
      </c>
      <c r="E23" s="7">
        <v>44742</v>
      </c>
      <c r="F23" s="5" t="s">
        <v>7</v>
      </c>
      <c r="G23" s="5" t="s">
        <v>34</v>
      </c>
      <c r="H23" s="5" t="s">
        <v>21</v>
      </c>
      <c r="I23" s="4" t="s">
        <v>21</v>
      </c>
      <c r="J23" s="4" t="s">
        <v>21</v>
      </c>
      <c r="K23" s="1" t="e">
        <f>VLOOKUP(Table1[[#This Row],[Species ]],eq!$A$3:$B$13,2,)</f>
        <v>#N/A</v>
      </c>
      <c r="L23" s="1" t="e">
        <f t="shared" si="0"/>
        <v>#N/A</v>
      </c>
      <c r="M23" s="1" t="e" cm="1">
        <f t="array" ref="M23">eval_tr</f>
        <v>#N/A</v>
      </c>
      <c r="N23" s="1">
        <f t="shared" si="1"/>
        <v>0</v>
      </c>
      <c r="O23" s="1" t="str">
        <f t="shared" si="2"/>
        <v>GM-03-NA</v>
      </c>
      <c r="P23" s="1">
        <f>VLOOKUP(O23,teams!$A$1:$B$47,2,)</f>
        <v>2</v>
      </c>
    </row>
    <row r="24" spans="1:16" ht="15.75" customHeight="1" x14ac:dyDescent="0.15">
      <c r="A24" s="5" t="s">
        <v>18</v>
      </c>
      <c r="B24" s="5">
        <v>3</v>
      </c>
      <c r="C24" s="5" t="s">
        <v>21</v>
      </c>
      <c r="D24" s="5" t="s">
        <v>30</v>
      </c>
      <c r="E24" s="7">
        <v>44742</v>
      </c>
      <c r="F24" s="5" t="s">
        <v>9</v>
      </c>
      <c r="G24" s="5" t="s">
        <v>37</v>
      </c>
      <c r="H24" s="5" t="s">
        <v>21</v>
      </c>
      <c r="I24" s="4" t="s">
        <v>21</v>
      </c>
      <c r="J24" s="4" t="s">
        <v>21</v>
      </c>
      <c r="K24" s="1" t="e">
        <f>VLOOKUP(Table1[[#This Row],[Species ]],eq!$A$3:$B$13,2,)</f>
        <v>#N/A</v>
      </c>
      <c r="L24" s="1" t="e">
        <f t="shared" si="0"/>
        <v>#N/A</v>
      </c>
      <c r="M24" s="1" t="e" cm="1">
        <f t="array" ref="M24">eval_tr</f>
        <v>#N/A</v>
      </c>
      <c r="N24" s="1">
        <f t="shared" si="1"/>
        <v>0</v>
      </c>
      <c r="O24" s="1" t="str">
        <f t="shared" si="2"/>
        <v>GM-03-NA</v>
      </c>
      <c r="P24" s="1">
        <f>VLOOKUP(O24,teams!$A$1:$B$47,2,)</f>
        <v>2</v>
      </c>
    </row>
    <row r="25" spans="1:16" ht="15.75" customHeight="1" x14ac:dyDescent="0.15">
      <c r="A25" s="5" t="s">
        <v>18</v>
      </c>
      <c r="B25" s="5">
        <v>4</v>
      </c>
      <c r="C25" s="5" t="s">
        <v>21</v>
      </c>
      <c r="D25" s="5" t="s">
        <v>30</v>
      </c>
      <c r="E25" s="7">
        <v>44741</v>
      </c>
      <c r="F25" s="5" t="s">
        <v>5</v>
      </c>
      <c r="G25" s="5" t="s">
        <v>35</v>
      </c>
      <c r="H25" s="5" t="s">
        <v>21</v>
      </c>
      <c r="I25" s="4" t="s">
        <v>21</v>
      </c>
      <c r="J25" s="4" t="s">
        <v>21</v>
      </c>
      <c r="K25" s="1" t="e">
        <f>VLOOKUP(Table1[[#This Row],[Species ]],eq!$A$3:$B$13,2,)</f>
        <v>#N/A</v>
      </c>
      <c r="L25" s="1" t="e">
        <f t="shared" si="0"/>
        <v>#N/A</v>
      </c>
      <c r="M25" s="1" t="e" cm="1">
        <f t="array" ref="M25">eval_tr</f>
        <v>#N/A</v>
      </c>
      <c r="N25" s="1">
        <f t="shared" si="1"/>
        <v>0</v>
      </c>
      <c r="O25" s="1" t="str">
        <f t="shared" si="2"/>
        <v>GM-04-NA</v>
      </c>
      <c r="P25" s="1">
        <f>VLOOKUP(O25,teams!$A$1:$B$47,2,)</f>
        <v>2</v>
      </c>
    </row>
    <row r="26" spans="1:16" ht="15.75" customHeight="1" x14ac:dyDescent="0.15">
      <c r="A26" s="5" t="s">
        <v>18</v>
      </c>
      <c r="B26" s="5">
        <v>4</v>
      </c>
      <c r="C26" s="5" t="s">
        <v>21</v>
      </c>
      <c r="D26" s="5" t="s">
        <v>30</v>
      </c>
      <c r="E26" s="7">
        <v>44741</v>
      </c>
      <c r="F26" s="5" t="s">
        <v>6</v>
      </c>
      <c r="G26" s="5" t="s">
        <v>36</v>
      </c>
      <c r="H26" s="5" t="s">
        <v>21</v>
      </c>
      <c r="I26" s="4" t="s">
        <v>21</v>
      </c>
      <c r="J26" s="4" t="s">
        <v>21</v>
      </c>
      <c r="K26" s="1" t="e">
        <f>VLOOKUP(Table1[[#This Row],[Species ]],eq!$A$3:$B$13,2,)</f>
        <v>#N/A</v>
      </c>
      <c r="L26" s="1" t="e">
        <f t="shared" si="0"/>
        <v>#N/A</v>
      </c>
      <c r="M26" s="1" t="e" cm="1">
        <f t="array" ref="M26">eval_tr</f>
        <v>#N/A</v>
      </c>
      <c r="N26" s="1">
        <f t="shared" si="1"/>
        <v>0</v>
      </c>
      <c r="O26" s="1" t="str">
        <f t="shared" si="2"/>
        <v>GM-04-NA</v>
      </c>
      <c r="P26" s="1">
        <f>VLOOKUP(O26,teams!$A$1:$B$47,2,)</f>
        <v>2</v>
      </c>
    </row>
    <row r="27" spans="1:16" ht="15.75" customHeight="1" x14ac:dyDescent="0.15">
      <c r="A27" s="5" t="s">
        <v>18</v>
      </c>
      <c r="B27" s="5">
        <v>4</v>
      </c>
      <c r="C27" s="5" t="s">
        <v>21</v>
      </c>
      <c r="D27" s="5" t="s">
        <v>30</v>
      </c>
      <c r="E27" s="7">
        <v>44741</v>
      </c>
      <c r="F27" s="5" t="s">
        <v>7</v>
      </c>
      <c r="G27" s="5" t="s">
        <v>34</v>
      </c>
      <c r="H27" s="5" t="s">
        <v>21</v>
      </c>
      <c r="I27" s="4" t="s">
        <v>21</v>
      </c>
      <c r="J27" s="4" t="s">
        <v>21</v>
      </c>
      <c r="K27" s="1" t="e">
        <f>VLOOKUP(Table1[[#This Row],[Species ]],eq!$A$3:$B$13,2,)</f>
        <v>#N/A</v>
      </c>
      <c r="L27" s="1" t="e">
        <f t="shared" si="0"/>
        <v>#N/A</v>
      </c>
      <c r="M27" s="1" t="e" cm="1">
        <f t="array" ref="M27">eval_tr</f>
        <v>#N/A</v>
      </c>
      <c r="N27" s="1">
        <f t="shared" si="1"/>
        <v>0</v>
      </c>
      <c r="O27" s="1" t="str">
        <f t="shared" si="2"/>
        <v>GM-04-NA</v>
      </c>
      <c r="P27" s="1">
        <f>VLOOKUP(O27,teams!$A$1:$B$47,2,)</f>
        <v>2</v>
      </c>
    </row>
    <row r="28" spans="1:16" ht="15.75" customHeight="1" x14ac:dyDescent="0.15">
      <c r="A28" s="5" t="s">
        <v>18</v>
      </c>
      <c r="B28" s="5">
        <v>4</v>
      </c>
      <c r="C28" s="5" t="s">
        <v>21</v>
      </c>
      <c r="D28" s="5" t="s">
        <v>30</v>
      </c>
      <c r="E28" s="7">
        <v>44741</v>
      </c>
      <c r="F28" s="5" t="s">
        <v>9</v>
      </c>
      <c r="G28" s="5" t="s">
        <v>37</v>
      </c>
      <c r="H28" s="5" t="s">
        <v>21</v>
      </c>
      <c r="I28" s="4" t="s">
        <v>21</v>
      </c>
      <c r="J28" s="4" t="s">
        <v>21</v>
      </c>
      <c r="K28" s="1" t="e">
        <f>VLOOKUP(Table1[[#This Row],[Species ]],eq!$A$3:$B$13,2,)</f>
        <v>#N/A</v>
      </c>
      <c r="L28" s="1" t="e">
        <f t="shared" si="0"/>
        <v>#N/A</v>
      </c>
      <c r="M28" s="1" t="e" cm="1">
        <f t="array" ref="M28">eval_tr</f>
        <v>#N/A</v>
      </c>
      <c r="N28" s="1">
        <f t="shared" si="1"/>
        <v>0</v>
      </c>
      <c r="O28" s="1" t="str">
        <f t="shared" si="2"/>
        <v>GM-04-NA</v>
      </c>
      <c r="P28" s="1">
        <f>VLOOKUP(O28,teams!$A$1:$B$47,2,)</f>
        <v>2</v>
      </c>
    </row>
    <row r="29" spans="1:16" ht="15.75" customHeight="1" x14ac:dyDescent="0.15">
      <c r="A29" s="5" t="s">
        <v>18</v>
      </c>
      <c r="B29" s="5">
        <v>5</v>
      </c>
      <c r="C29" s="6" t="s">
        <v>22</v>
      </c>
      <c r="D29" s="5" t="s">
        <v>30</v>
      </c>
      <c r="E29" s="8">
        <v>44741</v>
      </c>
      <c r="F29" s="5" t="s">
        <v>5</v>
      </c>
      <c r="G29" s="5" t="s">
        <v>35</v>
      </c>
      <c r="H29" s="5" t="s">
        <v>21</v>
      </c>
      <c r="I29" s="4" t="s">
        <v>21</v>
      </c>
      <c r="J29" s="4" t="s">
        <v>21</v>
      </c>
      <c r="K29" s="1" t="e">
        <f>VLOOKUP(Table1[[#This Row],[Species ]],eq!$A$3:$B$13,2,)</f>
        <v>#N/A</v>
      </c>
      <c r="L29" s="1" t="e">
        <f t="shared" si="0"/>
        <v>#N/A</v>
      </c>
      <c r="M29" s="1" t="e" cm="1">
        <f t="array" ref="M29">eval_tr</f>
        <v>#N/A</v>
      </c>
      <c r="N29" s="1">
        <f t="shared" si="1"/>
        <v>0</v>
      </c>
      <c r="O29" s="1" t="str">
        <f t="shared" si="2"/>
        <v>GM-05-CTRL</v>
      </c>
      <c r="P29" s="1">
        <f>VLOOKUP(O29,teams!$A$1:$B$47,2,)</f>
        <v>1</v>
      </c>
    </row>
    <row r="30" spans="1:16" ht="15.75" customHeight="1" x14ac:dyDescent="0.15">
      <c r="A30" s="5" t="s">
        <v>18</v>
      </c>
      <c r="B30" s="5">
        <v>5</v>
      </c>
      <c r="C30" s="6" t="s">
        <v>22</v>
      </c>
      <c r="D30" s="5" t="s">
        <v>30</v>
      </c>
      <c r="E30" s="8">
        <v>44741</v>
      </c>
      <c r="F30" s="5" t="s">
        <v>6</v>
      </c>
      <c r="G30" s="5" t="s">
        <v>36</v>
      </c>
      <c r="H30" s="5" t="s">
        <v>21</v>
      </c>
      <c r="I30" s="4" t="s">
        <v>21</v>
      </c>
      <c r="J30" s="4" t="s">
        <v>21</v>
      </c>
      <c r="K30" s="1" t="e">
        <f>VLOOKUP(Table1[[#This Row],[Species ]],eq!$A$3:$B$13,2,)</f>
        <v>#N/A</v>
      </c>
      <c r="L30" s="1" t="e">
        <f t="shared" si="0"/>
        <v>#N/A</v>
      </c>
      <c r="M30" s="1" t="e" cm="1">
        <f t="array" ref="M30">eval_tr</f>
        <v>#N/A</v>
      </c>
      <c r="N30" s="1">
        <f t="shared" si="1"/>
        <v>0</v>
      </c>
      <c r="O30" s="1" t="str">
        <f t="shared" si="2"/>
        <v>GM-05-CTRL</v>
      </c>
      <c r="P30" s="1">
        <f>VLOOKUP(O30,teams!$A$1:$B$47,2,)</f>
        <v>1</v>
      </c>
    </row>
    <row r="31" spans="1:16" ht="15.75" customHeight="1" x14ac:dyDescent="0.15">
      <c r="A31" s="5" t="s">
        <v>18</v>
      </c>
      <c r="B31" s="5">
        <v>5</v>
      </c>
      <c r="C31" s="6" t="s">
        <v>22</v>
      </c>
      <c r="D31" s="5" t="s">
        <v>30</v>
      </c>
      <c r="E31" s="8">
        <v>44741</v>
      </c>
      <c r="F31" s="5" t="s">
        <v>7</v>
      </c>
      <c r="G31" s="5" t="s">
        <v>34</v>
      </c>
      <c r="H31" s="5" t="s">
        <v>21</v>
      </c>
      <c r="I31" s="4" t="s">
        <v>21</v>
      </c>
      <c r="J31" s="4" t="s">
        <v>21</v>
      </c>
      <c r="K31" s="1" t="e">
        <f>VLOOKUP(Table1[[#This Row],[Species ]],eq!$A$3:$B$13,2,)</f>
        <v>#N/A</v>
      </c>
      <c r="L31" s="1" t="e">
        <f t="shared" si="0"/>
        <v>#N/A</v>
      </c>
      <c r="M31" s="1" t="e" cm="1">
        <f t="array" ref="M31">eval_tr</f>
        <v>#N/A</v>
      </c>
      <c r="N31" s="1">
        <f t="shared" si="1"/>
        <v>0</v>
      </c>
      <c r="O31" s="1" t="str">
        <f t="shared" si="2"/>
        <v>GM-05-CTRL</v>
      </c>
      <c r="P31" s="1">
        <f>VLOOKUP(O31,teams!$A$1:$B$47,2,)</f>
        <v>1</v>
      </c>
    </row>
    <row r="32" spans="1:16" ht="15.75" customHeight="1" x14ac:dyDescent="0.15">
      <c r="A32" s="5" t="s">
        <v>18</v>
      </c>
      <c r="B32" s="5">
        <v>5</v>
      </c>
      <c r="C32" s="6" t="s">
        <v>22</v>
      </c>
      <c r="D32" s="5" t="s">
        <v>30</v>
      </c>
      <c r="E32" s="8">
        <v>44741</v>
      </c>
      <c r="F32" s="5" t="s">
        <v>9</v>
      </c>
      <c r="G32" s="5" t="s">
        <v>37</v>
      </c>
      <c r="H32" s="5" t="s">
        <v>21</v>
      </c>
      <c r="I32" s="4" t="s">
        <v>21</v>
      </c>
      <c r="J32" s="4" t="s">
        <v>21</v>
      </c>
      <c r="K32" s="1" t="e">
        <f>VLOOKUP(Table1[[#This Row],[Species ]],eq!$A$3:$B$13,2,)</f>
        <v>#N/A</v>
      </c>
      <c r="L32" s="1" t="e">
        <f t="shared" si="0"/>
        <v>#N/A</v>
      </c>
      <c r="M32" s="1" t="e" cm="1">
        <f t="array" ref="M32">eval_tr</f>
        <v>#N/A</v>
      </c>
      <c r="N32" s="1">
        <f t="shared" si="1"/>
        <v>0</v>
      </c>
      <c r="O32" s="1" t="str">
        <f t="shared" si="2"/>
        <v>GM-05-CTRL</v>
      </c>
      <c r="P32" s="1">
        <f>VLOOKUP(O32,teams!$A$1:$B$47,2,)</f>
        <v>1</v>
      </c>
    </row>
    <row r="33" spans="1:16" ht="15.75" customHeight="1" x14ac:dyDescent="0.15">
      <c r="A33" s="5" t="s">
        <v>18</v>
      </c>
      <c r="B33" s="5">
        <v>5</v>
      </c>
      <c r="C33" s="5" t="s">
        <v>23</v>
      </c>
      <c r="D33" s="5" t="s">
        <v>30</v>
      </c>
      <c r="E33" s="8">
        <v>44741</v>
      </c>
      <c r="F33" s="5" t="s">
        <v>5</v>
      </c>
      <c r="G33" s="5" t="s">
        <v>35</v>
      </c>
      <c r="H33" s="5" t="s">
        <v>11</v>
      </c>
      <c r="I33" s="4">
        <v>4.5</v>
      </c>
      <c r="J33" s="4">
        <v>2.5</v>
      </c>
      <c r="K33" s="1" t="str">
        <f>VLOOKUP(Table1[[#This Row],[Species ]],eq!$A$3:$B$13,2,)</f>
        <v>((0.0259*(X4^1.9044)*X2^0.9715)+(0.0069*(X4^2.0834)*X2^0.5371)+(0.0325*(X4^2.3851)*X2^0)+(0.1683*(X4^1.2764)*X2^0))*1000</v>
      </c>
      <c r="L33" s="1" t="str">
        <f t="shared" si="0"/>
        <v>((0.0259*(2.5^1.9044)*4.5^0.9715)+(0.0069*(2.5^2.0834)*4.5^0.5371)+(0.0325*(2.5^2.3851)*4.5^0)+(0.1683*(2.5^1.2764)*4.5^0))*1000</v>
      </c>
      <c r="M33" s="1" cm="1">
        <f t="array" ref="M33">eval_tr</f>
        <v>1574.8489206895194</v>
      </c>
      <c r="N33" s="1">
        <f t="shared" si="1"/>
        <v>1574.8489206895194</v>
      </c>
      <c r="O33" s="1" t="str">
        <f t="shared" si="2"/>
        <v>GM-05-EX</v>
      </c>
      <c r="P33" s="1">
        <f>VLOOKUP(O33,teams!$A$1:$B$47,2,)</f>
        <v>1</v>
      </c>
    </row>
    <row r="34" spans="1:16" ht="15.75" customHeight="1" x14ac:dyDescent="0.15">
      <c r="A34" s="5" t="s">
        <v>18</v>
      </c>
      <c r="B34" s="5">
        <v>5</v>
      </c>
      <c r="C34" s="5" t="s">
        <v>23</v>
      </c>
      <c r="D34" s="5" t="s">
        <v>30</v>
      </c>
      <c r="E34" s="8">
        <v>44741</v>
      </c>
      <c r="F34" s="5" t="s">
        <v>5</v>
      </c>
      <c r="G34" s="5" t="s">
        <v>35</v>
      </c>
      <c r="H34" s="5" t="s">
        <v>11</v>
      </c>
      <c r="I34" s="4">
        <v>3.14</v>
      </c>
      <c r="J34" s="4">
        <v>3</v>
      </c>
      <c r="K34" s="1" t="str">
        <f>VLOOKUP(Table1[[#This Row],[Species ]],eq!$A$3:$B$13,2,)</f>
        <v>((0.0259*(X4^1.9044)*X2^0.9715)+(0.0069*(X4^2.0834)*X2^0.5371)+(0.0325*(X4^2.3851)*X2^0)+(0.1683*(X4^1.2764)*X2^0))*1000</v>
      </c>
      <c r="L34" s="1" t="str">
        <f t="shared" si="0"/>
        <v>((0.0259*(3^1.9044)*3.14^0.9715)+(0.0069*(3^2.0834)*3.14^0.5371)+(0.0325*(3^2.3851)*3.14^0)+(0.1683*(3^1.2764)*3.14^0))*1000</v>
      </c>
      <c r="M34" s="1" cm="1">
        <f t="array" ref="M34">eval_tr</f>
        <v>1894.2331964128011</v>
      </c>
      <c r="N34" s="1">
        <f t="shared" si="1"/>
        <v>1894.2331964128011</v>
      </c>
      <c r="O34" s="1" t="str">
        <f t="shared" si="2"/>
        <v>GM-05-EX</v>
      </c>
      <c r="P34" s="1">
        <f>VLOOKUP(O34,teams!$A$1:$B$47,2,)</f>
        <v>1</v>
      </c>
    </row>
    <row r="35" spans="1:16" ht="15.75" customHeight="1" x14ac:dyDescent="0.15">
      <c r="A35" s="5" t="s">
        <v>18</v>
      </c>
      <c r="B35" s="5">
        <v>5</v>
      </c>
      <c r="C35" s="5" t="s">
        <v>23</v>
      </c>
      <c r="D35" s="5" t="s">
        <v>30</v>
      </c>
      <c r="E35" s="8">
        <v>44741</v>
      </c>
      <c r="F35" s="5" t="s">
        <v>5</v>
      </c>
      <c r="G35" s="5" t="s">
        <v>35</v>
      </c>
      <c r="H35" s="5" t="s">
        <v>11</v>
      </c>
      <c r="I35" s="4">
        <v>5</v>
      </c>
      <c r="J35" s="4">
        <v>3</v>
      </c>
      <c r="K35" s="1" t="str">
        <f>VLOOKUP(Table1[[#This Row],[Species ]],eq!$A$3:$B$13,2,)</f>
        <v>((0.0259*(X4^1.9044)*X2^0.9715)+(0.0069*(X4^2.0834)*X2^0.5371)+(0.0325*(X4^2.3851)*X2^0)+(0.1683*(X4^1.2764)*X2^0))*1000</v>
      </c>
      <c r="L35" s="1" t="str">
        <f t="shared" si="0"/>
        <v>((0.0259*(3^1.9044)*5^0.9715)+(0.0069*(3^2.0834)*5^0.5371)+(0.0325*(3^2.3851)*5^0)+(0.1683*(3^1.2764)*5^0))*1000</v>
      </c>
      <c r="M35" s="1" cm="1">
        <f t="array" ref="M35">eval_tr</f>
        <v>2294.38925910938</v>
      </c>
      <c r="N35" s="1">
        <f t="shared" si="1"/>
        <v>2294.38925910938</v>
      </c>
      <c r="O35" s="1" t="str">
        <f t="shared" si="2"/>
        <v>GM-05-EX</v>
      </c>
      <c r="P35" s="1">
        <f>VLOOKUP(O35,teams!$A$1:$B$47,2,)</f>
        <v>1</v>
      </c>
    </row>
    <row r="36" spans="1:16" ht="15.75" customHeight="1" x14ac:dyDescent="0.15">
      <c r="A36" s="5" t="s">
        <v>18</v>
      </c>
      <c r="B36" s="5">
        <v>5</v>
      </c>
      <c r="C36" s="5" t="s">
        <v>23</v>
      </c>
      <c r="D36" s="5" t="s">
        <v>30</v>
      </c>
      <c r="E36" s="8">
        <v>44741</v>
      </c>
      <c r="F36" s="5" t="s">
        <v>5</v>
      </c>
      <c r="G36" s="5" t="s">
        <v>35</v>
      </c>
      <c r="H36" s="5" t="s">
        <v>11</v>
      </c>
      <c r="I36" s="4">
        <v>6</v>
      </c>
      <c r="J36" s="4">
        <v>3.25</v>
      </c>
      <c r="K36" s="1" t="str">
        <f>VLOOKUP(Table1[[#This Row],[Species ]],eq!$A$3:$B$13,2,)</f>
        <v>((0.0259*(X4^1.9044)*X2^0.9715)+(0.0069*(X4^2.0834)*X2^0.5371)+(0.0325*(X4^2.3851)*X2^0)+(0.1683*(X4^1.2764)*X2^0))*1000</v>
      </c>
      <c r="L36" s="1" t="str">
        <f t="shared" si="0"/>
        <v>((0.0259*(3.25^1.9044)*6^0.9715)+(0.0069*(3.25^2.0834)*6^0.5371)+(0.0325*(3.25^2.3851)*6^0)+(0.1683*(3.25^1.2764)*6^0))*1000</v>
      </c>
      <c r="M36" s="1" cm="1">
        <f t="array" ref="M36">eval_tr</f>
        <v>2902.0885806590145</v>
      </c>
      <c r="N36" s="1">
        <f t="shared" si="1"/>
        <v>2902.0885806590145</v>
      </c>
      <c r="O36" s="1" t="str">
        <f t="shared" si="2"/>
        <v>GM-05-EX</v>
      </c>
      <c r="P36" s="1">
        <f>VLOOKUP(O36,teams!$A$1:$B$47,2,)</f>
        <v>1</v>
      </c>
    </row>
    <row r="37" spans="1:16" ht="15.75" customHeight="1" x14ac:dyDescent="0.15">
      <c r="A37" s="5" t="s">
        <v>18</v>
      </c>
      <c r="B37" s="5">
        <v>5</v>
      </c>
      <c r="C37" s="5" t="s">
        <v>23</v>
      </c>
      <c r="D37" s="5" t="s">
        <v>30</v>
      </c>
      <c r="E37" s="8">
        <v>44741</v>
      </c>
      <c r="F37" s="5" t="s">
        <v>7</v>
      </c>
      <c r="G37" s="5" t="s">
        <v>34</v>
      </c>
      <c r="H37" s="3" t="s">
        <v>10</v>
      </c>
      <c r="I37" s="4">
        <v>5</v>
      </c>
      <c r="J37" s="4">
        <v>4.75</v>
      </c>
      <c r="K37" s="1" t="str">
        <f>VLOOKUP(Table1[[#This Row],[Species ]],eq!$A$3:$B$13,2,)</f>
        <v>((0.0294*(X4^1.8357)*X2^0.864)+(0.0053*(X4^2.0876)*X2^0.5842)+(0.0117*(X4^3.5097)*X2^-1.3006)+(0.1245*(X4^2.523)*X2^-1.123))*1000</v>
      </c>
      <c r="L37" s="1" t="str">
        <f t="shared" si="0"/>
        <v>((0.0294*(4.75^1.8357)*5^0.864)+(0.0053*(4.75^2.0876)*5^0.5842)+(0.0117*(4.75^3.5097)*5^-1.3006)+(0.1245*(4.75^2.523)*5^-1.123))*1000</v>
      </c>
      <c r="M37" s="1" cm="1">
        <f t="array" ref="M37">eval_tr</f>
        <v>3797.0414641626762</v>
      </c>
      <c r="N37" s="1">
        <f t="shared" si="1"/>
        <v>3797.0414641626762</v>
      </c>
      <c r="O37" s="1" t="str">
        <f t="shared" si="2"/>
        <v>GM-05-EX</v>
      </c>
      <c r="P37" s="1">
        <f>VLOOKUP(O37,teams!$A$1:$B$47,2,)</f>
        <v>1</v>
      </c>
    </row>
    <row r="38" spans="1:16" ht="15.75" customHeight="1" x14ac:dyDescent="0.15">
      <c r="A38" s="5" t="s">
        <v>18</v>
      </c>
      <c r="B38" s="5">
        <v>5</v>
      </c>
      <c r="C38" s="5" t="s">
        <v>23</v>
      </c>
      <c r="D38" s="5" t="s">
        <v>30</v>
      </c>
      <c r="E38" s="8">
        <v>44741</v>
      </c>
      <c r="F38" s="5" t="s">
        <v>7</v>
      </c>
      <c r="G38" s="5" t="s">
        <v>34</v>
      </c>
      <c r="H38" s="3" t="s">
        <v>10</v>
      </c>
      <c r="I38" s="4">
        <v>5.5</v>
      </c>
      <c r="J38" s="4">
        <v>5.5</v>
      </c>
      <c r="K38" s="1" t="str">
        <f>VLOOKUP(Table1[[#This Row],[Species ]],eq!$A$3:$B$13,2,)</f>
        <v>((0.0294*(X4^1.8357)*X2^0.864)+(0.0053*(X4^2.0876)*X2^0.5842)+(0.0117*(X4^3.5097)*X2^-1.3006)+(0.1245*(X4^2.523)*X2^-1.123))*1000</v>
      </c>
      <c r="L38" s="1" t="str">
        <f t="shared" si="0"/>
        <v>((0.0294*(5.5^1.8357)*5.5^0.864)+(0.0053*(5.5^2.0876)*5.5^0.5842)+(0.0117*(5.5^3.5097)*5.5^-1.3006)+(0.1245*(5.5^2.523)*5.5^-1.123))*1000</v>
      </c>
      <c r="M38" s="1" cm="1">
        <f t="array" ref="M38">eval_tr</f>
        <v>5295.2183666215424</v>
      </c>
      <c r="N38" s="1">
        <f t="shared" si="1"/>
        <v>5295.2183666215424</v>
      </c>
      <c r="O38" s="1" t="str">
        <f t="shared" si="2"/>
        <v>GM-05-EX</v>
      </c>
      <c r="P38" s="1">
        <f>VLOOKUP(O38,teams!$A$1:$B$47,2,)</f>
        <v>1</v>
      </c>
    </row>
    <row r="39" spans="1:16" ht="15.75" customHeight="1" x14ac:dyDescent="0.15">
      <c r="A39" s="5" t="s">
        <v>18</v>
      </c>
      <c r="B39" s="5">
        <v>5</v>
      </c>
      <c r="C39" s="5" t="s">
        <v>23</v>
      </c>
      <c r="D39" s="5" t="s">
        <v>30</v>
      </c>
      <c r="E39" s="8">
        <v>44741</v>
      </c>
      <c r="F39" s="5" t="s">
        <v>6</v>
      </c>
      <c r="G39" s="5" t="s">
        <v>36</v>
      </c>
      <c r="H39" s="5" t="s">
        <v>15</v>
      </c>
      <c r="I39" s="4">
        <v>7</v>
      </c>
      <c r="J39" s="4">
        <v>5</v>
      </c>
      <c r="K39" s="1" t="str">
        <f>VLOOKUP(Table1[[#This Row],[Species ]],eq!$A$3:$B$13,2,)</f>
        <v>((0.0259*(X4^1.9044)*X2^0.9715)+(0.0069*(X4^2.0834)*X2^0.5371)+(0.0325*(X4^2.3851)*X2^0)+(0.1683*(X4^1.2764)*X2^0))*1000</v>
      </c>
      <c r="L39" s="1" t="str">
        <f t="shared" si="0"/>
        <v>((0.0259*(5^1.9044)*7^0.9715)+(0.0069*(5^2.0834)*7^0.5371)+(0.0325*(5^2.3851)*7^0)+(0.1683*(5^1.2764)*7^0))*1000</v>
      </c>
      <c r="M39" s="1" cm="1">
        <f t="array" ref="M39">eval_tr</f>
        <v>7060.5212145389187</v>
      </c>
      <c r="N39" s="1">
        <f t="shared" si="1"/>
        <v>7060.5212145389187</v>
      </c>
      <c r="O39" s="1" t="str">
        <f t="shared" si="2"/>
        <v>GM-05-EX</v>
      </c>
      <c r="P39" s="1">
        <f>VLOOKUP(O39,teams!$A$1:$B$47,2,)</f>
        <v>1</v>
      </c>
    </row>
    <row r="40" spans="1:16" ht="15.75" customHeight="1" x14ac:dyDescent="0.15">
      <c r="A40" s="5" t="s">
        <v>18</v>
      </c>
      <c r="B40" s="5">
        <v>5</v>
      </c>
      <c r="C40" s="5" t="s">
        <v>23</v>
      </c>
      <c r="D40" s="5" t="s">
        <v>30</v>
      </c>
      <c r="E40" s="8">
        <v>44741</v>
      </c>
      <c r="F40" s="5" t="s">
        <v>6</v>
      </c>
      <c r="G40" s="5" t="s">
        <v>36</v>
      </c>
      <c r="H40" s="5" t="s">
        <v>15</v>
      </c>
      <c r="I40" s="4">
        <v>9</v>
      </c>
      <c r="J40" s="4">
        <v>7.5</v>
      </c>
      <c r="K40" s="1" t="str">
        <f>VLOOKUP(Table1[[#This Row],[Species ]],eq!$A$3:$B$13,2,)</f>
        <v>((0.0259*(X4^1.9044)*X2^0.9715)+(0.0069*(X4^2.0834)*X2^0.5371)+(0.0325*(X4^2.3851)*X2^0)+(0.1683*(X4^1.2764)*X2^0))*1000</v>
      </c>
      <c r="L40" s="1" t="str">
        <f t="shared" si="0"/>
        <v>((0.0259*(7.5^1.9044)*9^0.9715)+(0.0069*(7.5^2.0834)*9^0.5371)+(0.0325*(7.5^2.3851)*9^0)+(0.1683*(7.5^1.2764)*9^0))*1000</v>
      </c>
      <c r="M40" s="1" cm="1">
        <f t="array" ref="M40">eval_tr</f>
        <v>17827.373206074557</v>
      </c>
      <c r="N40" s="1">
        <f t="shared" si="1"/>
        <v>17827.373206074557</v>
      </c>
      <c r="O40" s="1" t="str">
        <f t="shared" si="2"/>
        <v>GM-05-EX</v>
      </c>
      <c r="P40" s="1">
        <f>VLOOKUP(O40,teams!$A$1:$B$47,2,)</f>
        <v>1</v>
      </c>
    </row>
    <row r="41" spans="1:16" ht="15.75" customHeight="1" x14ac:dyDescent="0.15">
      <c r="A41" s="5" t="s">
        <v>18</v>
      </c>
      <c r="B41" s="5">
        <v>5</v>
      </c>
      <c r="C41" s="5" t="s">
        <v>23</v>
      </c>
      <c r="D41" s="5" t="s">
        <v>30</v>
      </c>
      <c r="E41" s="8">
        <v>44741</v>
      </c>
      <c r="F41" s="5" t="s">
        <v>6</v>
      </c>
      <c r="G41" s="5" t="s">
        <v>36</v>
      </c>
      <c r="H41" s="3" t="s">
        <v>10</v>
      </c>
      <c r="I41" s="4">
        <v>6</v>
      </c>
      <c r="J41" s="4">
        <v>11</v>
      </c>
      <c r="K41" s="1" t="str">
        <f>VLOOKUP(Table1[[#This Row],[Species ]],eq!$A$3:$B$13,2,)</f>
        <v>((0.0294*(X4^1.8357)*X2^0.864)+(0.0053*(X4^2.0876)*X2^0.5842)+(0.0117*(X4^3.5097)*X2^-1.3006)+(0.1245*(X4^2.523)*X2^-1.123))*1000</v>
      </c>
      <c r="L41" s="1" t="str">
        <f t="shared" si="0"/>
        <v>((0.0294*(11^1.8357)*6^0.864)+(0.0053*(11^2.0876)*6^0.5842)+(0.0117*(11^3.5097)*6^-1.3006)+(0.1245*(11^2.523)*6^-1.123))*1000</v>
      </c>
      <c r="M41" s="1" cm="1">
        <f t="array" ref="M41">eval_tr</f>
        <v>25735.349471776659</v>
      </c>
      <c r="N41" s="1">
        <f t="shared" si="1"/>
        <v>25735.349471776659</v>
      </c>
      <c r="O41" s="1" t="str">
        <f t="shared" si="2"/>
        <v>GM-05-EX</v>
      </c>
      <c r="P41" s="1">
        <f>VLOOKUP(O41,teams!$A$1:$B$47,2,)</f>
        <v>1</v>
      </c>
    </row>
    <row r="42" spans="1:16" ht="15.75" customHeight="1" x14ac:dyDescent="0.15">
      <c r="A42" s="5" t="s">
        <v>18</v>
      </c>
      <c r="B42" s="5">
        <v>5</v>
      </c>
      <c r="C42" s="5" t="s">
        <v>23</v>
      </c>
      <c r="D42" s="5" t="s">
        <v>30</v>
      </c>
      <c r="E42" s="8">
        <v>44741</v>
      </c>
      <c r="F42" s="5" t="s">
        <v>7</v>
      </c>
      <c r="G42" s="5" t="s">
        <v>34</v>
      </c>
      <c r="H42" s="3" t="s">
        <v>10</v>
      </c>
      <c r="I42" s="4">
        <v>10</v>
      </c>
      <c r="J42" s="4">
        <v>13</v>
      </c>
      <c r="K42" s="1" t="str">
        <f>VLOOKUP(Table1[[#This Row],[Species ]],eq!$A$3:$B$13,2,)</f>
        <v>((0.0294*(X4^1.8357)*X2^0.864)+(0.0053*(X4^2.0876)*X2^0.5842)+(0.0117*(X4^3.5097)*X2^-1.3006)+(0.1245*(X4^2.523)*X2^-1.123))*1000</v>
      </c>
      <c r="L42" s="1" t="str">
        <f t="shared" si="0"/>
        <v>((0.0294*(13^1.8357)*10^0.864)+(0.0053*(13^2.0876)*10^0.5842)+(0.0117*(13^3.5097)*10^-1.3006)+(0.1245*(13^2.523)*10^-1.123))*1000</v>
      </c>
      <c r="M42" s="1" cm="1">
        <f t="array" ref="M42">eval_tr</f>
        <v>38957.517626040411</v>
      </c>
      <c r="N42" s="1">
        <f t="shared" si="1"/>
        <v>38957.517626040411</v>
      </c>
      <c r="O42" s="1" t="str">
        <f t="shared" si="2"/>
        <v>GM-05-EX</v>
      </c>
      <c r="P42" s="1">
        <f>VLOOKUP(O42,teams!$A$1:$B$47,2,)</f>
        <v>1</v>
      </c>
    </row>
    <row r="43" spans="1:16" ht="15.75" customHeight="1" x14ac:dyDescent="0.15">
      <c r="A43" s="5" t="s">
        <v>18</v>
      </c>
      <c r="B43" s="6">
        <v>6</v>
      </c>
      <c r="C43" s="6" t="s">
        <v>21</v>
      </c>
      <c r="D43" s="5" t="s">
        <v>30</v>
      </c>
      <c r="E43" s="8">
        <v>44740</v>
      </c>
      <c r="F43" s="6" t="s">
        <v>9</v>
      </c>
      <c r="G43" s="6" t="s">
        <v>37</v>
      </c>
      <c r="H43" s="6" t="s">
        <v>15</v>
      </c>
      <c r="I43" s="2">
        <v>12.2</v>
      </c>
      <c r="J43" s="2">
        <v>21.75</v>
      </c>
      <c r="K43" s="1" t="str">
        <f>VLOOKUP(Table1[[#This Row],[Species ]],eq!$A$3:$B$13,2,)</f>
        <v>((0.0259*(X4^1.9044)*X2^0.9715)+(0.0069*(X4^2.0834)*X2^0.5371)+(0.0325*(X4^2.3851)*X2^0)+(0.1683*(X4^1.2764)*X2^0))*1000</v>
      </c>
      <c r="L43" s="1" t="str">
        <f t="shared" si="0"/>
        <v>((0.0259*(21.75^1.9044)*12.2^0.9715)+(0.0069*(21.75^2.0834)*12.2^0.5371)+(0.0325*(21.75^2.3851)*12.2^0)+(0.1683*(21.75^1.2764)*12.2^0))*1000</v>
      </c>
      <c r="M43" s="1" cm="1">
        <f t="array" ref="M43">eval_tr</f>
        <v>178775.89488984778</v>
      </c>
      <c r="N43" s="1">
        <f t="shared" si="1"/>
        <v>178775.89488984778</v>
      </c>
      <c r="O43" s="1" t="str">
        <f t="shared" si="2"/>
        <v>GM-06-NA</v>
      </c>
      <c r="P43" s="1">
        <f>VLOOKUP(O43,teams!$A$1:$B$47,2,)</f>
        <v>1</v>
      </c>
    </row>
    <row r="44" spans="1:16" ht="15.75" customHeight="1" x14ac:dyDescent="0.15">
      <c r="A44" s="5" t="s">
        <v>18</v>
      </c>
      <c r="B44" s="6">
        <v>6</v>
      </c>
      <c r="C44" s="6" t="s">
        <v>21</v>
      </c>
      <c r="D44" s="5" t="s">
        <v>30</v>
      </c>
      <c r="E44" s="8">
        <v>44740</v>
      </c>
      <c r="F44" s="6" t="s">
        <v>5</v>
      </c>
      <c r="G44" s="6" t="s">
        <v>35</v>
      </c>
      <c r="H44" s="6" t="s">
        <v>21</v>
      </c>
      <c r="I44" s="2" t="s">
        <v>21</v>
      </c>
      <c r="J44" s="2" t="s">
        <v>21</v>
      </c>
      <c r="K44" s="1" t="e">
        <f>VLOOKUP(Table1[[#This Row],[Species ]],eq!$A$3:$B$13,2,)</f>
        <v>#N/A</v>
      </c>
      <c r="L44" s="1" t="e">
        <f t="shared" si="0"/>
        <v>#N/A</v>
      </c>
      <c r="M44" s="1" t="e" cm="1">
        <f t="array" ref="M44">eval_tr</f>
        <v>#N/A</v>
      </c>
      <c r="N44" s="1">
        <f t="shared" si="1"/>
        <v>0</v>
      </c>
      <c r="O44" s="1" t="str">
        <f t="shared" si="2"/>
        <v>GM-06-NA</v>
      </c>
      <c r="P44" s="1">
        <f>VLOOKUP(O44,teams!$A$1:$B$47,2,)</f>
        <v>1</v>
      </c>
    </row>
    <row r="45" spans="1:16" ht="15.75" customHeight="1" x14ac:dyDescent="0.15">
      <c r="A45" s="5" t="s">
        <v>18</v>
      </c>
      <c r="B45" s="6">
        <v>6</v>
      </c>
      <c r="C45" s="6" t="s">
        <v>21</v>
      </c>
      <c r="D45" s="5" t="s">
        <v>30</v>
      </c>
      <c r="E45" s="8">
        <v>44740</v>
      </c>
      <c r="F45" s="6" t="s">
        <v>6</v>
      </c>
      <c r="G45" s="6" t="s">
        <v>36</v>
      </c>
      <c r="H45" s="6" t="s">
        <v>21</v>
      </c>
      <c r="I45" s="2" t="s">
        <v>21</v>
      </c>
      <c r="J45" s="2" t="s">
        <v>21</v>
      </c>
      <c r="K45" s="1" t="e">
        <f>VLOOKUP(Table1[[#This Row],[Species ]],eq!$A$3:$B$13,2,)</f>
        <v>#N/A</v>
      </c>
      <c r="L45" s="1" t="e">
        <f t="shared" si="0"/>
        <v>#N/A</v>
      </c>
      <c r="M45" s="1" t="e" cm="1">
        <f t="array" ref="M45">eval_tr</f>
        <v>#N/A</v>
      </c>
      <c r="N45" s="1">
        <f t="shared" si="1"/>
        <v>0</v>
      </c>
      <c r="O45" s="1" t="str">
        <f t="shared" si="2"/>
        <v>GM-06-NA</v>
      </c>
      <c r="P45" s="1">
        <f>VLOOKUP(O45,teams!$A$1:$B$47,2,)</f>
        <v>1</v>
      </c>
    </row>
    <row r="46" spans="1:16" ht="15.75" customHeight="1" x14ac:dyDescent="0.15">
      <c r="A46" s="5" t="s">
        <v>18</v>
      </c>
      <c r="B46" s="6">
        <v>6</v>
      </c>
      <c r="C46" s="6" t="s">
        <v>21</v>
      </c>
      <c r="D46" s="5" t="s">
        <v>30</v>
      </c>
      <c r="E46" s="8">
        <v>44740</v>
      </c>
      <c r="F46" s="6" t="s">
        <v>7</v>
      </c>
      <c r="G46" s="6" t="s">
        <v>34</v>
      </c>
      <c r="H46" s="6" t="s">
        <v>21</v>
      </c>
      <c r="I46" s="2" t="s">
        <v>21</v>
      </c>
      <c r="J46" s="2" t="s">
        <v>21</v>
      </c>
      <c r="K46" s="1" t="e">
        <f>VLOOKUP(Table1[[#This Row],[Species ]],eq!$A$3:$B$13,2,)</f>
        <v>#N/A</v>
      </c>
      <c r="L46" s="1" t="e">
        <f t="shared" si="0"/>
        <v>#N/A</v>
      </c>
      <c r="M46" s="1" t="e" cm="1">
        <f t="array" ref="M46">eval_tr</f>
        <v>#N/A</v>
      </c>
      <c r="N46" s="1">
        <f t="shared" si="1"/>
        <v>0</v>
      </c>
      <c r="O46" s="1" t="str">
        <f t="shared" si="2"/>
        <v>GM-06-NA</v>
      </c>
      <c r="P46" s="1">
        <f>VLOOKUP(O46,teams!$A$1:$B$47,2,)</f>
        <v>1</v>
      </c>
    </row>
    <row r="47" spans="1:16" ht="15.75" customHeight="1" x14ac:dyDescent="0.15">
      <c r="A47" s="5" t="s">
        <v>18</v>
      </c>
      <c r="B47" s="5">
        <v>7</v>
      </c>
      <c r="C47" s="6" t="s">
        <v>21</v>
      </c>
      <c r="D47" s="5" t="s">
        <v>30</v>
      </c>
      <c r="E47" s="8">
        <v>44742</v>
      </c>
      <c r="F47" s="5" t="s">
        <v>5</v>
      </c>
      <c r="G47" s="5" t="s">
        <v>35</v>
      </c>
      <c r="H47" s="5" t="s">
        <v>21</v>
      </c>
      <c r="I47" s="4" t="s">
        <v>21</v>
      </c>
      <c r="J47" s="4" t="s">
        <v>21</v>
      </c>
      <c r="K47" s="1" t="e">
        <f>VLOOKUP(Table1[[#This Row],[Species ]],eq!$A$3:$B$13,2,)</f>
        <v>#N/A</v>
      </c>
      <c r="L47" s="1" t="e">
        <f t="shared" si="0"/>
        <v>#N/A</v>
      </c>
      <c r="M47" s="1" t="e" cm="1">
        <f t="array" ref="M47">eval_tr</f>
        <v>#N/A</v>
      </c>
      <c r="N47" s="1">
        <f t="shared" si="1"/>
        <v>0</v>
      </c>
      <c r="O47" s="1" t="str">
        <f t="shared" si="2"/>
        <v>GM-07-NA</v>
      </c>
      <c r="P47" s="1">
        <f>VLOOKUP(O47,teams!$A$1:$B$47,2,)</f>
        <v>1</v>
      </c>
    </row>
    <row r="48" spans="1:16" ht="15.75" customHeight="1" x14ac:dyDescent="0.15">
      <c r="A48" s="5" t="s">
        <v>18</v>
      </c>
      <c r="B48" s="5">
        <v>7</v>
      </c>
      <c r="C48" s="6" t="s">
        <v>21</v>
      </c>
      <c r="D48" s="5" t="s">
        <v>30</v>
      </c>
      <c r="E48" s="8">
        <v>44742</v>
      </c>
      <c r="F48" s="5" t="s">
        <v>6</v>
      </c>
      <c r="G48" s="5" t="s">
        <v>36</v>
      </c>
      <c r="H48" s="5" t="s">
        <v>21</v>
      </c>
      <c r="I48" s="4" t="s">
        <v>21</v>
      </c>
      <c r="J48" s="4" t="s">
        <v>21</v>
      </c>
      <c r="K48" s="1" t="e">
        <f>VLOOKUP(Table1[[#This Row],[Species ]],eq!$A$3:$B$13,2,)</f>
        <v>#N/A</v>
      </c>
      <c r="L48" s="1" t="e">
        <f t="shared" si="0"/>
        <v>#N/A</v>
      </c>
      <c r="M48" s="1" t="e" cm="1">
        <f t="array" ref="M48">eval_tr</f>
        <v>#N/A</v>
      </c>
      <c r="N48" s="1">
        <f t="shared" si="1"/>
        <v>0</v>
      </c>
      <c r="O48" s="1" t="str">
        <f t="shared" si="2"/>
        <v>GM-07-NA</v>
      </c>
      <c r="P48" s="1">
        <f>VLOOKUP(O48,teams!$A$1:$B$47,2,)</f>
        <v>1</v>
      </c>
    </row>
    <row r="49" spans="1:16" ht="15.75" customHeight="1" x14ac:dyDescent="0.15">
      <c r="A49" s="5" t="s">
        <v>18</v>
      </c>
      <c r="B49" s="5">
        <v>7</v>
      </c>
      <c r="C49" s="6" t="s">
        <v>21</v>
      </c>
      <c r="D49" s="5" t="s">
        <v>30</v>
      </c>
      <c r="E49" s="8">
        <v>44742</v>
      </c>
      <c r="F49" s="5" t="s">
        <v>7</v>
      </c>
      <c r="G49" s="5" t="s">
        <v>34</v>
      </c>
      <c r="H49" s="5" t="s">
        <v>21</v>
      </c>
      <c r="I49" s="4" t="s">
        <v>21</v>
      </c>
      <c r="J49" s="4" t="s">
        <v>21</v>
      </c>
      <c r="K49" s="1" t="e">
        <f>VLOOKUP(Table1[[#This Row],[Species ]],eq!$A$3:$B$13,2,)</f>
        <v>#N/A</v>
      </c>
      <c r="L49" s="1" t="e">
        <f t="shared" si="0"/>
        <v>#N/A</v>
      </c>
      <c r="M49" s="1" t="e" cm="1">
        <f t="array" ref="M49">eval_tr</f>
        <v>#N/A</v>
      </c>
      <c r="N49" s="1">
        <f t="shared" si="1"/>
        <v>0</v>
      </c>
      <c r="O49" s="1" t="str">
        <f t="shared" si="2"/>
        <v>GM-07-NA</v>
      </c>
      <c r="P49" s="1">
        <f>VLOOKUP(O49,teams!$A$1:$B$47,2,)</f>
        <v>1</v>
      </c>
    </row>
    <row r="50" spans="1:16" ht="15.75" customHeight="1" x14ac:dyDescent="0.15">
      <c r="A50" s="5" t="s">
        <v>18</v>
      </c>
      <c r="B50" s="5">
        <v>7</v>
      </c>
      <c r="C50" s="6" t="s">
        <v>21</v>
      </c>
      <c r="D50" s="5" t="s">
        <v>30</v>
      </c>
      <c r="E50" s="8">
        <v>44742</v>
      </c>
      <c r="F50" s="5" t="s">
        <v>9</v>
      </c>
      <c r="G50" s="5" t="s">
        <v>37</v>
      </c>
      <c r="H50" s="5" t="s">
        <v>21</v>
      </c>
      <c r="I50" s="4" t="s">
        <v>21</v>
      </c>
      <c r="J50" s="4" t="s">
        <v>21</v>
      </c>
      <c r="K50" s="1" t="e">
        <f>VLOOKUP(Table1[[#This Row],[Species ]],eq!$A$3:$B$13,2,)</f>
        <v>#N/A</v>
      </c>
      <c r="L50" s="1" t="e">
        <f t="shared" si="0"/>
        <v>#N/A</v>
      </c>
      <c r="M50" s="1" t="e" cm="1">
        <f t="array" ref="M50">eval_tr</f>
        <v>#N/A</v>
      </c>
      <c r="N50" s="1">
        <f t="shared" si="1"/>
        <v>0</v>
      </c>
      <c r="O50" s="1" t="str">
        <f t="shared" si="2"/>
        <v>GM-07-NA</v>
      </c>
      <c r="P50" s="1">
        <f>VLOOKUP(O50,teams!$A$1:$B$47,2,)</f>
        <v>1</v>
      </c>
    </row>
    <row r="51" spans="1:16" ht="15.75" customHeight="1" x14ac:dyDescent="0.15">
      <c r="A51" s="5" t="s">
        <v>18</v>
      </c>
      <c r="B51" s="5">
        <v>8</v>
      </c>
      <c r="C51" s="6" t="s">
        <v>21</v>
      </c>
      <c r="D51" s="5" t="s">
        <v>30</v>
      </c>
      <c r="E51" s="8">
        <v>44756</v>
      </c>
      <c r="F51" s="5" t="s">
        <v>6</v>
      </c>
      <c r="G51" s="5" t="s">
        <v>36</v>
      </c>
      <c r="H51" s="3" t="s">
        <v>8</v>
      </c>
      <c r="I51" s="4">
        <v>7</v>
      </c>
      <c r="J51" s="4">
        <v>16</v>
      </c>
      <c r="K51" s="1" t="str">
        <f>VLOOKUP(Table1[[#This Row],[Species ]],eq!$A$3:$B$13,2,)</f>
        <v>((0.0309*(X4^1.7527)*X2^1.0014)+(0.0115*(X4^1.7405)*X2^0.6589)+(0.038*(X4^3.2558)*X2^-1.4218)+(0.2048*(X4^2.5754)*X2^-1.3704))*1000</v>
      </c>
      <c r="L51" s="1" t="str">
        <f t="shared" si="0"/>
        <v>((0.0309*(16^1.7527)*7^1.0014)+(0.0115*(16^1.7405)*7^0.6589)+(0.038*(16^3.2558)*7^-1.4218)+(0.2048*(16^2.5754)*7^-1.3704))*1000</v>
      </c>
      <c r="M51" s="1" cm="1">
        <f t="array" ref="M51">eval_tr</f>
        <v>70986.245957016159</v>
      </c>
      <c r="N51" s="1">
        <f t="shared" si="1"/>
        <v>70986.245957016159</v>
      </c>
      <c r="O51" s="1" t="str">
        <f t="shared" si="2"/>
        <v>GM-08-NA</v>
      </c>
      <c r="P51" s="1">
        <f>VLOOKUP(O51,teams!$A$1:$B$47,2,)</f>
        <v>1</v>
      </c>
    </row>
    <row r="52" spans="1:16" ht="15.75" customHeight="1" x14ac:dyDescent="0.15">
      <c r="A52" s="5" t="s">
        <v>18</v>
      </c>
      <c r="B52" s="5">
        <v>8</v>
      </c>
      <c r="C52" s="6" t="s">
        <v>21</v>
      </c>
      <c r="D52" s="5" t="s">
        <v>30</v>
      </c>
      <c r="E52" s="8">
        <v>44756</v>
      </c>
      <c r="F52" s="5" t="s">
        <v>5</v>
      </c>
      <c r="G52" s="5" t="s">
        <v>35</v>
      </c>
      <c r="H52" s="5" t="s">
        <v>21</v>
      </c>
      <c r="I52" s="4" t="s">
        <v>21</v>
      </c>
      <c r="J52" s="4" t="s">
        <v>21</v>
      </c>
      <c r="K52" s="1" t="e">
        <f>VLOOKUP(Table1[[#This Row],[Species ]],eq!$A$3:$B$13,2,)</f>
        <v>#N/A</v>
      </c>
      <c r="L52" s="1" t="e">
        <f t="shared" si="0"/>
        <v>#N/A</v>
      </c>
      <c r="M52" s="1" t="e" cm="1">
        <f t="array" ref="M52">eval_tr</f>
        <v>#N/A</v>
      </c>
      <c r="N52" s="1">
        <f t="shared" si="1"/>
        <v>0</v>
      </c>
      <c r="O52" s="1" t="str">
        <f t="shared" si="2"/>
        <v>GM-08-NA</v>
      </c>
      <c r="P52" s="1">
        <f>VLOOKUP(O52,teams!$A$1:$B$47,2,)</f>
        <v>1</v>
      </c>
    </row>
    <row r="53" spans="1:16" ht="15.75" customHeight="1" x14ac:dyDescent="0.15">
      <c r="A53" s="5" t="s">
        <v>18</v>
      </c>
      <c r="B53" s="5">
        <v>8</v>
      </c>
      <c r="C53" s="6" t="s">
        <v>21</v>
      </c>
      <c r="D53" s="5" t="s">
        <v>30</v>
      </c>
      <c r="E53" s="8">
        <v>44756</v>
      </c>
      <c r="F53" s="5" t="s">
        <v>7</v>
      </c>
      <c r="G53" s="5" t="s">
        <v>34</v>
      </c>
      <c r="H53" s="5" t="s">
        <v>21</v>
      </c>
      <c r="I53" s="4" t="s">
        <v>21</v>
      </c>
      <c r="J53" s="4" t="s">
        <v>21</v>
      </c>
      <c r="K53" s="1" t="e">
        <f>VLOOKUP(Table1[[#This Row],[Species ]],eq!$A$3:$B$13,2,)</f>
        <v>#N/A</v>
      </c>
      <c r="L53" s="1" t="e">
        <f t="shared" si="0"/>
        <v>#N/A</v>
      </c>
      <c r="M53" s="1" t="e" cm="1">
        <f t="array" ref="M53">eval_tr</f>
        <v>#N/A</v>
      </c>
      <c r="N53" s="1">
        <f t="shared" si="1"/>
        <v>0</v>
      </c>
      <c r="O53" s="1" t="str">
        <f t="shared" si="2"/>
        <v>GM-08-NA</v>
      </c>
      <c r="P53" s="1">
        <f>VLOOKUP(O53,teams!$A$1:$B$47,2,)</f>
        <v>1</v>
      </c>
    </row>
    <row r="54" spans="1:16" ht="15.75" customHeight="1" x14ac:dyDescent="0.15">
      <c r="A54" s="5" t="s">
        <v>18</v>
      </c>
      <c r="B54" s="5">
        <v>8</v>
      </c>
      <c r="C54" s="6" t="s">
        <v>21</v>
      </c>
      <c r="D54" s="5" t="s">
        <v>30</v>
      </c>
      <c r="E54" s="8">
        <v>44756</v>
      </c>
      <c r="F54" s="5" t="s">
        <v>9</v>
      </c>
      <c r="G54" s="5" t="s">
        <v>37</v>
      </c>
      <c r="H54" s="5" t="s">
        <v>21</v>
      </c>
      <c r="I54" s="4" t="s">
        <v>21</v>
      </c>
      <c r="J54" s="4" t="s">
        <v>21</v>
      </c>
      <c r="K54" s="1" t="e">
        <f>VLOOKUP(Table1[[#This Row],[Species ]],eq!$A$3:$B$13,2,)</f>
        <v>#N/A</v>
      </c>
      <c r="L54" s="1" t="e">
        <f t="shared" si="0"/>
        <v>#N/A</v>
      </c>
      <c r="M54" s="1" t="e" cm="1">
        <f t="array" ref="M54">eval_tr</f>
        <v>#N/A</v>
      </c>
      <c r="N54" s="1">
        <f t="shared" si="1"/>
        <v>0</v>
      </c>
      <c r="O54" s="1" t="str">
        <f t="shared" si="2"/>
        <v>GM-08-NA</v>
      </c>
      <c r="P54" s="1">
        <f>VLOOKUP(O54,teams!$A$1:$B$47,2,)</f>
        <v>1</v>
      </c>
    </row>
    <row r="55" spans="1:16" ht="15.75" customHeight="1" x14ac:dyDescent="0.15">
      <c r="A55" s="5" t="s">
        <v>18</v>
      </c>
      <c r="B55" s="5">
        <v>9</v>
      </c>
      <c r="C55" s="6" t="s">
        <v>21</v>
      </c>
      <c r="D55" s="5" t="s">
        <v>30</v>
      </c>
      <c r="E55" s="8">
        <v>44756</v>
      </c>
      <c r="F55" s="5" t="s">
        <v>5</v>
      </c>
      <c r="G55" s="5" t="s">
        <v>35</v>
      </c>
      <c r="H55" s="5" t="s">
        <v>21</v>
      </c>
      <c r="I55" s="4" t="s">
        <v>21</v>
      </c>
      <c r="J55" s="4" t="s">
        <v>21</v>
      </c>
      <c r="K55" s="1" t="e">
        <f>VLOOKUP(Table1[[#This Row],[Species ]],eq!$A$3:$B$13,2,)</f>
        <v>#N/A</v>
      </c>
      <c r="L55" s="1" t="e">
        <f t="shared" si="0"/>
        <v>#N/A</v>
      </c>
      <c r="M55" s="1" t="e" cm="1">
        <f t="array" ref="M55">eval_tr</f>
        <v>#N/A</v>
      </c>
      <c r="N55" s="1">
        <f t="shared" si="1"/>
        <v>0</v>
      </c>
      <c r="O55" s="1" t="str">
        <f t="shared" si="2"/>
        <v>GM-09-NA</v>
      </c>
      <c r="P55" s="1">
        <f>VLOOKUP(O55,teams!$A$1:$B$47,2,)</f>
        <v>2</v>
      </c>
    </row>
    <row r="56" spans="1:16" ht="15.75" customHeight="1" x14ac:dyDescent="0.15">
      <c r="A56" s="5" t="s">
        <v>18</v>
      </c>
      <c r="B56" s="5">
        <v>9</v>
      </c>
      <c r="C56" s="6" t="s">
        <v>21</v>
      </c>
      <c r="D56" s="5" t="s">
        <v>30</v>
      </c>
      <c r="E56" s="8">
        <v>44756</v>
      </c>
      <c r="F56" s="5" t="s">
        <v>6</v>
      </c>
      <c r="G56" s="5" t="s">
        <v>36</v>
      </c>
      <c r="H56" s="5" t="s">
        <v>21</v>
      </c>
      <c r="I56" s="4" t="s">
        <v>21</v>
      </c>
      <c r="J56" s="4" t="s">
        <v>21</v>
      </c>
      <c r="K56" s="1" t="e">
        <f>VLOOKUP(Table1[[#This Row],[Species ]],eq!$A$3:$B$13,2,)</f>
        <v>#N/A</v>
      </c>
      <c r="L56" s="1" t="e">
        <f t="shared" si="0"/>
        <v>#N/A</v>
      </c>
      <c r="M56" s="1" t="e" cm="1">
        <f t="array" ref="M56">eval_tr</f>
        <v>#N/A</v>
      </c>
      <c r="N56" s="1">
        <f t="shared" si="1"/>
        <v>0</v>
      </c>
      <c r="O56" s="1" t="str">
        <f t="shared" si="2"/>
        <v>GM-09-NA</v>
      </c>
      <c r="P56" s="1">
        <f>VLOOKUP(O56,teams!$A$1:$B$47,2,)</f>
        <v>2</v>
      </c>
    </row>
    <row r="57" spans="1:16" ht="15.75" customHeight="1" x14ac:dyDescent="0.15">
      <c r="A57" s="5" t="s">
        <v>18</v>
      </c>
      <c r="B57" s="5">
        <v>9</v>
      </c>
      <c r="C57" s="6" t="s">
        <v>21</v>
      </c>
      <c r="D57" s="5" t="s">
        <v>30</v>
      </c>
      <c r="E57" s="8">
        <v>44756</v>
      </c>
      <c r="F57" s="5" t="s">
        <v>7</v>
      </c>
      <c r="G57" s="5" t="s">
        <v>34</v>
      </c>
      <c r="H57" s="5" t="s">
        <v>21</v>
      </c>
      <c r="I57" s="4" t="s">
        <v>21</v>
      </c>
      <c r="J57" s="4" t="s">
        <v>21</v>
      </c>
      <c r="K57" s="1" t="e">
        <f>VLOOKUP(Table1[[#This Row],[Species ]],eq!$A$3:$B$13,2,)</f>
        <v>#N/A</v>
      </c>
      <c r="L57" s="1" t="e">
        <f t="shared" si="0"/>
        <v>#N/A</v>
      </c>
      <c r="M57" s="1" t="e" cm="1">
        <f t="array" ref="M57">eval_tr</f>
        <v>#N/A</v>
      </c>
      <c r="N57" s="1">
        <f t="shared" si="1"/>
        <v>0</v>
      </c>
      <c r="O57" s="1" t="str">
        <f t="shared" si="2"/>
        <v>GM-09-NA</v>
      </c>
      <c r="P57" s="1">
        <f>VLOOKUP(O57,teams!$A$1:$B$47,2,)</f>
        <v>2</v>
      </c>
    </row>
    <row r="58" spans="1:16" ht="15.75" customHeight="1" x14ac:dyDescent="0.15">
      <c r="A58" s="5" t="s">
        <v>18</v>
      </c>
      <c r="B58" s="5">
        <v>9</v>
      </c>
      <c r="C58" s="6" t="s">
        <v>21</v>
      </c>
      <c r="D58" s="5" t="s">
        <v>30</v>
      </c>
      <c r="E58" s="8">
        <v>44756</v>
      </c>
      <c r="F58" s="5" t="s">
        <v>9</v>
      </c>
      <c r="G58" s="5" t="s">
        <v>37</v>
      </c>
      <c r="H58" s="5" t="s">
        <v>21</v>
      </c>
      <c r="I58" s="4" t="s">
        <v>21</v>
      </c>
      <c r="J58" s="4" t="s">
        <v>21</v>
      </c>
      <c r="K58" s="1" t="e">
        <f>VLOOKUP(Table1[[#This Row],[Species ]],eq!$A$3:$B$13,2,)</f>
        <v>#N/A</v>
      </c>
      <c r="L58" s="1" t="e">
        <f t="shared" si="0"/>
        <v>#N/A</v>
      </c>
      <c r="M58" s="1" t="e" cm="1">
        <f t="array" ref="M58">eval_tr</f>
        <v>#N/A</v>
      </c>
      <c r="N58" s="1">
        <f t="shared" si="1"/>
        <v>0</v>
      </c>
      <c r="O58" s="1" t="str">
        <f t="shared" si="2"/>
        <v>GM-09-NA</v>
      </c>
      <c r="P58" s="1">
        <f>VLOOKUP(O58,teams!$A$1:$B$47,2,)</f>
        <v>2</v>
      </c>
    </row>
    <row r="59" spans="1:16" ht="15.75" customHeight="1" x14ac:dyDescent="0.15">
      <c r="A59" s="5" t="s">
        <v>18</v>
      </c>
      <c r="B59" s="5">
        <v>10</v>
      </c>
      <c r="C59" s="6" t="s">
        <v>21</v>
      </c>
      <c r="D59" s="5" t="s">
        <v>30</v>
      </c>
      <c r="E59" s="8">
        <v>44756</v>
      </c>
      <c r="F59" s="5" t="s">
        <v>5</v>
      </c>
      <c r="G59" s="5" t="s">
        <v>35</v>
      </c>
      <c r="H59" s="5" t="s">
        <v>21</v>
      </c>
      <c r="I59" s="4" t="s">
        <v>21</v>
      </c>
      <c r="J59" s="4" t="s">
        <v>21</v>
      </c>
      <c r="K59" s="1" t="e">
        <f>VLOOKUP(Table1[[#This Row],[Species ]],eq!$A$3:$B$13,2,)</f>
        <v>#N/A</v>
      </c>
      <c r="L59" s="1" t="e">
        <f t="shared" si="0"/>
        <v>#N/A</v>
      </c>
      <c r="M59" s="1" t="e" cm="1">
        <f t="array" ref="M59">eval_tr</f>
        <v>#N/A</v>
      </c>
      <c r="N59" s="1">
        <f t="shared" si="1"/>
        <v>0</v>
      </c>
      <c r="O59" s="1" t="str">
        <f t="shared" si="2"/>
        <v>GM-10-NA</v>
      </c>
      <c r="P59" s="1">
        <f>VLOOKUP(O59,teams!$A$1:$B$47,2,)</f>
        <v>2</v>
      </c>
    </row>
    <row r="60" spans="1:16" ht="15.75" customHeight="1" x14ac:dyDescent="0.15">
      <c r="A60" s="5" t="s">
        <v>18</v>
      </c>
      <c r="B60" s="5">
        <v>10</v>
      </c>
      <c r="C60" s="6" t="s">
        <v>21</v>
      </c>
      <c r="D60" s="5" t="s">
        <v>30</v>
      </c>
      <c r="E60" s="8">
        <v>44756</v>
      </c>
      <c r="F60" s="5" t="s">
        <v>6</v>
      </c>
      <c r="G60" s="5" t="s">
        <v>36</v>
      </c>
      <c r="H60" s="5" t="s">
        <v>21</v>
      </c>
      <c r="I60" s="4" t="s">
        <v>21</v>
      </c>
      <c r="J60" s="4" t="s">
        <v>21</v>
      </c>
      <c r="K60" s="1" t="e">
        <f>VLOOKUP(Table1[[#This Row],[Species ]],eq!$A$3:$B$13,2,)</f>
        <v>#N/A</v>
      </c>
      <c r="L60" s="1" t="e">
        <f t="shared" si="0"/>
        <v>#N/A</v>
      </c>
      <c r="M60" s="1" t="e" cm="1">
        <f t="array" ref="M60">eval_tr</f>
        <v>#N/A</v>
      </c>
      <c r="N60" s="1">
        <f t="shared" si="1"/>
        <v>0</v>
      </c>
      <c r="O60" s="1" t="str">
        <f t="shared" si="2"/>
        <v>GM-10-NA</v>
      </c>
      <c r="P60" s="1">
        <f>VLOOKUP(O60,teams!$A$1:$B$47,2,)</f>
        <v>2</v>
      </c>
    </row>
    <row r="61" spans="1:16" ht="15.75" customHeight="1" x14ac:dyDescent="0.15">
      <c r="A61" s="5" t="s">
        <v>18</v>
      </c>
      <c r="B61" s="5">
        <v>10</v>
      </c>
      <c r="C61" s="6" t="s">
        <v>21</v>
      </c>
      <c r="D61" s="5" t="s">
        <v>30</v>
      </c>
      <c r="E61" s="8">
        <v>44756</v>
      </c>
      <c r="F61" s="5" t="s">
        <v>7</v>
      </c>
      <c r="G61" s="5" t="s">
        <v>34</v>
      </c>
      <c r="H61" s="5" t="s">
        <v>21</v>
      </c>
      <c r="I61" s="4" t="s">
        <v>21</v>
      </c>
      <c r="J61" s="4" t="s">
        <v>21</v>
      </c>
      <c r="K61" s="1" t="e">
        <f>VLOOKUP(Table1[[#This Row],[Species ]],eq!$A$3:$B$13,2,)</f>
        <v>#N/A</v>
      </c>
      <c r="L61" s="1" t="e">
        <f t="shared" si="0"/>
        <v>#N/A</v>
      </c>
      <c r="M61" s="1" t="e" cm="1">
        <f t="array" ref="M61">eval_tr</f>
        <v>#N/A</v>
      </c>
      <c r="N61" s="1">
        <f t="shared" si="1"/>
        <v>0</v>
      </c>
      <c r="O61" s="1" t="str">
        <f t="shared" si="2"/>
        <v>GM-10-NA</v>
      </c>
      <c r="P61" s="1">
        <f>VLOOKUP(O61,teams!$A$1:$B$47,2,)</f>
        <v>2</v>
      </c>
    </row>
    <row r="62" spans="1:16" ht="15.75" customHeight="1" x14ac:dyDescent="0.15">
      <c r="A62" s="5" t="s">
        <v>18</v>
      </c>
      <c r="B62" s="5">
        <v>10</v>
      </c>
      <c r="C62" s="6" t="s">
        <v>21</v>
      </c>
      <c r="D62" s="5" t="s">
        <v>30</v>
      </c>
      <c r="E62" s="8">
        <v>44756</v>
      </c>
      <c r="F62" s="5" t="s">
        <v>9</v>
      </c>
      <c r="G62" s="5" t="s">
        <v>37</v>
      </c>
      <c r="H62" s="5" t="s">
        <v>21</v>
      </c>
      <c r="I62" s="4" t="s">
        <v>21</v>
      </c>
      <c r="J62" s="4" t="s">
        <v>21</v>
      </c>
      <c r="K62" s="1" t="e">
        <f>VLOOKUP(Table1[[#This Row],[Species ]],eq!$A$3:$B$13,2,)</f>
        <v>#N/A</v>
      </c>
      <c r="L62" s="1" t="e">
        <f t="shared" si="0"/>
        <v>#N/A</v>
      </c>
      <c r="M62" s="1" t="e" cm="1">
        <f t="array" ref="M62">eval_tr</f>
        <v>#N/A</v>
      </c>
      <c r="N62" s="1">
        <f t="shared" si="1"/>
        <v>0</v>
      </c>
      <c r="O62" s="1" t="str">
        <f t="shared" si="2"/>
        <v>GM-10-NA</v>
      </c>
      <c r="P62" s="1">
        <f>VLOOKUP(O62,teams!$A$1:$B$47,2,)</f>
        <v>2</v>
      </c>
    </row>
    <row r="63" spans="1:16" ht="15.75" customHeight="1" x14ac:dyDescent="0.15">
      <c r="A63" s="5" t="s">
        <v>18</v>
      </c>
      <c r="B63" s="5">
        <v>11</v>
      </c>
      <c r="C63" s="6" t="s">
        <v>21</v>
      </c>
      <c r="D63" s="5" t="s">
        <v>30</v>
      </c>
      <c r="E63" s="8">
        <v>44741</v>
      </c>
      <c r="F63" s="5" t="s">
        <v>9</v>
      </c>
      <c r="G63" s="5" t="s">
        <v>37</v>
      </c>
      <c r="H63" s="3" t="s">
        <v>10</v>
      </c>
      <c r="I63" s="4">
        <v>3</v>
      </c>
      <c r="J63" s="4">
        <v>10.5</v>
      </c>
      <c r="K63" s="1" t="str">
        <f>VLOOKUP(Table1[[#This Row],[Species ]],eq!$A$3:$B$13,2,)</f>
        <v>((0.0294*(X4^1.8357)*X2^0.864)+(0.0053*(X4^2.0876)*X2^0.5842)+(0.0117*(X4^3.5097)*X2^-1.3006)+(0.1245*(X4^2.523)*X2^-1.123))*1000</v>
      </c>
      <c r="L63" s="1" t="str">
        <f t="shared" si="0"/>
        <v>((0.0294*(10.5^1.8357)*3^0.864)+(0.0053*(10.5^2.0876)*3^0.5842)+(0.0117*(10.5^3.5097)*3^-1.3006)+(0.1245*(10.5^2.523)*3^-1.123))*1000</v>
      </c>
      <c r="M63" s="1" cm="1">
        <f t="array" ref="M63">eval_tr</f>
        <v>31484.12360460695</v>
      </c>
      <c r="N63" s="1">
        <f t="shared" si="1"/>
        <v>31484.12360460695</v>
      </c>
      <c r="O63" s="1" t="str">
        <f t="shared" si="2"/>
        <v>GM-11-NA</v>
      </c>
      <c r="P63" s="1">
        <f>VLOOKUP(O63,teams!$A$1:$B$47,2,)</f>
        <v>2</v>
      </c>
    </row>
    <row r="64" spans="1:16" ht="15.75" customHeight="1" x14ac:dyDescent="0.15">
      <c r="A64" s="5" t="s">
        <v>18</v>
      </c>
      <c r="B64" s="5">
        <v>11</v>
      </c>
      <c r="C64" s="6" t="s">
        <v>21</v>
      </c>
      <c r="D64" s="5" t="s">
        <v>30</v>
      </c>
      <c r="E64" s="8">
        <v>44741</v>
      </c>
      <c r="F64" s="5" t="s">
        <v>5</v>
      </c>
      <c r="G64" s="5" t="s">
        <v>35</v>
      </c>
      <c r="H64" s="5" t="s">
        <v>21</v>
      </c>
      <c r="I64" s="4" t="s">
        <v>21</v>
      </c>
      <c r="J64" s="4" t="s">
        <v>21</v>
      </c>
      <c r="K64" s="1" t="e">
        <f>VLOOKUP(Table1[[#This Row],[Species ]],eq!$A$3:$B$13,2,)</f>
        <v>#N/A</v>
      </c>
      <c r="L64" s="1" t="e">
        <f t="shared" si="0"/>
        <v>#N/A</v>
      </c>
      <c r="M64" s="1" t="e" cm="1">
        <f t="array" ref="M64">eval_tr</f>
        <v>#N/A</v>
      </c>
      <c r="N64" s="1">
        <f t="shared" si="1"/>
        <v>0</v>
      </c>
      <c r="O64" s="1" t="str">
        <f t="shared" si="2"/>
        <v>GM-11-NA</v>
      </c>
      <c r="P64" s="1">
        <f>VLOOKUP(O64,teams!$A$1:$B$47,2,)</f>
        <v>2</v>
      </c>
    </row>
    <row r="65" spans="1:16" ht="15.75" customHeight="1" x14ac:dyDescent="0.15">
      <c r="A65" s="5" t="s">
        <v>18</v>
      </c>
      <c r="B65" s="5">
        <v>11</v>
      </c>
      <c r="C65" s="6" t="s">
        <v>21</v>
      </c>
      <c r="D65" s="5" t="s">
        <v>30</v>
      </c>
      <c r="E65" s="8">
        <v>44741</v>
      </c>
      <c r="F65" s="5" t="s">
        <v>6</v>
      </c>
      <c r="G65" s="5" t="s">
        <v>36</v>
      </c>
      <c r="H65" s="5" t="s">
        <v>21</v>
      </c>
      <c r="I65" s="4" t="s">
        <v>21</v>
      </c>
      <c r="J65" s="4" t="s">
        <v>21</v>
      </c>
      <c r="K65" s="1" t="e">
        <f>VLOOKUP(Table1[[#This Row],[Species ]],eq!$A$3:$B$13,2,)</f>
        <v>#N/A</v>
      </c>
      <c r="L65" s="1" t="e">
        <f t="shared" si="0"/>
        <v>#N/A</v>
      </c>
      <c r="M65" s="1" t="e" cm="1">
        <f t="array" ref="M65">eval_tr</f>
        <v>#N/A</v>
      </c>
      <c r="N65" s="1">
        <f t="shared" si="1"/>
        <v>0</v>
      </c>
      <c r="O65" s="1" t="str">
        <f t="shared" si="2"/>
        <v>GM-11-NA</v>
      </c>
      <c r="P65" s="1">
        <f>VLOOKUP(O65,teams!$A$1:$B$47,2,)</f>
        <v>2</v>
      </c>
    </row>
    <row r="66" spans="1:16" ht="15.75" customHeight="1" x14ac:dyDescent="0.15">
      <c r="A66" s="5" t="s">
        <v>18</v>
      </c>
      <c r="B66" s="5">
        <v>11</v>
      </c>
      <c r="C66" s="6" t="s">
        <v>21</v>
      </c>
      <c r="D66" s="5" t="s">
        <v>30</v>
      </c>
      <c r="E66" s="7">
        <v>44741</v>
      </c>
      <c r="F66" s="5" t="s">
        <v>7</v>
      </c>
      <c r="G66" s="5" t="s">
        <v>34</v>
      </c>
      <c r="H66" s="5" t="s">
        <v>21</v>
      </c>
      <c r="I66" s="4" t="s">
        <v>21</v>
      </c>
      <c r="J66" s="4" t="s">
        <v>21</v>
      </c>
      <c r="K66" s="1" t="e">
        <f>VLOOKUP(Table1[[#This Row],[Species ]],eq!$A$3:$B$13,2,)</f>
        <v>#N/A</v>
      </c>
      <c r="L66" s="1" t="e">
        <f t="shared" ref="L66:L129" si="3">SUBSTITUTE(SUBSTITUTE(K66, "X4",J66),"X2",I66)</f>
        <v>#N/A</v>
      </c>
      <c r="M66" s="1" t="e" cm="1">
        <f t="array" ref="M66">eval_tr</f>
        <v>#N/A</v>
      </c>
      <c r="N66" s="1">
        <f t="shared" ref="N66:N129" si="4">IF(ISNUMBER(M66),M66,0)</f>
        <v>0</v>
      </c>
      <c r="O66" s="1" t="str">
        <f t="shared" ref="O66:O129" si="5">A66&amp;"-"&amp;TEXT(B66,"0#")&amp;"-"&amp;C66</f>
        <v>GM-11-NA</v>
      </c>
      <c r="P66" s="1">
        <f>VLOOKUP(O66,teams!$A$1:$B$47,2,)</f>
        <v>2</v>
      </c>
    </row>
    <row r="67" spans="1:16" ht="15.75" customHeight="1" x14ac:dyDescent="0.15">
      <c r="A67" s="5" t="s">
        <v>18</v>
      </c>
      <c r="B67" s="5">
        <v>12</v>
      </c>
      <c r="C67" s="6" t="s">
        <v>21</v>
      </c>
      <c r="D67" s="5" t="s">
        <v>30</v>
      </c>
      <c r="E67" s="8">
        <v>44740</v>
      </c>
      <c r="F67" s="5" t="s">
        <v>5</v>
      </c>
      <c r="G67" s="5" t="s">
        <v>35</v>
      </c>
      <c r="H67" s="5" t="s">
        <v>21</v>
      </c>
      <c r="I67" s="4" t="s">
        <v>21</v>
      </c>
      <c r="J67" s="4" t="s">
        <v>21</v>
      </c>
      <c r="K67" s="1" t="e">
        <f>VLOOKUP(Table1[[#This Row],[Species ]],eq!$A$3:$B$13,2,)</f>
        <v>#N/A</v>
      </c>
      <c r="L67" s="1" t="e">
        <f t="shared" si="3"/>
        <v>#N/A</v>
      </c>
      <c r="M67" s="1" t="e" cm="1">
        <f t="array" ref="M67">eval_tr</f>
        <v>#N/A</v>
      </c>
      <c r="N67" s="1">
        <f t="shared" si="4"/>
        <v>0</v>
      </c>
      <c r="O67" s="1" t="str">
        <f t="shared" si="5"/>
        <v>GM-12-NA</v>
      </c>
      <c r="P67" s="1">
        <f>VLOOKUP(O67,teams!$A$1:$B$47,2,)</f>
        <v>2</v>
      </c>
    </row>
    <row r="68" spans="1:16" ht="15.75" customHeight="1" x14ac:dyDescent="0.15">
      <c r="A68" s="5" t="s">
        <v>18</v>
      </c>
      <c r="B68" s="5">
        <v>12</v>
      </c>
      <c r="C68" s="6" t="s">
        <v>21</v>
      </c>
      <c r="D68" s="5" t="s">
        <v>30</v>
      </c>
      <c r="E68" s="8">
        <v>44740</v>
      </c>
      <c r="F68" s="5" t="s">
        <v>6</v>
      </c>
      <c r="G68" s="5" t="s">
        <v>36</v>
      </c>
      <c r="H68" s="5" t="s">
        <v>21</v>
      </c>
      <c r="I68" s="4" t="s">
        <v>21</v>
      </c>
      <c r="J68" s="4" t="s">
        <v>21</v>
      </c>
      <c r="K68" s="1" t="e">
        <f>VLOOKUP(Table1[[#This Row],[Species ]],eq!$A$3:$B$13,2,)</f>
        <v>#N/A</v>
      </c>
      <c r="L68" s="1" t="e">
        <f t="shared" si="3"/>
        <v>#N/A</v>
      </c>
      <c r="M68" s="1" t="e" cm="1">
        <f t="array" ref="M68">eval_tr</f>
        <v>#N/A</v>
      </c>
      <c r="N68" s="1">
        <f t="shared" si="4"/>
        <v>0</v>
      </c>
      <c r="O68" s="1" t="str">
        <f t="shared" si="5"/>
        <v>GM-12-NA</v>
      </c>
      <c r="P68" s="1">
        <f>VLOOKUP(O68,teams!$A$1:$B$47,2,)</f>
        <v>2</v>
      </c>
    </row>
    <row r="69" spans="1:16" ht="15.75" customHeight="1" x14ac:dyDescent="0.15">
      <c r="A69" s="5" t="s">
        <v>18</v>
      </c>
      <c r="B69" s="5">
        <v>12</v>
      </c>
      <c r="C69" s="6" t="s">
        <v>21</v>
      </c>
      <c r="D69" s="5" t="s">
        <v>30</v>
      </c>
      <c r="E69" s="8">
        <v>44740</v>
      </c>
      <c r="F69" s="5" t="s">
        <v>7</v>
      </c>
      <c r="G69" s="5" t="s">
        <v>34</v>
      </c>
      <c r="H69" s="5" t="s">
        <v>21</v>
      </c>
      <c r="I69" s="4" t="s">
        <v>21</v>
      </c>
      <c r="J69" s="4" t="s">
        <v>21</v>
      </c>
      <c r="K69" s="1" t="e">
        <f>VLOOKUP(Table1[[#This Row],[Species ]],eq!$A$3:$B$13,2,)</f>
        <v>#N/A</v>
      </c>
      <c r="L69" s="1" t="e">
        <f t="shared" si="3"/>
        <v>#N/A</v>
      </c>
      <c r="M69" s="1" t="e" cm="1">
        <f t="array" ref="M69">eval_tr</f>
        <v>#N/A</v>
      </c>
      <c r="N69" s="1">
        <f t="shared" si="4"/>
        <v>0</v>
      </c>
      <c r="O69" s="1" t="str">
        <f t="shared" si="5"/>
        <v>GM-12-NA</v>
      </c>
      <c r="P69" s="1">
        <f>VLOOKUP(O69,teams!$A$1:$B$47,2,)</f>
        <v>2</v>
      </c>
    </row>
    <row r="70" spans="1:16" ht="15.75" customHeight="1" x14ac:dyDescent="0.15">
      <c r="A70" s="5" t="s">
        <v>18</v>
      </c>
      <c r="B70" s="5">
        <v>12</v>
      </c>
      <c r="C70" s="6" t="s">
        <v>21</v>
      </c>
      <c r="D70" s="5" t="s">
        <v>30</v>
      </c>
      <c r="E70" s="8">
        <v>44740</v>
      </c>
      <c r="F70" s="5" t="s">
        <v>9</v>
      </c>
      <c r="G70" s="5" t="s">
        <v>37</v>
      </c>
      <c r="H70" s="5" t="s">
        <v>21</v>
      </c>
      <c r="I70" s="4" t="s">
        <v>21</v>
      </c>
      <c r="J70" s="4" t="s">
        <v>21</v>
      </c>
      <c r="K70" s="1" t="e">
        <f>VLOOKUP(Table1[[#This Row],[Species ]],eq!$A$3:$B$13,2,)</f>
        <v>#N/A</v>
      </c>
      <c r="L70" s="1" t="e">
        <f t="shared" si="3"/>
        <v>#N/A</v>
      </c>
      <c r="M70" s="1" t="e" cm="1">
        <f t="array" ref="M70">eval_tr</f>
        <v>#N/A</v>
      </c>
      <c r="N70" s="1">
        <f t="shared" si="4"/>
        <v>0</v>
      </c>
      <c r="O70" s="1" t="str">
        <f t="shared" si="5"/>
        <v>GM-12-NA</v>
      </c>
      <c r="P70" s="1">
        <f>VLOOKUP(O70,teams!$A$1:$B$47,2,)</f>
        <v>2</v>
      </c>
    </row>
    <row r="71" spans="1:16" ht="15.75" customHeight="1" x14ac:dyDescent="0.15">
      <c r="A71" s="5" t="s">
        <v>18</v>
      </c>
      <c r="B71" s="5">
        <v>13</v>
      </c>
      <c r="C71" s="5" t="s">
        <v>22</v>
      </c>
      <c r="D71" s="5" t="s">
        <v>32</v>
      </c>
      <c r="E71" s="7">
        <v>44742</v>
      </c>
      <c r="F71" s="5" t="s">
        <v>9</v>
      </c>
      <c r="G71" s="5" t="s">
        <v>37</v>
      </c>
      <c r="H71" s="3" t="s">
        <v>10</v>
      </c>
      <c r="I71" s="4">
        <v>3</v>
      </c>
      <c r="J71" s="4">
        <v>14</v>
      </c>
      <c r="K71" s="1" t="str">
        <f>VLOOKUP(Table1[[#This Row],[Species ]],eq!$A$3:$B$13,2,)</f>
        <v>((0.0294*(X4^1.8357)*X2^0.864)+(0.0053*(X4^2.0876)*X2^0.5842)+(0.0117*(X4^3.5097)*X2^-1.3006)+(0.1245*(X4^2.523)*X2^-1.123))*1000</v>
      </c>
      <c r="L71" s="1" t="str">
        <f t="shared" si="3"/>
        <v>((0.0294*(14^1.8357)*3^0.864)+(0.0053*(14^2.0876)*3^0.5842)+(0.0117*(14^3.5097)*3^-1.3006)+(0.1245*(14^2.523)*3^-1.123))*1000</v>
      </c>
      <c r="M71" s="1" cm="1">
        <f t="array" ref="M71">eval_tr</f>
        <v>69914.758718340803</v>
      </c>
      <c r="N71" s="1">
        <f t="shared" si="4"/>
        <v>69914.758718340803</v>
      </c>
      <c r="O71" s="1" t="str">
        <f t="shared" si="5"/>
        <v>GM-13-CTRL</v>
      </c>
      <c r="P71" s="1">
        <f>VLOOKUP(O71,teams!$A$1:$B$47,2,)</f>
        <v>2</v>
      </c>
    </row>
    <row r="72" spans="1:16" ht="15.75" customHeight="1" x14ac:dyDescent="0.15">
      <c r="A72" s="5" t="s">
        <v>18</v>
      </c>
      <c r="B72" s="5">
        <v>13</v>
      </c>
      <c r="C72" s="5" t="s">
        <v>22</v>
      </c>
      <c r="D72" s="5" t="s">
        <v>32</v>
      </c>
      <c r="E72" s="7">
        <v>44742</v>
      </c>
      <c r="F72" s="5" t="s">
        <v>5</v>
      </c>
      <c r="G72" s="5" t="s">
        <v>35</v>
      </c>
      <c r="H72" s="3" t="s">
        <v>10</v>
      </c>
      <c r="I72" s="4">
        <v>4</v>
      </c>
      <c r="J72" s="4">
        <v>16</v>
      </c>
      <c r="K72" s="1" t="str">
        <f>VLOOKUP(Table1[[#This Row],[Species ]],eq!$A$3:$B$13,2,)</f>
        <v>((0.0294*(X4^1.8357)*X2^0.864)+(0.0053*(X4^2.0876)*X2^0.5842)+(0.0117*(X4^3.5097)*X2^-1.3006)+(0.1245*(X4^2.523)*X2^-1.123))*1000</v>
      </c>
      <c r="L72" s="1" t="str">
        <f t="shared" si="3"/>
        <v>((0.0294*(16^1.8357)*4^0.864)+(0.0053*(16^2.0876)*4^0.5842)+(0.0117*(16^3.5097)*4^-1.3006)+(0.1245*(16^2.523)*4^-1.123))*1000</v>
      </c>
      <c r="M72" s="1" cm="1">
        <f t="array" ref="M72">eval_tr</f>
        <v>80795.387928872602</v>
      </c>
      <c r="N72" s="1">
        <f t="shared" si="4"/>
        <v>80795.387928872602</v>
      </c>
      <c r="O72" s="1" t="str">
        <f t="shared" si="5"/>
        <v>GM-13-CTRL</v>
      </c>
      <c r="P72" s="1">
        <f>VLOOKUP(O72,teams!$A$1:$B$47,2,)</f>
        <v>2</v>
      </c>
    </row>
    <row r="73" spans="1:16" ht="15.75" customHeight="1" x14ac:dyDescent="0.15">
      <c r="A73" s="5" t="s">
        <v>18</v>
      </c>
      <c r="B73" s="5">
        <v>13</v>
      </c>
      <c r="C73" s="5" t="s">
        <v>22</v>
      </c>
      <c r="D73" s="5" t="s">
        <v>32</v>
      </c>
      <c r="E73" s="7">
        <v>44742</v>
      </c>
      <c r="F73" s="5" t="s">
        <v>7</v>
      </c>
      <c r="G73" s="5" t="s">
        <v>34</v>
      </c>
      <c r="H73" s="3" t="s">
        <v>10</v>
      </c>
      <c r="I73" s="4">
        <v>6</v>
      </c>
      <c r="J73" s="4">
        <v>26</v>
      </c>
      <c r="K73" s="1" t="str">
        <f>VLOOKUP(Table1[[#This Row],[Species ]],eq!$A$3:$B$13,2,)</f>
        <v>((0.0294*(X4^1.8357)*X2^0.864)+(0.0053*(X4^2.0876)*X2^0.5842)+(0.0117*(X4^3.5097)*X2^-1.3006)+(0.1245*(X4^2.523)*X2^-1.123))*1000</v>
      </c>
      <c r="L73" s="1" t="str">
        <f t="shared" si="3"/>
        <v>((0.0294*(26^1.8357)*6^0.864)+(0.0053*(26^2.0876)*6^0.5842)+(0.0117*(26^3.5097)*6^-1.3006)+(0.1245*(26^2.523)*6^-1.123))*1000</v>
      </c>
      <c r="M73" s="1" cm="1">
        <f t="array" ref="M73">eval_tr</f>
        <v>235394.51662893902</v>
      </c>
      <c r="N73" s="1">
        <f t="shared" si="4"/>
        <v>235394.51662893902</v>
      </c>
      <c r="O73" s="1" t="str">
        <f t="shared" si="5"/>
        <v>GM-13-CTRL</v>
      </c>
      <c r="P73" s="1">
        <f>VLOOKUP(O73,teams!$A$1:$B$47,2,)</f>
        <v>2</v>
      </c>
    </row>
    <row r="74" spans="1:16" ht="15.75" customHeight="1" x14ac:dyDescent="0.15">
      <c r="A74" s="5" t="s">
        <v>18</v>
      </c>
      <c r="B74" s="5">
        <v>13</v>
      </c>
      <c r="C74" s="5" t="s">
        <v>22</v>
      </c>
      <c r="D74" s="5" t="s">
        <v>32</v>
      </c>
      <c r="E74" s="7">
        <v>44742</v>
      </c>
      <c r="F74" s="5" t="s">
        <v>9</v>
      </c>
      <c r="G74" s="5" t="s">
        <v>37</v>
      </c>
      <c r="H74" s="5" t="s">
        <v>15</v>
      </c>
      <c r="I74" s="4">
        <v>7</v>
      </c>
      <c r="J74" s="4">
        <v>40</v>
      </c>
      <c r="K74" s="1" t="str">
        <f>VLOOKUP(Table1[[#This Row],[Species ]],eq!$A$3:$B$13,2,)</f>
        <v>((0.0259*(X4^1.9044)*X2^0.9715)+(0.0069*(X4^2.0834)*X2^0.5371)+(0.0325*(X4^2.3851)*X2^0)+(0.1683*(X4^1.2764)*X2^0))*1000</v>
      </c>
      <c r="L74" s="1" t="str">
        <f t="shared" si="3"/>
        <v>((0.0259*(40^1.9044)*7^0.9715)+(0.0069*(40^2.0834)*7^0.5371)+(0.0325*(40^2.3851)*7^0)+(0.1683*(40^1.2764)*7^0))*1000</v>
      </c>
      <c r="M74" s="1" cm="1">
        <f t="array" ref="M74">eval_tr</f>
        <v>469498.73658112442</v>
      </c>
      <c r="N74" s="1">
        <f t="shared" si="4"/>
        <v>469498.73658112442</v>
      </c>
      <c r="O74" s="1" t="str">
        <f t="shared" si="5"/>
        <v>GM-13-CTRL</v>
      </c>
      <c r="P74" s="1">
        <f>VLOOKUP(O74,teams!$A$1:$B$47,2,)</f>
        <v>2</v>
      </c>
    </row>
    <row r="75" spans="1:16" ht="15.75" customHeight="1" x14ac:dyDescent="0.15">
      <c r="A75" s="5" t="s">
        <v>18</v>
      </c>
      <c r="B75" s="5">
        <v>13</v>
      </c>
      <c r="C75" s="5" t="s">
        <v>22</v>
      </c>
      <c r="D75" s="5" t="s">
        <v>32</v>
      </c>
      <c r="E75" s="7">
        <v>44742</v>
      </c>
      <c r="F75" s="5" t="s">
        <v>7</v>
      </c>
      <c r="G75" s="5" t="s">
        <v>34</v>
      </c>
      <c r="H75" s="3" t="s">
        <v>10</v>
      </c>
      <c r="I75" s="4">
        <v>5.5</v>
      </c>
      <c r="J75" s="4">
        <v>40</v>
      </c>
      <c r="K75" s="1" t="str">
        <f>VLOOKUP(Table1[[#This Row],[Species ]],eq!$A$3:$B$13,2,)</f>
        <v>((0.0294*(X4^1.8357)*X2^0.864)+(0.0053*(X4^2.0876)*X2^0.5842)+(0.0117*(X4^3.5097)*X2^-1.3006)+(0.1245*(X4^2.523)*X2^-1.123))*1000</v>
      </c>
      <c r="L75" s="1" t="str">
        <f t="shared" si="3"/>
        <v>((0.0294*(40^1.8357)*5.5^0.864)+(0.0053*(40^2.0876)*5.5^0.5842)+(0.0117*(40^3.5097)*5.5^-1.3006)+(0.1245*(40^2.523)*5.5^-1.123))*1000</v>
      </c>
      <c r="M75" s="1" cm="1">
        <f t="array" ref="M75">eval_tr</f>
        <v>880407.78550877783</v>
      </c>
      <c r="N75" s="1">
        <f t="shared" si="4"/>
        <v>880407.78550877783</v>
      </c>
      <c r="O75" s="1" t="str">
        <f t="shared" si="5"/>
        <v>GM-13-CTRL</v>
      </c>
      <c r="P75" s="1">
        <f>VLOOKUP(O75,teams!$A$1:$B$47,2,)</f>
        <v>2</v>
      </c>
    </row>
    <row r="76" spans="1:16" ht="15.75" customHeight="1" x14ac:dyDescent="0.15">
      <c r="A76" s="5" t="s">
        <v>18</v>
      </c>
      <c r="B76" s="5">
        <v>13</v>
      </c>
      <c r="C76" s="5" t="s">
        <v>22</v>
      </c>
      <c r="D76" s="5" t="s">
        <v>32</v>
      </c>
      <c r="E76" s="7">
        <v>44742</v>
      </c>
      <c r="F76" s="5" t="s">
        <v>6</v>
      </c>
      <c r="G76" s="5" t="s">
        <v>36</v>
      </c>
      <c r="H76" s="3" t="s">
        <v>10</v>
      </c>
      <c r="I76" s="4">
        <v>6</v>
      </c>
      <c r="J76" s="4">
        <v>45</v>
      </c>
      <c r="K76" s="1" t="str">
        <f>VLOOKUP(Table1[[#This Row],[Species ]],eq!$A$3:$B$13,2,)</f>
        <v>((0.0294*(X4^1.8357)*X2^0.864)+(0.0053*(X4^2.0876)*X2^0.5842)+(0.0117*(X4^3.5097)*X2^-1.3006)+(0.1245*(X4^2.523)*X2^-1.123))*1000</v>
      </c>
      <c r="L76" s="1" t="str">
        <f t="shared" si="3"/>
        <v>((0.0294*(45^1.8357)*6^0.864)+(0.0053*(45^2.0876)*6^0.5842)+(0.0117*(45^3.5097)*6^-1.3006)+(0.1245*(45^2.523)*6^-1.123))*1000</v>
      </c>
      <c r="M76" s="1" cm="1">
        <f t="array" ref="M76">eval_tr</f>
        <v>1161040.5124343741</v>
      </c>
      <c r="N76" s="1">
        <f t="shared" si="4"/>
        <v>1161040.5124343741</v>
      </c>
      <c r="O76" s="1" t="str">
        <f t="shared" si="5"/>
        <v>GM-13-CTRL</v>
      </c>
      <c r="P76" s="1">
        <f>VLOOKUP(O76,teams!$A$1:$B$47,2,)</f>
        <v>2</v>
      </c>
    </row>
    <row r="77" spans="1:16" ht="15.75" customHeight="1" x14ac:dyDescent="0.15">
      <c r="A77" s="5" t="s">
        <v>18</v>
      </c>
      <c r="B77" s="5">
        <v>13</v>
      </c>
      <c r="C77" s="5" t="s">
        <v>23</v>
      </c>
      <c r="D77" s="5" t="s">
        <v>32</v>
      </c>
      <c r="E77" s="7">
        <v>44740</v>
      </c>
      <c r="F77" s="5" t="s">
        <v>6</v>
      </c>
      <c r="G77" s="5" t="s">
        <v>36</v>
      </c>
      <c r="H77" s="3" t="s">
        <v>10</v>
      </c>
      <c r="I77" s="4">
        <v>4</v>
      </c>
      <c r="J77" s="4">
        <v>11.1</v>
      </c>
      <c r="K77" s="1" t="str">
        <f>VLOOKUP(Table1[[#This Row],[Species ]],eq!$A$3:$B$13,2,)</f>
        <v>((0.0294*(X4^1.8357)*X2^0.864)+(0.0053*(X4^2.0876)*X2^0.5842)+(0.0117*(X4^3.5097)*X2^-1.3006)+(0.1245*(X4^2.523)*X2^-1.123))*1000</v>
      </c>
      <c r="L77" s="1" t="str">
        <f t="shared" si="3"/>
        <v>((0.0294*(11.1^1.8357)*4^0.864)+(0.0053*(11.1^2.0876)*4^0.5842)+(0.0117*(11.1^3.5097)*4^-1.3006)+(0.1245*(11.1^2.523)*4^-1.123))*1000</v>
      </c>
      <c r="M77" s="1" cm="1">
        <f t="array" ref="M77">eval_tr</f>
        <v>30272.68187111328</v>
      </c>
      <c r="N77" s="1">
        <f t="shared" si="4"/>
        <v>30272.68187111328</v>
      </c>
      <c r="O77" s="1" t="str">
        <f t="shared" si="5"/>
        <v>GM-13-EX</v>
      </c>
      <c r="P77" s="1">
        <f>VLOOKUP(O77,teams!$A$1:$B$47,2,)</f>
        <v>2</v>
      </c>
    </row>
    <row r="78" spans="1:16" ht="15.75" customHeight="1" x14ac:dyDescent="0.15">
      <c r="A78" s="5" t="s">
        <v>18</v>
      </c>
      <c r="B78" s="5">
        <v>13</v>
      </c>
      <c r="C78" s="5" t="s">
        <v>23</v>
      </c>
      <c r="D78" s="5" t="s">
        <v>32</v>
      </c>
      <c r="E78" s="7">
        <v>44740</v>
      </c>
      <c r="F78" s="5" t="s">
        <v>5</v>
      </c>
      <c r="G78" s="5" t="s">
        <v>35</v>
      </c>
      <c r="H78" s="3" t="s">
        <v>10</v>
      </c>
      <c r="I78" s="4">
        <v>6</v>
      </c>
      <c r="J78" s="4">
        <v>15.4</v>
      </c>
      <c r="K78" s="1" t="str">
        <f>VLOOKUP(Table1[[#This Row],[Species ]],eq!$A$3:$B$13,2,)</f>
        <v>((0.0294*(X4^1.8357)*X2^0.864)+(0.0053*(X4^2.0876)*X2^0.5842)+(0.0117*(X4^3.5097)*X2^-1.3006)+(0.1245*(X4^2.523)*X2^-1.123))*1000</v>
      </c>
      <c r="L78" s="1" t="str">
        <f t="shared" si="3"/>
        <v>((0.0294*(15.4^1.8357)*6^0.864)+(0.0053*(15.4^2.0876)*6^0.5842)+(0.0117*(15.4^3.5097)*6^-1.3006)+(0.1245*(15.4^2.523)*6^-1.123))*1000</v>
      </c>
      <c r="M78" s="1" cm="1">
        <f t="array" ref="M78">eval_tr</f>
        <v>58716.800224480306</v>
      </c>
      <c r="N78" s="1">
        <f t="shared" si="4"/>
        <v>58716.800224480306</v>
      </c>
      <c r="O78" s="1" t="str">
        <f t="shared" si="5"/>
        <v>GM-13-EX</v>
      </c>
      <c r="P78" s="1">
        <f>VLOOKUP(O78,teams!$A$1:$B$47,2,)</f>
        <v>2</v>
      </c>
    </row>
    <row r="79" spans="1:16" ht="15.75" customHeight="1" x14ac:dyDescent="0.15">
      <c r="A79" s="5" t="s">
        <v>18</v>
      </c>
      <c r="B79" s="5">
        <v>13</v>
      </c>
      <c r="C79" s="5" t="s">
        <v>23</v>
      </c>
      <c r="D79" s="5" t="s">
        <v>32</v>
      </c>
      <c r="E79" s="7">
        <v>44740</v>
      </c>
      <c r="F79" s="5" t="s">
        <v>5</v>
      </c>
      <c r="G79" s="5" t="s">
        <v>35</v>
      </c>
      <c r="H79" s="3" t="s">
        <v>10</v>
      </c>
      <c r="I79" s="4">
        <v>5.5</v>
      </c>
      <c r="J79" s="4">
        <v>15.3</v>
      </c>
      <c r="K79" s="1" t="str">
        <f>VLOOKUP(Table1[[#This Row],[Species ]],eq!$A$3:$B$13,2,)</f>
        <v>((0.0294*(X4^1.8357)*X2^0.864)+(0.0053*(X4^2.0876)*X2^0.5842)+(0.0117*(X4^3.5097)*X2^-1.3006)+(0.1245*(X4^2.523)*X2^-1.123))*1000</v>
      </c>
      <c r="L79" s="1" t="str">
        <f t="shared" si="3"/>
        <v>((0.0294*(15.3^1.8357)*5.5^0.864)+(0.0053*(15.3^2.0876)*5.5^0.5842)+(0.0117*(15.3^3.5097)*5.5^-1.3006)+(0.1245*(15.3^2.523)*5.5^-1.123))*1000</v>
      </c>
      <c r="M79" s="1" cm="1">
        <f t="array" ref="M79">eval_tr</f>
        <v>59666.678483024079</v>
      </c>
      <c r="N79" s="1">
        <f t="shared" si="4"/>
        <v>59666.678483024079</v>
      </c>
      <c r="O79" s="1" t="str">
        <f t="shared" si="5"/>
        <v>GM-13-EX</v>
      </c>
      <c r="P79" s="1">
        <f>VLOOKUP(O79,teams!$A$1:$B$47,2,)</f>
        <v>2</v>
      </c>
    </row>
    <row r="80" spans="1:16" ht="15.75" customHeight="1" x14ac:dyDescent="0.15">
      <c r="A80" s="5" t="s">
        <v>18</v>
      </c>
      <c r="B80" s="5">
        <v>13</v>
      </c>
      <c r="C80" s="5" t="s">
        <v>23</v>
      </c>
      <c r="D80" s="5" t="s">
        <v>32</v>
      </c>
      <c r="E80" s="7">
        <v>44740</v>
      </c>
      <c r="F80" s="5" t="s">
        <v>6</v>
      </c>
      <c r="G80" s="5" t="s">
        <v>36</v>
      </c>
      <c r="H80" s="3" t="s">
        <v>10</v>
      </c>
      <c r="I80" s="4">
        <v>6</v>
      </c>
      <c r="J80" s="4">
        <v>24.1</v>
      </c>
      <c r="K80" s="1" t="str">
        <f>VLOOKUP(Table1[[#This Row],[Species ]],eq!$A$3:$B$13,2,)</f>
        <v>((0.0294*(X4^1.8357)*X2^0.864)+(0.0053*(X4^2.0876)*X2^0.5842)+(0.0117*(X4^3.5097)*X2^-1.3006)+(0.1245*(X4^2.523)*X2^-1.123))*1000</v>
      </c>
      <c r="L80" s="1" t="str">
        <f t="shared" si="3"/>
        <v>((0.0294*(24.1^1.8357)*6^0.864)+(0.0053*(24.1^2.0876)*6^0.5842)+(0.0117*(24.1^3.5097)*6^-1.3006)+(0.1245*(24.1^2.523)*6^-1.123))*1000</v>
      </c>
      <c r="M80" s="1" cm="1">
        <f t="array" ref="M80">eval_tr</f>
        <v>190903.65881518403</v>
      </c>
      <c r="N80" s="1">
        <f t="shared" si="4"/>
        <v>190903.65881518403</v>
      </c>
      <c r="O80" s="1" t="str">
        <f t="shared" si="5"/>
        <v>GM-13-EX</v>
      </c>
      <c r="P80" s="1">
        <f>VLOOKUP(O80,teams!$A$1:$B$47,2,)</f>
        <v>2</v>
      </c>
    </row>
    <row r="81" spans="1:16" ht="15.75" customHeight="1" x14ac:dyDescent="0.15">
      <c r="A81" s="5" t="s">
        <v>18</v>
      </c>
      <c r="B81" s="5">
        <v>13</v>
      </c>
      <c r="C81" s="5" t="s">
        <v>23</v>
      </c>
      <c r="D81" s="5" t="s">
        <v>32</v>
      </c>
      <c r="E81" s="7">
        <v>44740</v>
      </c>
      <c r="F81" s="5" t="s">
        <v>7</v>
      </c>
      <c r="G81" s="5" t="s">
        <v>34</v>
      </c>
      <c r="H81" s="5" t="s">
        <v>21</v>
      </c>
      <c r="I81" s="4" t="s">
        <v>21</v>
      </c>
      <c r="J81" s="4" t="s">
        <v>21</v>
      </c>
      <c r="K81" s="1" t="e">
        <f>VLOOKUP(Table1[[#This Row],[Species ]],eq!$A$3:$B$13,2,)</f>
        <v>#N/A</v>
      </c>
      <c r="L81" s="1" t="e">
        <f t="shared" si="3"/>
        <v>#N/A</v>
      </c>
      <c r="M81" s="1" t="e" cm="1">
        <f t="array" ref="M81">eval_tr</f>
        <v>#N/A</v>
      </c>
      <c r="N81" s="1">
        <f t="shared" si="4"/>
        <v>0</v>
      </c>
      <c r="O81" s="1" t="str">
        <f t="shared" si="5"/>
        <v>GM-13-EX</v>
      </c>
      <c r="P81" s="1">
        <f>VLOOKUP(O81,teams!$A$1:$B$47,2,)</f>
        <v>2</v>
      </c>
    </row>
    <row r="82" spans="1:16" ht="15.75" customHeight="1" x14ac:dyDescent="0.15">
      <c r="A82" s="5" t="s">
        <v>18</v>
      </c>
      <c r="B82" s="5">
        <v>14</v>
      </c>
      <c r="C82" s="5" t="s">
        <v>21</v>
      </c>
      <c r="D82" s="5" t="s">
        <v>32</v>
      </c>
      <c r="E82" s="7">
        <v>44742</v>
      </c>
      <c r="F82" s="5" t="s">
        <v>9</v>
      </c>
      <c r="G82" s="5" t="s">
        <v>37</v>
      </c>
      <c r="H82" s="3" t="s">
        <v>10</v>
      </c>
      <c r="I82" s="4">
        <v>4.5</v>
      </c>
      <c r="J82" s="4">
        <v>3.5</v>
      </c>
      <c r="K82" s="1" t="str">
        <f>VLOOKUP(Table1[[#This Row],[Species ]],eq!$A$3:$B$13,2,)</f>
        <v>((0.0294*(X4^1.8357)*X2^0.864)+(0.0053*(X4^2.0876)*X2^0.5842)+(0.0117*(X4^3.5097)*X2^-1.3006)+(0.1245*(X4^2.523)*X2^-1.123))*1000</v>
      </c>
      <c r="L82" s="1" t="str">
        <f t="shared" si="3"/>
        <v>((0.0294*(3.5^1.8357)*4.5^0.864)+(0.0053*(3.5^2.0876)*4.5^0.5842)+(0.0117*(3.5^3.5097)*4.5^-1.3006)+(0.1245*(3.5^2.523)*4.5^-1.123))*1000</v>
      </c>
      <c r="M82" s="1" cm="1">
        <f t="array" ref="M82">eval_tr</f>
        <v>1926.2895968752548</v>
      </c>
      <c r="N82" s="1">
        <f t="shared" si="4"/>
        <v>1926.2895968752548</v>
      </c>
      <c r="O82" s="1" t="str">
        <f t="shared" si="5"/>
        <v>GM-14-NA</v>
      </c>
      <c r="P82" s="1">
        <f>VLOOKUP(O82,teams!$A$1:$B$47,2,)</f>
        <v>1</v>
      </c>
    </row>
    <row r="83" spans="1:16" ht="15.75" customHeight="1" x14ac:dyDescent="0.15">
      <c r="A83" s="5" t="s">
        <v>18</v>
      </c>
      <c r="B83" s="5">
        <v>14</v>
      </c>
      <c r="C83" s="5" t="s">
        <v>21</v>
      </c>
      <c r="D83" s="5" t="s">
        <v>32</v>
      </c>
      <c r="E83" s="7">
        <v>44742</v>
      </c>
      <c r="F83" s="5" t="s">
        <v>6</v>
      </c>
      <c r="G83" s="5" t="s">
        <v>36</v>
      </c>
      <c r="H83" s="3" t="s">
        <v>10</v>
      </c>
      <c r="I83" s="4">
        <v>6</v>
      </c>
      <c r="J83" s="4">
        <v>6</v>
      </c>
      <c r="K83" s="1" t="str">
        <f>VLOOKUP(Table1[[#This Row],[Species ]],eq!$A$3:$B$13,2,)</f>
        <v>((0.0294*(X4^1.8357)*X2^0.864)+(0.0053*(X4^2.0876)*X2^0.5842)+(0.0117*(X4^3.5097)*X2^-1.3006)+(0.1245*(X4^2.523)*X2^-1.123))*1000</v>
      </c>
      <c r="L83" s="1" t="str">
        <f t="shared" si="3"/>
        <v>((0.0294*(6^1.8357)*6^0.864)+(0.0053*(6^2.0876)*6^0.5842)+(0.0117*(6^3.5097)*6^-1.3006)+(0.1245*(6^2.523)*6^-1.123))*1000</v>
      </c>
      <c r="M83" s="1" cm="1">
        <f t="array" ref="M83">eval_tr</f>
        <v>6485.9234854283468</v>
      </c>
      <c r="N83" s="1">
        <f t="shared" si="4"/>
        <v>6485.9234854283468</v>
      </c>
      <c r="O83" s="1" t="str">
        <f t="shared" si="5"/>
        <v>GM-14-NA</v>
      </c>
      <c r="P83" s="1">
        <f>VLOOKUP(O83,teams!$A$1:$B$47,2,)</f>
        <v>1</v>
      </c>
    </row>
    <row r="84" spans="1:16" ht="15.75" customHeight="1" x14ac:dyDescent="0.15">
      <c r="A84" s="5" t="s">
        <v>18</v>
      </c>
      <c r="B84" s="5">
        <v>14</v>
      </c>
      <c r="C84" s="5" t="s">
        <v>21</v>
      </c>
      <c r="D84" s="5" t="s">
        <v>32</v>
      </c>
      <c r="E84" s="7">
        <v>44742</v>
      </c>
      <c r="F84" s="5" t="s">
        <v>5</v>
      </c>
      <c r="G84" s="5" t="s">
        <v>35</v>
      </c>
      <c r="H84" s="3" t="s">
        <v>10</v>
      </c>
      <c r="I84" s="4">
        <v>9</v>
      </c>
      <c r="J84" s="4">
        <v>6.25</v>
      </c>
      <c r="K84" s="1" t="str">
        <f>VLOOKUP(Table1[[#This Row],[Species ]],eq!$A$3:$B$13,2,)</f>
        <v>((0.0294*(X4^1.8357)*X2^0.864)+(0.0053*(X4^2.0876)*X2^0.5842)+(0.0117*(X4^3.5097)*X2^-1.3006)+(0.1245*(X4^2.523)*X2^-1.123))*1000</v>
      </c>
      <c r="L84" s="1" t="str">
        <f t="shared" si="3"/>
        <v>((0.0294*(6.25^1.8357)*9^0.864)+(0.0053*(6.25^2.0876)*9^0.5842)+(0.0117*(6.25^3.5097)*9^-1.3006)+(0.1245*(6.25^2.523)*9^-1.123))*1000</v>
      </c>
      <c r="M84" s="1" cm="1">
        <f t="array" ref="M84">eval_tr</f>
        <v>8043.0409410407929</v>
      </c>
      <c r="N84" s="1">
        <f t="shared" si="4"/>
        <v>8043.0409410407929</v>
      </c>
      <c r="O84" s="1" t="str">
        <f t="shared" si="5"/>
        <v>GM-14-NA</v>
      </c>
      <c r="P84" s="1">
        <f>VLOOKUP(O84,teams!$A$1:$B$47,2,)</f>
        <v>1</v>
      </c>
    </row>
    <row r="85" spans="1:16" ht="15.75" customHeight="1" x14ac:dyDescent="0.15">
      <c r="A85" s="5" t="s">
        <v>18</v>
      </c>
      <c r="B85" s="5">
        <v>14</v>
      </c>
      <c r="C85" s="5" t="s">
        <v>21</v>
      </c>
      <c r="D85" s="5" t="s">
        <v>32</v>
      </c>
      <c r="E85" s="7">
        <v>44742</v>
      </c>
      <c r="F85" s="5" t="s">
        <v>5</v>
      </c>
      <c r="G85" s="5" t="s">
        <v>35</v>
      </c>
      <c r="H85" s="5" t="s">
        <v>15</v>
      </c>
      <c r="I85" s="4">
        <v>7</v>
      </c>
      <c r="J85" s="4">
        <v>6</v>
      </c>
      <c r="K85" s="1" t="str">
        <f>VLOOKUP(Table1[[#This Row],[Species ]],eq!$A$3:$B$13,2,)</f>
        <v>((0.0259*(X4^1.9044)*X2^0.9715)+(0.0069*(X4^2.0834)*X2^0.5371)+(0.0325*(X4^2.3851)*X2^0)+(0.1683*(X4^1.2764)*X2^0))*1000</v>
      </c>
      <c r="L85" s="1" t="str">
        <f t="shared" si="3"/>
        <v>((0.0259*(6^1.9044)*7^0.9715)+(0.0069*(6^2.0834)*7^0.5371)+(0.0325*(6^2.3851)*7^0)+(0.1683*(6^1.2764)*7^0))*1000</v>
      </c>
      <c r="M85" s="1" cm="1">
        <f t="array" ref="M85">eval_tr</f>
        <v>10012.538852835281</v>
      </c>
      <c r="N85" s="1">
        <f t="shared" si="4"/>
        <v>10012.538852835281</v>
      </c>
      <c r="O85" s="1" t="str">
        <f t="shared" si="5"/>
        <v>GM-14-NA</v>
      </c>
      <c r="P85" s="1">
        <f>VLOOKUP(O85,teams!$A$1:$B$47,2,)</f>
        <v>1</v>
      </c>
    </row>
    <row r="86" spans="1:16" ht="15.75" customHeight="1" x14ac:dyDescent="0.15">
      <c r="A86" s="5" t="s">
        <v>18</v>
      </c>
      <c r="B86" s="5">
        <v>14</v>
      </c>
      <c r="C86" s="5" t="s">
        <v>21</v>
      </c>
      <c r="D86" s="5" t="s">
        <v>32</v>
      </c>
      <c r="E86" s="7">
        <v>44742</v>
      </c>
      <c r="F86" s="5" t="s">
        <v>7</v>
      </c>
      <c r="G86" s="5" t="s">
        <v>34</v>
      </c>
      <c r="H86" s="3" t="s">
        <v>10</v>
      </c>
      <c r="I86" s="4">
        <v>9</v>
      </c>
      <c r="J86" s="4">
        <v>7</v>
      </c>
      <c r="K86" s="1" t="str">
        <f>VLOOKUP(Table1[[#This Row],[Species ]],eq!$A$3:$B$13,2,)</f>
        <v>((0.0294*(X4^1.8357)*X2^0.864)+(0.0053*(X4^2.0876)*X2^0.5842)+(0.0117*(X4^3.5097)*X2^-1.3006)+(0.1245*(X4^2.523)*X2^-1.123))*1000</v>
      </c>
      <c r="L86" s="1" t="str">
        <f t="shared" si="3"/>
        <v>((0.0294*(7^1.8357)*9^0.864)+(0.0053*(7^2.0876)*9^0.5842)+(0.0117*(7^3.5097)*9^-1.3006)+(0.1245*(7^2.523)*9^-1.123))*1000</v>
      </c>
      <c r="M86" s="1" cm="1">
        <f t="array" ref="M86">eval_tr</f>
        <v>10148.93300133658</v>
      </c>
      <c r="N86" s="1">
        <f t="shared" si="4"/>
        <v>10148.93300133658</v>
      </c>
      <c r="O86" s="1" t="str">
        <f t="shared" si="5"/>
        <v>GM-14-NA</v>
      </c>
      <c r="P86" s="1">
        <f>VLOOKUP(O86,teams!$A$1:$B$47,2,)</f>
        <v>1</v>
      </c>
    </row>
    <row r="87" spans="1:16" ht="15.75" customHeight="1" x14ac:dyDescent="0.15">
      <c r="A87" s="5" t="s">
        <v>18</v>
      </c>
      <c r="B87" s="5">
        <v>14</v>
      </c>
      <c r="C87" s="5" t="s">
        <v>21</v>
      </c>
      <c r="D87" s="5" t="s">
        <v>32</v>
      </c>
      <c r="E87" s="7">
        <v>44742</v>
      </c>
      <c r="F87" s="5" t="s">
        <v>6</v>
      </c>
      <c r="G87" s="5" t="s">
        <v>36</v>
      </c>
      <c r="H87" s="3" t="s">
        <v>10</v>
      </c>
      <c r="I87" s="4">
        <v>8</v>
      </c>
      <c r="J87" s="4">
        <v>7.25</v>
      </c>
      <c r="K87" s="1" t="str">
        <f>VLOOKUP(Table1[[#This Row],[Species ]],eq!$A$3:$B$13,2,)</f>
        <v>((0.0294*(X4^1.8357)*X2^0.864)+(0.0053*(X4^2.0876)*X2^0.5842)+(0.0117*(X4^3.5097)*X2^-1.3006)+(0.1245*(X4^2.523)*X2^-1.123))*1000</v>
      </c>
      <c r="L87" s="1" t="str">
        <f t="shared" si="3"/>
        <v>((0.0294*(7.25^1.8357)*8^0.864)+(0.0053*(7.25^2.0876)*8^0.5842)+(0.0117*(7.25^3.5097)*8^-1.3006)+(0.1245*(7.25^2.523)*8^-1.123))*1000</v>
      </c>
      <c r="M87" s="1" cm="1">
        <f t="array" ref="M87">eval_tr</f>
        <v>10449.175335939703</v>
      </c>
      <c r="N87" s="1">
        <f t="shared" si="4"/>
        <v>10449.175335939703</v>
      </c>
      <c r="O87" s="1" t="str">
        <f t="shared" si="5"/>
        <v>GM-14-NA</v>
      </c>
      <c r="P87" s="1">
        <f>VLOOKUP(O87,teams!$A$1:$B$47,2,)</f>
        <v>1</v>
      </c>
    </row>
    <row r="88" spans="1:16" ht="15.75" customHeight="1" x14ac:dyDescent="0.15">
      <c r="A88" s="5" t="s">
        <v>18</v>
      </c>
      <c r="B88" s="5">
        <v>14</v>
      </c>
      <c r="C88" s="5" t="s">
        <v>21</v>
      </c>
      <c r="D88" s="5" t="s">
        <v>32</v>
      </c>
      <c r="E88" s="7">
        <v>44742</v>
      </c>
      <c r="F88" s="5" t="s">
        <v>7</v>
      </c>
      <c r="G88" s="5" t="s">
        <v>34</v>
      </c>
      <c r="H88" s="3" t="s">
        <v>15</v>
      </c>
      <c r="I88" s="4">
        <v>7.5</v>
      </c>
      <c r="J88" s="4">
        <v>7</v>
      </c>
      <c r="K88" s="1" t="str">
        <f>VLOOKUP(Table1[[#This Row],[Species ]],eq!$A$3:$B$13,2,)</f>
        <v>((0.0259*(X4^1.9044)*X2^0.9715)+(0.0069*(X4^2.0834)*X2^0.5371)+(0.0325*(X4^2.3851)*X2^0)+(0.1683*(X4^1.2764)*X2^0))*1000</v>
      </c>
      <c r="L88" s="1" t="str">
        <f t="shared" si="3"/>
        <v>((0.0259*(7^1.9044)*7.5^0.9715)+(0.0069*(7^2.0834)*7.5^0.5371)+(0.0325*(7^2.3851)*7.5^0)+(0.1683*(7^1.2764)*7.5^0))*1000</v>
      </c>
      <c r="M88" s="1" cm="1">
        <f t="array" ref="M88">eval_tr</f>
        <v>14021.594631998731</v>
      </c>
      <c r="N88" s="1">
        <f t="shared" si="4"/>
        <v>14021.594631998731</v>
      </c>
      <c r="O88" s="1" t="str">
        <f t="shared" si="5"/>
        <v>GM-14-NA</v>
      </c>
      <c r="P88" s="1">
        <f>VLOOKUP(O88,teams!$A$1:$B$47,2,)</f>
        <v>1</v>
      </c>
    </row>
    <row r="89" spans="1:16" ht="15.75" customHeight="1" x14ac:dyDescent="0.15">
      <c r="A89" s="5" t="s">
        <v>18</v>
      </c>
      <c r="B89" s="5">
        <v>14</v>
      </c>
      <c r="C89" s="5" t="s">
        <v>21</v>
      </c>
      <c r="D89" s="5" t="s">
        <v>32</v>
      </c>
      <c r="E89" s="7">
        <v>44742</v>
      </c>
      <c r="F89" s="5" t="s">
        <v>6</v>
      </c>
      <c r="G89" s="5" t="s">
        <v>36</v>
      </c>
      <c r="H89" s="3" t="s">
        <v>10</v>
      </c>
      <c r="I89" s="4">
        <v>7.5</v>
      </c>
      <c r="J89" s="4">
        <v>9.5</v>
      </c>
      <c r="K89" s="1" t="str">
        <f>VLOOKUP(Table1[[#This Row],[Species ]],eq!$A$3:$B$13,2,)</f>
        <v>((0.0294*(X4^1.8357)*X2^0.864)+(0.0053*(X4^2.0876)*X2^0.5842)+(0.0117*(X4^3.5097)*X2^-1.3006)+(0.1245*(X4^2.523)*X2^-1.123))*1000</v>
      </c>
      <c r="L89" s="1" t="str">
        <f t="shared" si="3"/>
        <v>((0.0294*(9.5^1.8357)*7.5^0.864)+(0.0053*(9.5^2.0876)*7.5^0.5842)+(0.0117*(9.5^3.5097)*7.5^-1.3006)+(0.1245*(9.5^2.523)*7.5^-1.123))*1000</v>
      </c>
      <c r="M89" s="1" cm="1">
        <f t="array" ref="M89">eval_tr</f>
        <v>18437.558777385475</v>
      </c>
      <c r="N89" s="1">
        <f t="shared" si="4"/>
        <v>18437.558777385475</v>
      </c>
      <c r="O89" s="1" t="str">
        <f t="shared" si="5"/>
        <v>GM-14-NA</v>
      </c>
      <c r="P89" s="1">
        <f>VLOOKUP(O89,teams!$A$1:$B$47,2,)</f>
        <v>1</v>
      </c>
    </row>
    <row r="90" spans="1:16" ht="15.75" customHeight="1" x14ac:dyDescent="0.15">
      <c r="A90" s="5" t="s">
        <v>18</v>
      </c>
      <c r="B90" s="5">
        <v>14</v>
      </c>
      <c r="C90" s="5" t="s">
        <v>21</v>
      </c>
      <c r="D90" s="5" t="s">
        <v>32</v>
      </c>
      <c r="E90" s="7">
        <v>44742</v>
      </c>
      <c r="F90" s="5" t="s">
        <v>6</v>
      </c>
      <c r="G90" s="5" t="s">
        <v>36</v>
      </c>
      <c r="H90" s="3" t="s">
        <v>10</v>
      </c>
      <c r="I90" s="4">
        <v>9</v>
      </c>
      <c r="J90" s="4">
        <v>10</v>
      </c>
      <c r="K90" s="1" t="str">
        <f>VLOOKUP(Table1[[#This Row],[Species ]],eq!$A$3:$B$13,2,)</f>
        <v>((0.0294*(X4^1.8357)*X2^0.864)+(0.0053*(X4^2.0876)*X2^0.5842)+(0.0117*(X4^3.5097)*X2^-1.3006)+(0.1245*(X4^2.523)*X2^-1.123))*1000</v>
      </c>
      <c r="L90" s="1" t="str">
        <f t="shared" si="3"/>
        <v>((0.0294*(10^1.8357)*9^0.864)+(0.0053*(10^2.0876)*9^0.5842)+(0.0117*(10^3.5097)*9^-1.3006)+(0.1245*(10^2.523)*9^-1.123))*1000</v>
      </c>
      <c r="M90" s="1" cm="1">
        <f t="array" ref="M90">eval_tr</f>
        <v>21475.999298519928</v>
      </c>
      <c r="N90" s="1">
        <f t="shared" si="4"/>
        <v>21475.999298519928</v>
      </c>
      <c r="O90" s="1" t="str">
        <f t="shared" si="5"/>
        <v>GM-14-NA</v>
      </c>
      <c r="P90" s="1">
        <f>VLOOKUP(O90,teams!$A$1:$B$47,2,)</f>
        <v>1</v>
      </c>
    </row>
    <row r="91" spans="1:16" ht="15.75" customHeight="1" x14ac:dyDescent="0.15">
      <c r="A91" s="5" t="s">
        <v>18</v>
      </c>
      <c r="B91" s="5">
        <v>14</v>
      </c>
      <c r="C91" s="5" t="s">
        <v>21</v>
      </c>
      <c r="D91" s="5" t="s">
        <v>32</v>
      </c>
      <c r="E91" s="7">
        <v>44742</v>
      </c>
      <c r="F91" s="5" t="s">
        <v>9</v>
      </c>
      <c r="G91" s="5" t="s">
        <v>37</v>
      </c>
      <c r="H91" s="5" t="s">
        <v>10</v>
      </c>
      <c r="I91" s="4">
        <v>11.5</v>
      </c>
      <c r="J91" s="4">
        <v>12</v>
      </c>
      <c r="K91" s="1" t="str">
        <f>VLOOKUP(Table1[[#This Row],[Species ]],eq!$A$3:$B$13,2,)</f>
        <v>((0.0294*(X4^1.8357)*X2^0.864)+(0.0053*(X4^2.0876)*X2^0.5842)+(0.0117*(X4^3.5097)*X2^-1.3006)+(0.1245*(X4^2.523)*X2^-1.123))*1000</v>
      </c>
      <c r="L91" s="1" t="str">
        <f t="shared" si="3"/>
        <v>((0.0294*(12^1.8357)*11.5^0.864)+(0.0053*(12^2.0876)*11.5^0.5842)+(0.0117*(12^3.5097)*11.5^-1.3006)+(0.1245*(12^2.523)*11.5^-1.123))*1000</v>
      </c>
      <c r="M91" s="1" cm="1">
        <f t="array" ref="M91">eval_tr</f>
        <v>34399.380324803933</v>
      </c>
      <c r="N91" s="1">
        <f t="shared" si="4"/>
        <v>34399.380324803933</v>
      </c>
      <c r="O91" s="1" t="str">
        <f t="shared" si="5"/>
        <v>GM-14-NA</v>
      </c>
      <c r="P91" s="1">
        <f>VLOOKUP(O91,teams!$A$1:$B$47,2,)</f>
        <v>1</v>
      </c>
    </row>
    <row r="92" spans="1:16" ht="15.75" customHeight="1" x14ac:dyDescent="0.15">
      <c r="A92" s="5" t="s">
        <v>18</v>
      </c>
      <c r="B92" s="5">
        <v>14</v>
      </c>
      <c r="C92" s="5" t="s">
        <v>21</v>
      </c>
      <c r="D92" s="5" t="s">
        <v>32</v>
      </c>
      <c r="E92" s="7">
        <v>44742</v>
      </c>
      <c r="F92" s="5" t="s">
        <v>5</v>
      </c>
      <c r="G92" s="5" t="s">
        <v>35</v>
      </c>
      <c r="H92" s="5" t="s">
        <v>15</v>
      </c>
      <c r="I92" s="4">
        <v>11</v>
      </c>
      <c r="J92" s="4">
        <v>10.75</v>
      </c>
      <c r="K92" s="1" t="str">
        <f>VLOOKUP(Table1[[#This Row],[Species ]],eq!$A$3:$B$13,2,)</f>
        <v>((0.0259*(X4^1.9044)*X2^0.9715)+(0.0069*(X4^2.0834)*X2^0.5371)+(0.0325*(X4^2.3851)*X2^0)+(0.1683*(X4^1.2764)*X2^0))*1000</v>
      </c>
      <c r="L92" s="1" t="str">
        <f t="shared" si="3"/>
        <v>((0.0259*(10.75^1.9044)*11^0.9715)+(0.0069*(10.75^2.0834)*11^0.5371)+(0.0325*(10.75^2.3851)*11^0)+(0.1683*(10.75^1.2764)*11^0))*1000</v>
      </c>
      <c r="M92" s="1" cm="1">
        <f t="array" ref="M92">eval_tr</f>
        <v>40888.637061620058</v>
      </c>
      <c r="N92" s="1">
        <f t="shared" si="4"/>
        <v>40888.637061620058</v>
      </c>
      <c r="O92" s="1" t="str">
        <f t="shared" si="5"/>
        <v>GM-14-NA</v>
      </c>
      <c r="P92" s="1">
        <f>VLOOKUP(O92,teams!$A$1:$B$47,2,)</f>
        <v>1</v>
      </c>
    </row>
    <row r="93" spans="1:16" ht="15.75" customHeight="1" x14ac:dyDescent="0.15">
      <c r="A93" s="5" t="s">
        <v>18</v>
      </c>
      <c r="B93" s="5">
        <v>14</v>
      </c>
      <c r="C93" s="5" t="s">
        <v>21</v>
      </c>
      <c r="D93" s="5" t="s">
        <v>32</v>
      </c>
      <c r="E93" s="7">
        <v>44742</v>
      </c>
      <c r="F93" s="5" t="s">
        <v>5</v>
      </c>
      <c r="G93" s="5" t="s">
        <v>35</v>
      </c>
      <c r="H93" s="3" t="s">
        <v>10</v>
      </c>
      <c r="I93" s="4">
        <v>11</v>
      </c>
      <c r="J93" s="4">
        <v>14.25</v>
      </c>
      <c r="K93" s="1" t="str">
        <f>VLOOKUP(Table1[[#This Row],[Species ]],eq!$A$3:$B$13,2,)</f>
        <v>((0.0294*(X4^1.8357)*X2^0.864)+(0.0053*(X4^2.0876)*X2^0.5842)+(0.0117*(X4^3.5097)*X2^-1.3006)+(0.1245*(X4^2.523)*X2^-1.123))*1000</v>
      </c>
      <c r="L93" s="1" t="str">
        <f t="shared" si="3"/>
        <v>((0.0294*(14.25^1.8357)*11^0.864)+(0.0053*(14.25^2.0876)*11^0.5842)+(0.0117*(14.25^3.5097)*11^-1.3006)+(0.1245*(14.25^2.523)*11^-1.123))*1000</v>
      </c>
      <c r="M93" s="1" cm="1">
        <f t="array" ref="M93">eval_tr</f>
        <v>48809.29405831793</v>
      </c>
      <c r="N93" s="1">
        <f t="shared" si="4"/>
        <v>48809.29405831793</v>
      </c>
      <c r="O93" s="1" t="str">
        <f t="shared" si="5"/>
        <v>GM-14-NA</v>
      </c>
      <c r="P93" s="1">
        <f>VLOOKUP(O93,teams!$A$1:$B$47,2,)</f>
        <v>1</v>
      </c>
    </row>
    <row r="94" spans="1:16" ht="15.75" customHeight="1" x14ac:dyDescent="0.15">
      <c r="A94" s="5" t="s">
        <v>18</v>
      </c>
      <c r="B94" s="5">
        <v>14</v>
      </c>
      <c r="C94" s="5" t="s">
        <v>21</v>
      </c>
      <c r="D94" s="5" t="s">
        <v>32</v>
      </c>
      <c r="E94" s="7">
        <v>44742</v>
      </c>
      <c r="F94" s="5" t="s">
        <v>5</v>
      </c>
      <c r="G94" s="5" t="s">
        <v>35</v>
      </c>
      <c r="H94" s="3" t="s">
        <v>10</v>
      </c>
      <c r="I94" s="4">
        <v>11</v>
      </c>
      <c r="J94" s="4">
        <v>15.25</v>
      </c>
      <c r="K94" s="1" t="str">
        <f>VLOOKUP(Table1[[#This Row],[Species ]],eq!$A$3:$B$13,2,)</f>
        <v>((0.0294*(X4^1.8357)*X2^0.864)+(0.0053*(X4^2.0876)*X2^0.5842)+(0.0117*(X4^3.5097)*X2^-1.3006)+(0.1245*(X4^2.523)*X2^-1.123))*1000</v>
      </c>
      <c r="L94" s="1" t="str">
        <f t="shared" si="3"/>
        <v>((0.0294*(15.25^1.8357)*11^0.864)+(0.0053*(15.25^2.0876)*11^0.5842)+(0.0117*(15.25^3.5097)*11^-1.3006)+(0.1245*(15.25^2.523)*11^-1.123))*1000</v>
      </c>
      <c r="M94" s="1" cm="1">
        <f t="array" ref="M94">eval_tr</f>
        <v>56548.893755266537</v>
      </c>
      <c r="N94" s="1">
        <f t="shared" si="4"/>
        <v>56548.893755266537</v>
      </c>
      <c r="O94" s="1" t="str">
        <f t="shared" si="5"/>
        <v>GM-14-NA</v>
      </c>
      <c r="P94" s="1">
        <f>VLOOKUP(O94,teams!$A$1:$B$47,2,)</f>
        <v>1</v>
      </c>
    </row>
    <row r="95" spans="1:16" ht="15.75" customHeight="1" x14ac:dyDescent="0.15">
      <c r="A95" s="5" t="s">
        <v>18</v>
      </c>
      <c r="B95" s="5">
        <v>14</v>
      </c>
      <c r="C95" s="5" t="s">
        <v>21</v>
      </c>
      <c r="D95" s="5" t="s">
        <v>32</v>
      </c>
      <c r="E95" s="7">
        <v>44742</v>
      </c>
      <c r="F95" s="5" t="s">
        <v>7</v>
      </c>
      <c r="G95" s="5" t="s">
        <v>34</v>
      </c>
      <c r="H95" s="3" t="s">
        <v>10</v>
      </c>
      <c r="I95" s="4">
        <v>12</v>
      </c>
      <c r="J95" s="4">
        <v>16</v>
      </c>
      <c r="K95" s="1" t="str">
        <f>VLOOKUP(Table1[[#This Row],[Species ]],eq!$A$3:$B$13,2,)</f>
        <v>((0.0294*(X4^1.8357)*X2^0.864)+(0.0053*(X4^2.0876)*X2^0.5842)+(0.0117*(X4^3.5097)*X2^-1.3006)+(0.1245*(X4^2.523)*X2^-1.123))*1000</v>
      </c>
      <c r="L95" s="1" t="str">
        <f t="shared" si="3"/>
        <v>((0.0294*(16^1.8357)*12^0.864)+(0.0053*(16^2.0876)*12^0.5842)+(0.0117*(16^3.5097)*12^-1.3006)+(0.1245*(16^2.523)*12^-1.123))*1000</v>
      </c>
      <c r="M95" s="1" cm="1">
        <f t="array" ref="M95">eval_tr</f>
        <v>64350.560198822212</v>
      </c>
      <c r="N95" s="1">
        <f t="shared" si="4"/>
        <v>64350.560198822212</v>
      </c>
      <c r="O95" s="1" t="str">
        <f t="shared" si="5"/>
        <v>GM-14-NA</v>
      </c>
      <c r="P95" s="1">
        <f>VLOOKUP(O95,teams!$A$1:$B$47,2,)</f>
        <v>1</v>
      </c>
    </row>
    <row r="96" spans="1:16" ht="15.75" customHeight="1" x14ac:dyDescent="0.15">
      <c r="A96" s="5" t="s">
        <v>18</v>
      </c>
      <c r="B96" s="5">
        <v>14</v>
      </c>
      <c r="C96" s="5" t="s">
        <v>21</v>
      </c>
      <c r="D96" s="5" t="s">
        <v>32</v>
      </c>
      <c r="E96" s="7">
        <v>44742</v>
      </c>
      <c r="F96" s="5" t="s">
        <v>9</v>
      </c>
      <c r="G96" s="5" t="s">
        <v>37</v>
      </c>
      <c r="H96" s="3" t="s">
        <v>10</v>
      </c>
      <c r="I96" s="4">
        <v>13</v>
      </c>
      <c r="J96" s="4">
        <v>16.75</v>
      </c>
      <c r="K96" s="1" t="str">
        <f>VLOOKUP(Table1[[#This Row],[Species ]],eq!$A$3:$B$13,2,)</f>
        <v>((0.0294*(X4^1.8357)*X2^0.864)+(0.0053*(X4^2.0876)*X2^0.5842)+(0.0117*(X4^3.5097)*X2^-1.3006)+(0.1245*(X4^2.523)*X2^-1.123))*1000</v>
      </c>
      <c r="L96" s="1" t="str">
        <f t="shared" si="3"/>
        <v>((0.0294*(16.75^1.8357)*13^0.864)+(0.0053*(16.75^2.0876)*13^0.5842)+(0.0117*(16.75^3.5097)*13^-1.3006)+(0.1245*(16.75^2.523)*13^-1.123))*1000</v>
      </c>
      <c r="M96" s="1" cm="1">
        <f t="array" ref="M96">eval_tr</f>
        <v>72916.338467875132</v>
      </c>
      <c r="N96" s="1">
        <f t="shared" si="4"/>
        <v>72916.338467875132</v>
      </c>
      <c r="O96" s="1" t="str">
        <f t="shared" si="5"/>
        <v>GM-14-NA</v>
      </c>
      <c r="P96" s="1">
        <f>VLOOKUP(O96,teams!$A$1:$B$47,2,)</f>
        <v>1</v>
      </c>
    </row>
    <row r="97" spans="1:16" ht="15.75" customHeight="1" x14ac:dyDescent="0.15">
      <c r="A97" s="5" t="s">
        <v>18</v>
      </c>
      <c r="B97" s="5">
        <v>15</v>
      </c>
      <c r="C97" s="5" t="s">
        <v>21</v>
      </c>
      <c r="D97" s="5" t="s">
        <v>32</v>
      </c>
      <c r="E97" s="7">
        <v>44741</v>
      </c>
      <c r="F97" s="5" t="s">
        <v>6</v>
      </c>
      <c r="G97" s="5" t="s">
        <v>36</v>
      </c>
      <c r="H97" s="3" t="s">
        <v>10</v>
      </c>
      <c r="I97" s="4">
        <v>3.5</v>
      </c>
      <c r="J97" s="4">
        <v>4</v>
      </c>
      <c r="K97" s="1" t="str">
        <f>VLOOKUP(Table1[[#This Row],[Species ]],eq!$A$3:$B$13,2,)</f>
        <v>((0.0294*(X4^1.8357)*X2^0.864)+(0.0053*(X4^2.0876)*X2^0.5842)+(0.0117*(X4^3.5097)*X2^-1.3006)+(0.1245*(X4^2.523)*X2^-1.123))*1000</v>
      </c>
      <c r="L97" s="1" t="str">
        <f t="shared" si="3"/>
        <v>((0.0294*(4^1.8357)*3.5^0.864)+(0.0053*(4^2.0876)*3.5^0.5842)+(0.0117*(4^3.5097)*3.5^-1.3006)+(0.1245*(4^2.523)*3.5^-1.123))*1000</v>
      </c>
      <c r="M97" s="1" cm="1">
        <f t="array" ref="M97">eval_tr</f>
        <v>2609.6606854351999</v>
      </c>
      <c r="N97" s="1">
        <f t="shared" si="4"/>
        <v>2609.6606854351999</v>
      </c>
      <c r="O97" s="1" t="str">
        <f t="shared" si="5"/>
        <v>GM-15-NA</v>
      </c>
      <c r="P97" s="1">
        <f>VLOOKUP(O97,teams!$A$1:$B$47,2,)</f>
        <v>1</v>
      </c>
    </row>
    <row r="98" spans="1:16" ht="15.75" customHeight="1" x14ac:dyDescent="0.15">
      <c r="A98" s="5" t="s">
        <v>18</v>
      </c>
      <c r="B98" s="5">
        <v>15</v>
      </c>
      <c r="C98" s="5" t="s">
        <v>21</v>
      </c>
      <c r="D98" s="5" t="s">
        <v>32</v>
      </c>
      <c r="E98" s="7">
        <v>44741</v>
      </c>
      <c r="F98" s="5" t="s">
        <v>7</v>
      </c>
      <c r="G98" s="5" t="s">
        <v>34</v>
      </c>
      <c r="H98" s="3" t="s">
        <v>10</v>
      </c>
      <c r="I98" s="4">
        <v>5</v>
      </c>
      <c r="J98" s="4">
        <v>5</v>
      </c>
      <c r="K98" s="1" t="str">
        <f>VLOOKUP(Table1[[#This Row],[Species ]],eq!$A$3:$B$13,2,)</f>
        <v>((0.0294*(X4^1.8357)*X2^0.864)+(0.0053*(X4^2.0876)*X2^0.5842)+(0.0117*(X4^3.5097)*X2^-1.3006)+(0.1245*(X4^2.523)*X2^-1.123))*1000</v>
      </c>
      <c r="L98" s="1" t="str">
        <f t="shared" si="3"/>
        <v>((0.0294*(5^1.8357)*5^0.864)+(0.0053*(5^2.0876)*5^0.5842)+(0.0117*(5^3.5097)*5^-1.3006)+(0.1245*(5^2.523)*5^-1.123))*1000</v>
      </c>
      <c r="M98" s="1" cm="1">
        <f t="array" ref="M98">eval_tr</f>
        <v>4251.700983909227</v>
      </c>
      <c r="N98" s="1">
        <f t="shared" si="4"/>
        <v>4251.700983909227</v>
      </c>
      <c r="O98" s="1" t="str">
        <f t="shared" si="5"/>
        <v>GM-15-NA</v>
      </c>
      <c r="P98" s="1">
        <f>VLOOKUP(O98,teams!$A$1:$B$47,2,)</f>
        <v>1</v>
      </c>
    </row>
    <row r="99" spans="1:16" ht="15.75" customHeight="1" x14ac:dyDescent="0.15">
      <c r="A99" s="5" t="s">
        <v>18</v>
      </c>
      <c r="B99" s="5">
        <v>15</v>
      </c>
      <c r="C99" s="5" t="s">
        <v>21</v>
      </c>
      <c r="D99" s="5" t="s">
        <v>32</v>
      </c>
      <c r="E99" s="7">
        <v>44741</v>
      </c>
      <c r="F99" s="5" t="s">
        <v>6</v>
      </c>
      <c r="G99" s="5" t="s">
        <v>36</v>
      </c>
      <c r="H99" s="3" t="s">
        <v>10</v>
      </c>
      <c r="I99" s="4">
        <v>4</v>
      </c>
      <c r="J99" s="4">
        <v>5</v>
      </c>
      <c r="K99" s="1" t="str">
        <f>VLOOKUP(Table1[[#This Row],[Species ]],eq!$A$3:$B$13,2,)</f>
        <v>((0.0294*(X4^1.8357)*X2^0.864)+(0.0053*(X4^2.0876)*X2^0.5842)+(0.0117*(X4^3.5097)*X2^-1.3006)+(0.1245*(X4^2.523)*X2^-1.123))*1000</v>
      </c>
      <c r="L99" s="1" t="str">
        <f t="shared" si="3"/>
        <v>((0.0294*(5^1.8357)*4^0.864)+(0.0053*(5^2.0876)*4^0.5842)+(0.0117*(5^3.5097)*4^-1.3006)+(0.1245*(5^2.523)*4^-1.123))*1000</v>
      </c>
      <c r="M99" s="1" cm="1">
        <f t="array" ref="M99">eval_tr</f>
        <v>4281.8961229916004</v>
      </c>
      <c r="N99" s="1">
        <f t="shared" si="4"/>
        <v>4281.8961229916004</v>
      </c>
      <c r="O99" s="1" t="str">
        <f t="shared" si="5"/>
        <v>GM-15-NA</v>
      </c>
      <c r="P99" s="1">
        <f>VLOOKUP(O99,teams!$A$1:$B$47,2,)</f>
        <v>1</v>
      </c>
    </row>
    <row r="100" spans="1:16" ht="15.75" customHeight="1" x14ac:dyDescent="0.15">
      <c r="A100" s="5" t="s">
        <v>18</v>
      </c>
      <c r="B100" s="5">
        <v>15</v>
      </c>
      <c r="C100" s="5" t="s">
        <v>21</v>
      </c>
      <c r="D100" s="5" t="s">
        <v>32</v>
      </c>
      <c r="E100" s="7">
        <v>44741</v>
      </c>
      <c r="F100" s="5" t="s">
        <v>5</v>
      </c>
      <c r="G100" s="5" t="s">
        <v>35</v>
      </c>
      <c r="H100" s="3" t="s">
        <v>10</v>
      </c>
      <c r="I100" s="4">
        <v>5.5</v>
      </c>
      <c r="J100" s="4">
        <v>5.25</v>
      </c>
      <c r="K100" s="1" t="str">
        <f>VLOOKUP(Table1[[#This Row],[Species ]],eq!$A$3:$B$13,2,)</f>
        <v>((0.0294*(X4^1.8357)*X2^0.864)+(0.0053*(X4^2.0876)*X2^0.5842)+(0.0117*(X4^3.5097)*X2^-1.3006)+(0.1245*(X4^2.523)*X2^-1.123))*1000</v>
      </c>
      <c r="L100" s="1" t="str">
        <f t="shared" si="3"/>
        <v>((0.0294*(5.25^1.8357)*5.5^0.864)+(0.0053*(5.25^2.0876)*5.5^0.5842)+(0.0117*(5.25^3.5097)*5.5^-1.3006)+(0.1245*(5.25^2.523)*5.5^-1.123))*1000</v>
      </c>
      <c r="M100" s="1" cm="1">
        <f t="array" ref="M100">eval_tr</f>
        <v>4782.5066229787008</v>
      </c>
      <c r="N100" s="1">
        <f t="shared" si="4"/>
        <v>4782.5066229787008</v>
      </c>
      <c r="O100" s="1" t="str">
        <f t="shared" si="5"/>
        <v>GM-15-NA</v>
      </c>
      <c r="P100" s="1">
        <f>VLOOKUP(O100,teams!$A$1:$B$47,2,)</f>
        <v>1</v>
      </c>
    </row>
    <row r="101" spans="1:16" ht="15.75" customHeight="1" x14ac:dyDescent="0.15">
      <c r="A101" s="5" t="s">
        <v>18</v>
      </c>
      <c r="B101" s="5">
        <v>15</v>
      </c>
      <c r="C101" s="5" t="s">
        <v>21</v>
      </c>
      <c r="D101" s="5" t="s">
        <v>32</v>
      </c>
      <c r="E101" s="7">
        <v>44741</v>
      </c>
      <c r="F101" s="5" t="s">
        <v>6</v>
      </c>
      <c r="G101" s="5" t="s">
        <v>36</v>
      </c>
      <c r="H101" s="3" t="s">
        <v>10</v>
      </c>
      <c r="I101" s="4">
        <v>5</v>
      </c>
      <c r="J101" s="4">
        <v>6.5</v>
      </c>
      <c r="K101" s="1" t="str">
        <f>VLOOKUP(Table1[[#This Row],[Species ]],eq!$A$3:$B$13,2,)</f>
        <v>((0.0294*(X4^1.8357)*X2^0.864)+(0.0053*(X4^2.0876)*X2^0.5842)+(0.0117*(X4^3.5097)*X2^-1.3006)+(0.1245*(X4^2.523)*X2^-1.123))*1000</v>
      </c>
      <c r="L101" s="1" t="str">
        <f t="shared" si="3"/>
        <v>((0.0294*(6.5^1.8357)*5^0.864)+(0.0053*(6.5^2.0876)*5^0.5842)+(0.0117*(6.5^3.5097)*5^-1.3006)+(0.1245*(6.5^2.523)*5^-1.123))*1000</v>
      </c>
      <c r="M101" s="1" cm="1">
        <f t="array" ref="M101">eval_tr</f>
        <v>7670.0287838434824</v>
      </c>
      <c r="N101" s="1">
        <f t="shared" si="4"/>
        <v>7670.0287838434824</v>
      </c>
      <c r="O101" s="1" t="str">
        <f t="shared" si="5"/>
        <v>GM-15-NA</v>
      </c>
      <c r="P101" s="1">
        <f>VLOOKUP(O101,teams!$A$1:$B$47,2,)</f>
        <v>1</v>
      </c>
    </row>
    <row r="102" spans="1:16" ht="15.75" customHeight="1" x14ac:dyDescent="0.15">
      <c r="A102" s="5" t="s">
        <v>18</v>
      </c>
      <c r="B102" s="5">
        <v>15</v>
      </c>
      <c r="C102" s="5" t="s">
        <v>21</v>
      </c>
      <c r="D102" s="5" t="s">
        <v>32</v>
      </c>
      <c r="E102" s="7">
        <v>44741</v>
      </c>
      <c r="F102" s="5" t="s">
        <v>5</v>
      </c>
      <c r="G102" s="5" t="s">
        <v>35</v>
      </c>
      <c r="H102" s="3" t="s">
        <v>10</v>
      </c>
      <c r="I102" s="4">
        <v>7</v>
      </c>
      <c r="J102" s="4">
        <v>8</v>
      </c>
      <c r="K102" s="1" t="str">
        <f>VLOOKUP(Table1[[#This Row],[Species ]],eq!$A$3:$B$13,2,)</f>
        <v>((0.0294*(X4^1.8357)*X2^0.864)+(0.0053*(X4^2.0876)*X2^0.5842)+(0.0117*(X4^3.5097)*X2^-1.3006)+(0.1245*(X4^2.523)*X2^-1.123))*1000</v>
      </c>
      <c r="L102" s="1" t="str">
        <f t="shared" si="3"/>
        <v>((0.0294*(8^1.8357)*7^0.864)+(0.0053*(8^2.0876)*7^0.5842)+(0.0117*(8^3.5097)*7^-1.3006)+(0.1245*(8^2.523)*7^-1.123))*1000</v>
      </c>
      <c r="M102" s="1" cm="1">
        <f t="array" ref="M102">eval_tr</f>
        <v>12486.012927130998</v>
      </c>
      <c r="N102" s="1">
        <f t="shared" si="4"/>
        <v>12486.012927130998</v>
      </c>
      <c r="O102" s="1" t="str">
        <f t="shared" si="5"/>
        <v>GM-15-NA</v>
      </c>
      <c r="P102" s="1">
        <f>VLOOKUP(O102,teams!$A$1:$B$47,2,)</f>
        <v>1</v>
      </c>
    </row>
    <row r="103" spans="1:16" ht="15.75" customHeight="1" x14ac:dyDescent="0.15">
      <c r="A103" s="5" t="s">
        <v>18</v>
      </c>
      <c r="B103" s="5">
        <v>15</v>
      </c>
      <c r="C103" s="5" t="s">
        <v>21</v>
      </c>
      <c r="D103" s="5" t="s">
        <v>32</v>
      </c>
      <c r="E103" s="7">
        <v>44741</v>
      </c>
      <c r="F103" s="5" t="s">
        <v>5</v>
      </c>
      <c r="G103" s="5" t="s">
        <v>35</v>
      </c>
      <c r="H103" s="3" t="s">
        <v>10</v>
      </c>
      <c r="I103" s="4">
        <v>7</v>
      </c>
      <c r="J103" s="4">
        <v>9</v>
      </c>
      <c r="K103" s="1" t="str">
        <f>VLOOKUP(Table1[[#This Row],[Species ]],eq!$A$3:$B$13,2,)</f>
        <v>((0.0294*(X4^1.8357)*X2^0.864)+(0.0053*(X4^2.0876)*X2^0.5842)+(0.0117*(X4^3.5097)*X2^-1.3006)+(0.1245*(X4^2.523)*X2^-1.123))*1000</v>
      </c>
      <c r="L103" s="1" t="str">
        <f t="shared" si="3"/>
        <v>((0.0294*(9^1.8357)*7^0.864)+(0.0053*(9^2.0876)*7^0.5842)+(0.0117*(9^3.5097)*7^-1.3006)+(0.1245*(9^2.523)*7^-1.123))*1000</v>
      </c>
      <c r="M103" s="1" cm="1">
        <f t="array" ref="M103">eval_tr</f>
        <v>16197.709013951411</v>
      </c>
      <c r="N103" s="1">
        <f t="shared" si="4"/>
        <v>16197.709013951411</v>
      </c>
      <c r="O103" s="1" t="str">
        <f t="shared" si="5"/>
        <v>GM-15-NA</v>
      </c>
      <c r="P103" s="1">
        <f>VLOOKUP(O103,teams!$A$1:$B$47,2,)</f>
        <v>1</v>
      </c>
    </row>
    <row r="104" spans="1:16" ht="15.75" customHeight="1" x14ac:dyDescent="0.15">
      <c r="A104" s="5" t="s">
        <v>18</v>
      </c>
      <c r="B104" s="5">
        <v>15</v>
      </c>
      <c r="C104" s="5" t="s">
        <v>21</v>
      </c>
      <c r="D104" s="5" t="s">
        <v>32</v>
      </c>
      <c r="E104" s="7">
        <v>44741</v>
      </c>
      <c r="F104" s="5" t="s">
        <v>5</v>
      </c>
      <c r="G104" s="5" t="s">
        <v>35</v>
      </c>
      <c r="H104" s="3" t="s">
        <v>10</v>
      </c>
      <c r="I104" s="4">
        <v>5.5</v>
      </c>
      <c r="J104" s="4">
        <v>10</v>
      </c>
      <c r="K104" s="1" t="str">
        <f>VLOOKUP(Table1[[#This Row],[Species ]],eq!$A$3:$B$13,2,)</f>
        <v>((0.0294*(X4^1.8357)*X2^0.864)+(0.0053*(X4^2.0876)*X2^0.5842)+(0.0117*(X4^3.5097)*X2^-1.3006)+(0.1245*(X4^2.523)*X2^-1.123))*1000</v>
      </c>
      <c r="L104" s="1" t="str">
        <f t="shared" si="3"/>
        <v>((0.0294*(10^1.8357)*5.5^0.864)+(0.0053*(10^2.0876)*5.5^0.5842)+(0.0117*(10^3.5097)*5.5^-1.3006)+(0.1245*(10^2.523)*5.5^-1.123))*1000</v>
      </c>
      <c r="M104" s="1" cm="1">
        <f t="array" ref="M104">eval_tr</f>
        <v>20780.613112354942</v>
      </c>
      <c r="N104" s="1">
        <f t="shared" si="4"/>
        <v>20780.613112354942</v>
      </c>
      <c r="O104" s="1" t="str">
        <f t="shared" si="5"/>
        <v>GM-15-NA</v>
      </c>
      <c r="P104" s="1">
        <f>VLOOKUP(O104,teams!$A$1:$B$47,2,)</f>
        <v>1</v>
      </c>
    </row>
    <row r="105" spans="1:16" ht="15.75" customHeight="1" x14ac:dyDescent="0.15">
      <c r="A105" s="5" t="s">
        <v>18</v>
      </c>
      <c r="B105" s="5">
        <v>15</v>
      </c>
      <c r="C105" s="5" t="s">
        <v>21</v>
      </c>
      <c r="D105" s="5" t="s">
        <v>32</v>
      </c>
      <c r="E105" s="7">
        <v>44741</v>
      </c>
      <c r="F105" s="5" t="s">
        <v>6</v>
      </c>
      <c r="G105" s="5" t="s">
        <v>36</v>
      </c>
      <c r="H105" s="3" t="s">
        <v>10</v>
      </c>
      <c r="I105" s="4">
        <v>12</v>
      </c>
      <c r="J105" s="4">
        <v>20</v>
      </c>
      <c r="K105" s="1" t="str">
        <f>VLOOKUP(Table1[[#This Row],[Species ]],eq!$A$3:$B$13,2,)</f>
        <v>((0.0294*(X4^1.8357)*X2^0.864)+(0.0053*(X4^2.0876)*X2^0.5842)+(0.0117*(X4^3.5097)*X2^-1.3006)+(0.1245*(X4^2.523)*X2^-1.123))*1000</v>
      </c>
      <c r="L105" s="1" t="str">
        <f t="shared" si="3"/>
        <v>((0.0294*(20^1.8357)*12^0.864)+(0.0053*(20^2.0876)*12^0.5842)+(0.0117*(20^3.5097)*12^-1.3006)+(0.1245*(20^2.523)*12^-1.123))*1000</v>
      </c>
      <c r="M105" s="1" cm="1">
        <f t="array" ref="M105">eval_tr</f>
        <v>104957.73423683105</v>
      </c>
      <c r="N105" s="1">
        <f t="shared" si="4"/>
        <v>104957.73423683105</v>
      </c>
      <c r="O105" s="1" t="str">
        <f t="shared" si="5"/>
        <v>GM-15-NA</v>
      </c>
      <c r="P105" s="1">
        <f>VLOOKUP(O105,teams!$A$1:$B$47,2,)</f>
        <v>1</v>
      </c>
    </row>
    <row r="106" spans="1:16" ht="15.75" customHeight="1" x14ac:dyDescent="0.15">
      <c r="A106" s="5" t="s">
        <v>18</v>
      </c>
      <c r="B106" s="5">
        <v>15</v>
      </c>
      <c r="C106" s="5" t="s">
        <v>21</v>
      </c>
      <c r="D106" s="5" t="s">
        <v>32</v>
      </c>
      <c r="E106" s="7">
        <v>44741</v>
      </c>
      <c r="F106" s="5" t="s">
        <v>9</v>
      </c>
      <c r="G106" s="5" t="s">
        <v>37</v>
      </c>
      <c r="H106" s="5" t="s">
        <v>21</v>
      </c>
      <c r="I106" s="4" t="s">
        <v>4</v>
      </c>
      <c r="J106" s="4" t="s">
        <v>4</v>
      </c>
      <c r="K106" s="1" t="e">
        <f>VLOOKUP(Table1[[#This Row],[Species ]],eq!$A$3:$B$13,2,)</f>
        <v>#N/A</v>
      </c>
      <c r="L106" s="1" t="e">
        <f t="shared" si="3"/>
        <v>#N/A</v>
      </c>
      <c r="M106" s="1" t="e" cm="1">
        <f t="array" ref="M106">eval_tr</f>
        <v>#N/A</v>
      </c>
      <c r="N106" s="1">
        <f t="shared" si="4"/>
        <v>0</v>
      </c>
      <c r="O106" s="1" t="str">
        <f t="shared" si="5"/>
        <v>GM-15-NA</v>
      </c>
      <c r="P106" s="1">
        <f>VLOOKUP(O106,teams!$A$1:$B$47,2,)</f>
        <v>1</v>
      </c>
    </row>
    <row r="107" spans="1:16" ht="15.75" customHeight="1" x14ac:dyDescent="0.15">
      <c r="A107" s="5" t="s">
        <v>18</v>
      </c>
      <c r="B107" s="5">
        <v>16</v>
      </c>
      <c r="C107" s="5" t="s">
        <v>21</v>
      </c>
      <c r="D107" s="5" t="s">
        <v>32</v>
      </c>
      <c r="E107" s="7">
        <v>44756</v>
      </c>
      <c r="F107" s="5" t="s">
        <v>5</v>
      </c>
      <c r="G107" s="5" t="s">
        <v>35</v>
      </c>
      <c r="H107" s="3" t="s">
        <v>10</v>
      </c>
      <c r="I107" s="4">
        <v>5</v>
      </c>
      <c r="J107" s="4">
        <v>5.5</v>
      </c>
      <c r="K107" s="1" t="str">
        <f>VLOOKUP(Table1[[#This Row],[Species ]],eq!$A$3:$B$13,2,)</f>
        <v>((0.0294*(X4^1.8357)*X2^0.864)+(0.0053*(X4^2.0876)*X2^0.5842)+(0.0117*(X4^3.5097)*X2^-1.3006)+(0.1245*(X4^2.523)*X2^-1.123))*1000</v>
      </c>
      <c r="L107" s="1" t="str">
        <f t="shared" si="3"/>
        <v>((0.0294*(5.5^1.8357)*5^0.864)+(0.0053*(5.5^2.0876)*5^0.5842)+(0.0117*(5.5^3.5097)*5^-1.3006)+(0.1245*(5.5^2.523)*5^-1.123))*1000</v>
      </c>
      <c r="M107" s="1" cm="1">
        <f t="array" ref="M107">eval_tr</f>
        <v>5255.8823385097548</v>
      </c>
      <c r="N107" s="1">
        <f t="shared" si="4"/>
        <v>5255.8823385097548</v>
      </c>
      <c r="O107" s="1" t="str">
        <f t="shared" si="5"/>
        <v>GM-16-NA</v>
      </c>
      <c r="P107" s="1">
        <f>VLOOKUP(O107,teams!$A$1:$B$47,2,)</f>
        <v>1</v>
      </c>
    </row>
    <row r="108" spans="1:16" ht="15.75" customHeight="1" x14ac:dyDescent="0.15">
      <c r="A108" s="5" t="s">
        <v>18</v>
      </c>
      <c r="B108" s="5">
        <v>16</v>
      </c>
      <c r="C108" s="5" t="s">
        <v>21</v>
      </c>
      <c r="D108" s="5" t="s">
        <v>32</v>
      </c>
      <c r="E108" s="7">
        <v>44756</v>
      </c>
      <c r="F108" s="5" t="s">
        <v>5</v>
      </c>
      <c r="G108" s="5" t="s">
        <v>35</v>
      </c>
      <c r="H108" s="3" t="s">
        <v>10</v>
      </c>
      <c r="I108" s="4">
        <v>4</v>
      </c>
      <c r="J108" s="4">
        <v>6.5</v>
      </c>
      <c r="K108" s="1" t="str">
        <f>VLOOKUP(Table1[[#This Row],[Species ]],eq!$A$3:$B$13,2,)</f>
        <v>((0.0294*(X4^1.8357)*X2^0.864)+(0.0053*(X4^2.0876)*X2^0.5842)+(0.0117*(X4^3.5097)*X2^-1.3006)+(0.1245*(X4^2.523)*X2^-1.123))*1000</v>
      </c>
      <c r="L108" s="1" t="str">
        <f t="shared" si="3"/>
        <v>((0.0294*(6.5^1.8357)*4^0.864)+(0.0053*(6.5^2.0876)*4^0.5842)+(0.0117*(6.5^3.5097)*4^-1.3006)+(0.1245*(6.5^2.523)*4^-1.123))*1000</v>
      </c>
      <c r="M108" s="1" cm="1">
        <f t="array" ref="M108">eval_tr</f>
        <v>7944.6637330096082</v>
      </c>
      <c r="N108" s="1">
        <f t="shared" si="4"/>
        <v>7944.6637330096082</v>
      </c>
      <c r="O108" s="1" t="str">
        <f t="shared" si="5"/>
        <v>GM-16-NA</v>
      </c>
      <c r="P108" s="1">
        <f>VLOOKUP(O108,teams!$A$1:$B$47,2,)</f>
        <v>1</v>
      </c>
    </row>
    <row r="109" spans="1:16" ht="15.75" customHeight="1" x14ac:dyDescent="0.15">
      <c r="A109" s="5" t="s">
        <v>18</v>
      </c>
      <c r="B109" s="5">
        <v>16</v>
      </c>
      <c r="C109" s="5" t="s">
        <v>21</v>
      </c>
      <c r="D109" s="5" t="s">
        <v>32</v>
      </c>
      <c r="E109" s="7">
        <v>44756</v>
      </c>
      <c r="F109" s="5" t="s">
        <v>5</v>
      </c>
      <c r="G109" s="5" t="s">
        <v>35</v>
      </c>
      <c r="H109" s="5" t="s">
        <v>14</v>
      </c>
      <c r="I109" s="4">
        <v>7</v>
      </c>
      <c r="J109" s="4">
        <v>6.5</v>
      </c>
      <c r="K109" s="1" t="str">
        <f>VLOOKUP(Table1[[#This Row],[Species ]],eq!$A$3:$B$13,2,)</f>
        <v>((0.0306*(X4^2.1836)*X2^0.574)+(0.0897*(X4^2.2634)*X2^-0.567)+(0.0994*(X4^2.163)*X2^-0.4809)+(0.0124*(X4^1.0325)*X2^0.8747))*1000</v>
      </c>
      <c r="L109" s="1" t="str">
        <f t="shared" si="3"/>
        <v>((0.0306*(6.5^2.1836)*7^0.574)+(0.0897*(6.5^2.2634)*7^-0.567)+(0.0994*(6.5^2.163)*7^-0.4809)+(0.0124*(6.5^1.0325)*7^0.8747))*1000</v>
      </c>
      <c r="M109" s="1" cm="1">
        <f t="array" ref="M109">eval_tr</f>
        <v>10333.998401458406</v>
      </c>
      <c r="N109" s="1">
        <f t="shared" si="4"/>
        <v>10333.998401458406</v>
      </c>
      <c r="O109" s="1" t="str">
        <f t="shared" si="5"/>
        <v>GM-16-NA</v>
      </c>
      <c r="P109" s="1">
        <f>VLOOKUP(O109,teams!$A$1:$B$47,2,)</f>
        <v>1</v>
      </c>
    </row>
    <row r="110" spans="1:16" ht="15.75" customHeight="1" x14ac:dyDescent="0.15">
      <c r="A110" s="5" t="s">
        <v>18</v>
      </c>
      <c r="B110" s="5">
        <v>16</v>
      </c>
      <c r="C110" s="5" t="s">
        <v>21</v>
      </c>
      <c r="D110" s="5" t="s">
        <v>32</v>
      </c>
      <c r="E110" s="7">
        <v>44756</v>
      </c>
      <c r="F110" s="6" t="s">
        <v>7</v>
      </c>
      <c r="G110" s="6" t="s">
        <v>34</v>
      </c>
      <c r="H110" s="3" t="s">
        <v>10</v>
      </c>
      <c r="I110" s="2">
        <v>8</v>
      </c>
      <c r="J110" s="2">
        <v>7.5</v>
      </c>
      <c r="K110" s="1" t="str">
        <f>VLOOKUP(Table1[[#This Row],[Species ]],eq!$A$3:$B$13,2,)</f>
        <v>((0.0294*(X4^1.8357)*X2^0.864)+(0.0053*(X4^2.0876)*X2^0.5842)+(0.0117*(X4^3.5097)*X2^-1.3006)+(0.1245*(X4^2.523)*X2^-1.123))*1000</v>
      </c>
      <c r="L110" s="1" t="str">
        <f t="shared" si="3"/>
        <v>((0.0294*(7.5^1.8357)*8^0.864)+(0.0053*(7.5^2.0876)*8^0.5842)+(0.0117*(7.5^3.5097)*8^-1.3006)+(0.1245*(7.5^2.523)*8^-1.123))*1000</v>
      </c>
      <c r="M110" s="1" cm="1">
        <f t="array" ref="M110">eval_tr</f>
        <v>11225.972271585522</v>
      </c>
      <c r="N110" s="1">
        <f t="shared" si="4"/>
        <v>11225.972271585522</v>
      </c>
      <c r="O110" s="1" t="str">
        <f t="shared" si="5"/>
        <v>GM-16-NA</v>
      </c>
      <c r="P110" s="1">
        <f>VLOOKUP(O110,teams!$A$1:$B$47,2,)</f>
        <v>1</v>
      </c>
    </row>
    <row r="111" spans="1:16" ht="15.75" customHeight="1" x14ac:dyDescent="0.15">
      <c r="A111" s="5" t="s">
        <v>18</v>
      </c>
      <c r="B111" s="5">
        <v>16</v>
      </c>
      <c r="C111" s="5" t="s">
        <v>21</v>
      </c>
      <c r="D111" s="5" t="s">
        <v>32</v>
      </c>
      <c r="E111" s="7">
        <v>44756</v>
      </c>
      <c r="F111" s="6" t="s">
        <v>9</v>
      </c>
      <c r="G111" s="6" t="s">
        <v>37</v>
      </c>
      <c r="H111" s="6" t="s">
        <v>10</v>
      </c>
      <c r="I111" s="2">
        <v>8</v>
      </c>
      <c r="J111" s="2">
        <v>8.75</v>
      </c>
      <c r="K111" s="1" t="str">
        <f>VLOOKUP(Table1[[#This Row],[Species ]],eq!$A$3:$B$13,2,)</f>
        <v>((0.0294*(X4^1.8357)*X2^0.864)+(0.0053*(X4^2.0876)*X2^0.5842)+(0.0117*(X4^3.5097)*X2^-1.3006)+(0.1245*(X4^2.523)*X2^-1.123))*1000</v>
      </c>
      <c r="L111" s="1" t="str">
        <f t="shared" si="3"/>
        <v>((0.0294*(8.75^1.8357)*8^0.864)+(0.0053*(8.75^2.0876)*8^0.5842)+(0.0117*(8.75^3.5097)*8^-1.3006)+(0.1245*(8.75^2.523)*8^-1.123))*1000</v>
      </c>
      <c r="M111" s="1" cm="1">
        <f t="array" ref="M111">eval_tr</f>
        <v>15609.324438973654</v>
      </c>
      <c r="N111" s="1">
        <f t="shared" si="4"/>
        <v>15609.324438973654</v>
      </c>
      <c r="O111" s="1" t="str">
        <f t="shared" si="5"/>
        <v>GM-16-NA</v>
      </c>
      <c r="P111" s="1">
        <f>VLOOKUP(O111,teams!$A$1:$B$47,2,)</f>
        <v>1</v>
      </c>
    </row>
    <row r="112" spans="1:16" ht="15.75" customHeight="1" x14ac:dyDescent="0.15">
      <c r="A112" s="5" t="s">
        <v>18</v>
      </c>
      <c r="B112" s="5">
        <v>16</v>
      </c>
      <c r="C112" s="5" t="s">
        <v>21</v>
      </c>
      <c r="D112" s="5" t="s">
        <v>32</v>
      </c>
      <c r="E112" s="7">
        <v>44756</v>
      </c>
      <c r="F112" s="6" t="s">
        <v>7</v>
      </c>
      <c r="G112" s="6" t="s">
        <v>34</v>
      </c>
      <c r="H112" s="3" t="s">
        <v>10</v>
      </c>
      <c r="I112" s="2">
        <v>7</v>
      </c>
      <c r="J112" s="2">
        <v>9.25</v>
      </c>
      <c r="K112" s="1" t="str">
        <f>VLOOKUP(Table1[[#This Row],[Species ]],eq!$A$3:$B$13,2,)</f>
        <v>((0.0294*(X4^1.8357)*X2^0.864)+(0.0053*(X4^2.0876)*X2^0.5842)+(0.0117*(X4^3.5097)*X2^-1.3006)+(0.1245*(X4^2.523)*X2^-1.123))*1000</v>
      </c>
      <c r="L112" s="1" t="str">
        <f t="shared" si="3"/>
        <v>((0.0294*(9.25^1.8357)*7^0.864)+(0.0053*(9.25^2.0876)*7^0.5842)+(0.0117*(9.25^3.5097)*7^-1.3006)+(0.1245*(9.25^2.523)*7^-1.123))*1000</v>
      </c>
      <c r="M112" s="1" cm="1">
        <f t="array" ref="M112">eval_tr</f>
        <v>17219.254445236544</v>
      </c>
      <c r="N112" s="1">
        <f t="shared" si="4"/>
        <v>17219.254445236544</v>
      </c>
      <c r="O112" s="1" t="str">
        <f t="shared" si="5"/>
        <v>GM-16-NA</v>
      </c>
      <c r="P112" s="1">
        <f>VLOOKUP(O112,teams!$A$1:$B$47,2,)</f>
        <v>1</v>
      </c>
    </row>
    <row r="113" spans="1:16" ht="15.75" customHeight="1" x14ac:dyDescent="0.15">
      <c r="A113" s="5" t="s">
        <v>18</v>
      </c>
      <c r="B113" s="5">
        <v>16</v>
      </c>
      <c r="C113" s="5" t="s">
        <v>21</v>
      </c>
      <c r="D113" s="5" t="s">
        <v>32</v>
      </c>
      <c r="E113" s="7">
        <v>44756</v>
      </c>
      <c r="F113" s="6" t="s">
        <v>6</v>
      </c>
      <c r="G113" s="6" t="s">
        <v>36</v>
      </c>
      <c r="H113" s="3" t="s">
        <v>10</v>
      </c>
      <c r="I113" s="2">
        <v>8.5</v>
      </c>
      <c r="J113" s="2">
        <v>10.5</v>
      </c>
      <c r="K113" s="1" t="str">
        <f>VLOOKUP(Table1[[#This Row],[Species ]],eq!$A$3:$B$13,2,)</f>
        <v>((0.0294*(X4^1.8357)*X2^0.864)+(0.0053*(X4^2.0876)*X2^0.5842)+(0.0117*(X4^3.5097)*X2^-1.3006)+(0.1245*(X4^2.523)*X2^-1.123))*1000</v>
      </c>
      <c r="L113" s="1" t="str">
        <f t="shared" si="3"/>
        <v>((0.0294*(10.5^1.8357)*8.5^0.864)+(0.0053*(10.5^2.0876)*8.5^0.5842)+(0.0117*(10.5^3.5097)*8.5^-1.3006)+(0.1245*(10.5^2.523)*8.5^-1.123))*1000</v>
      </c>
      <c r="M113" s="1" cm="1">
        <f t="array" ref="M113">eval_tr</f>
        <v>23522.56950720766</v>
      </c>
      <c r="N113" s="1">
        <f t="shared" si="4"/>
        <v>23522.56950720766</v>
      </c>
      <c r="O113" s="1" t="str">
        <f t="shared" si="5"/>
        <v>GM-16-NA</v>
      </c>
      <c r="P113" s="1">
        <f>VLOOKUP(O113,teams!$A$1:$B$47,2,)</f>
        <v>1</v>
      </c>
    </row>
    <row r="114" spans="1:16" ht="15.75" customHeight="1" x14ac:dyDescent="0.15">
      <c r="A114" s="5" t="s">
        <v>18</v>
      </c>
      <c r="B114" s="5">
        <v>16</v>
      </c>
      <c r="C114" s="5" t="s">
        <v>21</v>
      </c>
      <c r="D114" s="5" t="s">
        <v>32</v>
      </c>
      <c r="E114" s="7">
        <v>44756</v>
      </c>
      <c r="F114" s="6" t="s">
        <v>7</v>
      </c>
      <c r="G114" s="6" t="s">
        <v>34</v>
      </c>
      <c r="H114" s="3" t="s">
        <v>10</v>
      </c>
      <c r="I114" s="2">
        <v>8</v>
      </c>
      <c r="J114" s="2">
        <v>11</v>
      </c>
      <c r="K114" s="1" t="str">
        <f>VLOOKUP(Table1[[#This Row],[Species ]],eq!$A$3:$B$13,2,)</f>
        <v>((0.0294*(X4^1.8357)*X2^0.864)+(0.0053*(X4^2.0876)*X2^0.5842)+(0.0117*(X4^3.5097)*X2^-1.3006)+(0.1245*(X4^2.523)*X2^-1.123))*1000</v>
      </c>
      <c r="L114" s="1" t="str">
        <f t="shared" si="3"/>
        <v>((0.0294*(11^1.8357)*8^0.864)+(0.0053*(11^2.0876)*8^0.5842)+(0.0117*(11^3.5097)*8^-1.3006)+(0.1245*(11^2.523)*8^-1.123))*1000</v>
      </c>
      <c r="M114" s="1" cm="1">
        <f t="array" ref="M114">eval_tr</f>
        <v>25777.396723184695</v>
      </c>
      <c r="N114" s="1">
        <f t="shared" si="4"/>
        <v>25777.396723184695</v>
      </c>
      <c r="O114" s="1" t="str">
        <f t="shared" si="5"/>
        <v>GM-16-NA</v>
      </c>
      <c r="P114" s="1">
        <f>VLOOKUP(O114,teams!$A$1:$B$47,2,)</f>
        <v>1</v>
      </c>
    </row>
    <row r="115" spans="1:16" ht="15.75" customHeight="1" x14ac:dyDescent="0.15">
      <c r="A115" s="5" t="s">
        <v>18</v>
      </c>
      <c r="B115" s="5">
        <v>16</v>
      </c>
      <c r="C115" s="5" t="s">
        <v>21</v>
      </c>
      <c r="D115" s="5" t="s">
        <v>32</v>
      </c>
      <c r="E115" s="7">
        <v>44756</v>
      </c>
      <c r="F115" s="6" t="s">
        <v>9</v>
      </c>
      <c r="G115" s="6" t="s">
        <v>37</v>
      </c>
      <c r="H115" s="3" t="s">
        <v>10</v>
      </c>
      <c r="I115" s="2">
        <v>8</v>
      </c>
      <c r="J115" s="2">
        <v>11.25</v>
      </c>
      <c r="K115" s="1" t="str">
        <f>VLOOKUP(Table1[[#This Row],[Species ]],eq!$A$3:$B$13,2,)</f>
        <v>((0.0294*(X4^1.8357)*X2^0.864)+(0.0053*(X4^2.0876)*X2^0.5842)+(0.0117*(X4^3.5097)*X2^-1.3006)+(0.1245*(X4^2.523)*X2^-1.123))*1000</v>
      </c>
      <c r="L115" s="1" t="str">
        <f t="shared" si="3"/>
        <v>((0.0294*(11.25^1.8357)*8^0.864)+(0.0053*(11.25^2.0876)*8^0.5842)+(0.0117*(11.25^3.5097)*8^-1.3006)+(0.1245*(11.25^2.523)*8^-1.123))*1000</v>
      </c>
      <c r="M115" s="1" cm="1">
        <f t="array" ref="M115">eval_tr</f>
        <v>27103.001601355914</v>
      </c>
      <c r="N115" s="1">
        <f t="shared" si="4"/>
        <v>27103.001601355914</v>
      </c>
      <c r="O115" s="1" t="str">
        <f t="shared" si="5"/>
        <v>GM-16-NA</v>
      </c>
      <c r="P115" s="1">
        <f>VLOOKUP(O115,teams!$A$1:$B$47,2,)</f>
        <v>1</v>
      </c>
    </row>
    <row r="116" spans="1:16" ht="15.75" customHeight="1" x14ac:dyDescent="0.15">
      <c r="A116" s="5" t="s">
        <v>18</v>
      </c>
      <c r="B116" s="5">
        <v>16</v>
      </c>
      <c r="C116" s="5" t="s">
        <v>21</v>
      </c>
      <c r="D116" s="5" t="s">
        <v>32</v>
      </c>
      <c r="E116" s="7">
        <v>44756</v>
      </c>
      <c r="F116" s="6" t="s">
        <v>7</v>
      </c>
      <c r="G116" s="6" t="s">
        <v>34</v>
      </c>
      <c r="H116" s="3" t="s">
        <v>10</v>
      </c>
      <c r="I116" s="2">
        <v>9</v>
      </c>
      <c r="J116" s="2">
        <v>11.25</v>
      </c>
      <c r="K116" s="1" t="str">
        <f>VLOOKUP(Table1[[#This Row],[Species ]],eq!$A$3:$B$13,2,)</f>
        <v>((0.0294*(X4^1.8357)*X2^0.864)+(0.0053*(X4^2.0876)*X2^0.5842)+(0.0117*(X4^3.5097)*X2^-1.3006)+(0.1245*(X4^2.523)*X2^-1.123))*1000</v>
      </c>
      <c r="L116" s="1" t="str">
        <f t="shared" si="3"/>
        <v>((0.0294*(11.25^1.8357)*9^0.864)+(0.0053*(11.25^2.0876)*9^0.5842)+(0.0117*(11.25^3.5097)*9^-1.3006)+(0.1245*(11.25^2.523)*9^-1.123))*1000</v>
      </c>
      <c r="M116" s="1" cm="1">
        <f t="array" ref="M116">eval_tr</f>
        <v>27703.144573959955</v>
      </c>
      <c r="N116" s="1">
        <f t="shared" si="4"/>
        <v>27703.144573959955</v>
      </c>
      <c r="O116" s="1" t="str">
        <f t="shared" si="5"/>
        <v>GM-16-NA</v>
      </c>
      <c r="P116" s="1">
        <f>VLOOKUP(O116,teams!$A$1:$B$47,2,)</f>
        <v>1</v>
      </c>
    </row>
    <row r="117" spans="1:16" ht="15.75" customHeight="1" x14ac:dyDescent="0.15">
      <c r="A117" s="5" t="s">
        <v>18</v>
      </c>
      <c r="B117" s="5">
        <v>16</v>
      </c>
      <c r="C117" s="5" t="s">
        <v>21</v>
      </c>
      <c r="D117" s="5" t="s">
        <v>32</v>
      </c>
      <c r="E117" s="7">
        <v>44756</v>
      </c>
      <c r="F117" s="6" t="s">
        <v>7</v>
      </c>
      <c r="G117" s="6" t="s">
        <v>34</v>
      </c>
      <c r="H117" s="3" t="s">
        <v>10</v>
      </c>
      <c r="I117" s="2">
        <v>8.5</v>
      </c>
      <c r="J117" s="2">
        <v>11.5</v>
      </c>
      <c r="K117" s="1" t="str">
        <f>VLOOKUP(Table1[[#This Row],[Species ]],eq!$A$3:$B$13,2,)</f>
        <v>((0.0294*(X4^1.8357)*X2^0.864)+(0.0053*(X4^2.0876)*X2^0.5842)+(0.0117*(X4^3.5097)*X2^-1.3006)+(0.1245*(X4^2.523)*X2^-1.123))*1000</v>
      </c>
      <c r="L117" s="1" t="str">
        <f t="shared" si="3"/>
        <v>((0.0294*(11.5^1.8357)*8.5^0.864)+(0.0053*(11.5^2.0876)*8.5^0.5842)+(0.0117*(11.5^3.5097)*8.5^-1.3006)+(0.1245*(11.5^2.523)*8.5^-1.123))*1000</v>
      </c>
      <c r="M117" s="1" cm="1">
        <f t="array" ref="M117">eval_tr</f>
        <v>28729.825598248244</v>
      </c>
      <c r="N117" s="1">
        <f t="shared" si="4"/>
        <v>28729.825598248244</v>
      </c>
      <c r="O117" s="1" t="str">
        <f t="shared" si="5"/>
        <v>GM-16-NA</v>
      </c>
      <c r="P117" s="1">
        <f>VLOOKUP(O117,teams!$A$1:$B$47,2,)</f>
        <v>1</v>
      </c>
    </row>
    <row r="118" spans="1:16" ht="15.75" customHeight="1" x14ac:dyDescent="0.15">
      <c r="A118" s="5" t="s">
        <v>18</v>
      </c>
      <c r="B118" s="5">
        <v>16</v>
      </c>
      <c r="C118" s="5" t="s">
        <v>21</v>
      </c>
      <c r="D118" s="5" t="s">
        <v>32</v>
      </c>
      <c r="E118" s="7">
        <v>44756</v>
      </c>
      <c r="F118" s="6" t="s">
        <v>7</v>
      </c>
      <c r="G118" s="6" t="s">
        <v>34</v>
      </c>
      <c r="H118" s="3" t="s">
        <v>10</v>
      </c>
      <c r="I118" s="2">
        <v>9</v>
      </c>
      <c r="J118" s="2">
        <v>11.5</v>
      </c>
      <c r="K118" s="1" t="str">
        <f>VLOOKUP(Table1[[#This Row],[Species ]],eq!$A$3:$B$13,2,)</f>
        <v>((0.0294*(X4^1.8357)*X2^0.864)+(0.0053*(X4^2.0876)*X2^0.5842)+(0.0117*(X4^3.5097)*X2^-1.3006)+(0.1245*(X4^2.523)*X2^-1.123))*1000</v>
      </c>
      <c r="L118" s="1" t="str">
        <f t="shared" si="3"/>
        <v>((0.0294*(11.5^1.8357)*9^0.864)+(0.0053*(11.5^2.0876)*9^0.5842)+(0.0117*(11.5^3.5097)*9^-1.3006)+(0.1245*(11.5^2.523)*9^-1.123))*1000</v>
      </c>
      <c r="M118" s="1" cm="1">
        <f t="array" ref="M118">eval_tr</f>
        <v>29064.241759042648</v>
      </c>
      <c r="N118" s="1">
        <f t="shared" si="4"/>
        <v>29064.241759042648</v>
      </c>
      <c r="O118" s="1" t="str">
        <f t="shared" si="5"/>
        <v>GM-16-NA</v>
      </c>
      <c r="P118" s="1">
        <f>VLOOKUP(O118,teams!$A$1:$B$47,2,)</f>
        <v>1</v>
      </c>
    </row>
    <row r="119" spans="1:16" ht="15.75" customHeight="1" x14ac:dyDescent="0.15">
      <c r="A119" s="5" t="s">
        <v>18</v>
      </c>
      <c r="B119" s="5">
        <v>16</v>
      </c>
      <c r="C119" s="5" t="s">
        <v>21</v>
      </c>
      <c r="D119" s="5" t="s">
        <v>32</v>
      </c>
      <c r="E119" s="7">
        <v>44756</v>
      </c>
      <c r="F119" s="6" t="s">
        <v>7</v>
      </c>
      <c r="G119" s="6" t="s">
        <v>34</v>
      </c>
      <c r="H119" s="3" t="s">
        <v>10</v>
      </c>
      <c r="I119" s="2">
        <v>10</v>
      </c>
      <c r="J119" s="2">
        <v>11.75</v>
      </c>
      <c r="K119" s="1" t="str">
        <f>VLOOKUP(Table1[[#This Row],[Species ]],eq!$A$3:$B$13,2,)</f>
        <v>((0.0294*(X4^1.8357)*X2^0.864)+(0.0053*(X4^2.0876)*X2^0.5842)+(0.0117*(X4^3.5097)*X2^-1.3006)+(0.1245*(X4^2.523)*X2^-1.123))*1000</v>
      </c>
      <c r="L119" s="1" t="str">
        <f t="shared" si="3"/>
        <v>((0.0294*(11.75^1.8357)*10^0.864)+(0.0053*(11.75^2.0876)*10^0.5842)+(0.0117*(11.75^3.5097)*10^-1.3006)+(0.1245*(11.75^2.523)*10^-1.123))*1000</v>
      </c>
      <c r="M119" s="1" cm="1">
        <f t="array" ref="M119">eval_tr</f>
        <v>31316.027905082734</v>
      </c>
      <c r="N119" s="1">
        <f t="shared" si="4"/>
        <v>31316.027905082734</v>
      </c>
      <c r="O119" s="1" t="str">
        <f t="shared" si="5"/>
        <v>GM-16-NA</v>
      </c>
      <c r="P119" s="1">
        <f>VLOOKUP(O119,teams!$A$1:$B$47,2,)</f>
        <v>1</v>
      </c>
    </row>
    <row r="120" spans="1:16" ht="15.75" customHeight="1" x14ac:dyDescent="0.15">
      <c r="A120" s="5" t="s">
        <v>18</v>
      </c>
      <c r="B120" s="5">
        <v>16</v>
      </c>
      <c r="C120" s="5" t="s">
        <v>21</v>
      </c>
      <c r="D120" s="5" t="s">
        <v>32</v>
      </c>
      <c r="E120" s="7">
        <v>44756</v>
      </c>
      <c r="F120" s="5" t="s">
        <v>5</v>
      </c>
      <c r="G120" s="5" t="s">
        <v>35</v>
      </c>
      <c r="H120" s="3" t="s">
        <v>10</v>
      </c>
      <c r="I120" s="4">
        <v>7</v>
      </c>
      <c r="J120" s="4">
        <v>13</v>
      </c>
      <c r="K120" s="1" t="str">
        <f>VLOOKUP(Table1[[#This Row],[Species ]],eq!$A$3:$B$13,2,)</f>
        <v>((0.0294*(X4^1.8357)*X2^0.864)+(0.0053*(X4^2.0876)*X2^0.5842)+(0.0117*(X4^3.5097)*X2^-1.3006)+(0.1245*(X4^2.523)*X2^-1.123))*1000</v>
      </c>
      <c r="L120" s="1" t="str">
        <f t="shared" si="3"/>
        <v>((0.0294*(13^1.8357)*7^0.864)+(0.0053*(13^2.0876)*7^0.5842)+(0.0117*(13^3.5097)*7^-1.3006)+(0.1245*(13^2.523)*7^-1.123))*1000</v>
      </c>
      <c r="M120" s="1" cm="1">
        <f t="array" ref="M120">eval_tr</f>
        <v>37620.157005348061</v>
      </c>
      <c r="N120" s="1">
        <f t="shared" si="4"/>
        <v>37620.157005348061</v>
      </c>
      <c r="O120" s="1" t="str">
        <f t="shared" si="5"/>
        <v>GM-16-NA</v>
      </c>
      <c r="P120" s="1">
        <f>VLOOKUP(O120,teams!$A$1:$B$47,2,)</f>
        <v>1</v>
      </c>
    </row>
    <row r="121" spans="1:16" ht="15.75" customHeight="1" x14ac:dyDescent="0.15">
      <c r="A121" s="5" t="s">
        <v>18</v>
      </c>
      <c r="B121" s="5">
        <v>16</v>
      </c>
      <c r="C121" s="5" t="s">
        <v>21</v>
      </c>
      <c r="D121" s="5" t="s">
        <v>32</v>
      </c>
      <c r="E121" s="7">
        <v>44756</v>
      </c>
      <c r="F121" s="6" t="s">
        <v>9</v>
      </c>
      <c r="G121" s="6" t="s">
        <v>37</v>
      </c>
      <c r="H121" s="3" t="s">
        <v>10</v>
      </c>
      <c r="I121" s="2">
        <v>9</v>
      </c>
      <c r="J121" s="2">
        <v>13</v>
      </c>
      <c r="K121" s="1" t="str">
        <f>VLOOKUP(Table1[[#This Row],[Species ]],eq!$A$3:$B$13,2,)</f>
        <v>((0.0294*(X4^1.8357)*X2^0.864)+(0.0053*(X4^2.0876)*X2^0.5842)+(0.0117*(X4^3.5097)*X2^-1.3006)+(0.1245*(X4^2.523)*X2^-1.123))*1000</v>
      </c>
      <c r="L121" s="1" t="str">
        <f t="shared" si="3"/>
        <v>((0.0294*(13^1.8357)*9^0.864)+(0.0053*(13^2.0876)*9^0.5842)+(0.0117*(13^3.5097)*9^-1.3006)+(0.1245*(13^2.523)*9^-1.123))*1000</v>
      </c>
      <c r="M121" s="1" cm="1">
        <f t="array" ref="M121">eval_tr</f>
        <v>38086.52570641385</v>
      </c>
      <c r="N121" s="1">
        <f t="shared" si="4"/>
        <v>38086.52570641385</v>
      </c>
      <c r="O121" s="1" t="str">
        <f t="shared" si="5"/>
        <v>GM-16-NA</v>
      </c>
      <c r="P121" s="1">
        <f>VLOOKUP(O121,teams!$A$1:$B$47,2,)</f>
        <v>1</v>
      </c>
    </row>
    <row r="122" spans="1:16" ht="15.75" customHeight="1" x14ac:dyDescent="0.15">
      <c r="A122" s="5" t="s">
        <v>18</v>
      </c>
      <c r="B122" s="5">
        <v>16</v>
      </c>
      <c r="C122" s="5" t="s">
        <v>21</v>
      </c>
      <c r="D122" s="5" t="s">
        <v>32</v>
      </c>
      <c r="E122" s="7">
        <v>44756</v>
      </c>
      <c r="F122" s="5" t="s">
        <v>5</v>
      </c>
      <c r="G122" s="5" t="s">
        <v>35</v>
      </c>
      <c r="H122" s="3" t="s">
        <v>10</v>
      </c>
      <c r="I122" s="4">
        <v>10</v>
      </c>
      <c r="J122" s="4">
        <v>13.5</v>
      </c>
      <c r="K122" s="1" t="str">
        <f>VLOOKUP(Table1[[#This Row],[Species ]],eq!$A$3:$B$13,2,)</f>
        <v>((0.0294*(X4^1.8357)*X2^0.864)+(0.0053*(X4^2.0876)*X2^0.5842)+(0.0117*(X4^3.5097)*X2^-1.3006)+(0.1245*(X4^2.523)*X2^-1.123))*1000</v>
      </c>
      <c r="L122" s="1" t="str">
        <f t="shared" si="3"/>
        <v>((0.0294*(13.5^1.8357)*10^0.864)+(0.0053*(13.5^2.0876)*10^0.5842)+(0.0117*(13.5^3.5097)*10^-1.3006)+(0.1245*(13.5^2.523)*10^-1.123))*1000</v>
      </c>
      <c r="M122" s="1" cm="1">
        <f t="array" ref="M122">eval_tr</f>
        <v>42299.367077065443</v>
      </c>
      <c r="N122" s="1">
        <f t="shared" si="4"/>
        <v>42299.367077065443</v>
      </c>
      <c r="O122" s="1" t="str">
        <f t="shared" si="5"/>
        <v>GM-16-NA</v>
      </c>
      <c r="P122" s="1">
        <f>VLOOKUP(O122,teams!$A$1:$B$47,2,)</f>
        <v>1</v>
      </c>
    </row>
    <row r="123" spans="1:16" ht="15.75" customHeight="1" x14ac:dyDescent="0.15">
      <c r="A123" s="5" t="s">
        <v>18</v>
      </c>
      <c r="B123" s="5">
        <v>16</v>
      </c>
      <c r="C123" s="5" t="s">
        <v>21</v>
      </c>
      <c r="D123" s="5" t="s">
        <v>32</v>
      </c>
      <c r="E123" s="7">
        <v>44756</v>
      </c>
      <c r="F123" s="6" t="s">
        <v>9</v>
      </c>
      <c r="G123" s="6" t="s">
        <v>37</v>
      </c>
      <c r="H123" s="3" t="s">
        <v>10</v>
      </c>
      <c r="I123" s="2">
        <v>10</v>
      </c>
      <c r="J123" s="2">
        <v>14</v>
      </c>
      <c r="K123" s="1" t="str">
        <f>VLOOKUP(Table1[[#This Row],[Species ]],eq!$A$3:$B$13,2,)</f>
        <v>((0.0294*(X4^1.8357)*X2^0.864)+(0.0053*(X4^2.0876)*X2^0.5842)+(0.0117*(X4^3.5097)*X2^-1.3006)+(0.1245*(X4^2.523)*X2^-1.123))*1000</v>
      </c>
      <c r="L123" s="1" t="str">
        <f t="shared" si="3"/>
        <v>((0.0294*(14^1.8357)*10^0.864)+(0.0053*(14^2.0876)*10^0.5842)+(0.0117*(14^3.5097)*10^-1.3006)+(0.1245*(14^2.523)*10^-1.123))*1000</v>
      </c>
      <c r="M123" s="1" cm="1">
        <f t="array" ref="M123">eval_tr</f>
        <v>45810.228253065019</v>
      </c>
      <c r="N123" s="1">
        <f t="shared" si="4"/>
        <v>45810.228253065019</v>
      </c>
      <c r="O123" s="1" t="str">
        <f t="shared" si="5"/>
        <v>GM-16-NA</v>
      </c>
      <c r="P123" s="1">
        <f>VLOOKUP(O123,teams!$A$1:$B$47,2,)</f>
        <v>1</v>
      </c>
    </row>
    <row r="124" spans="1:16" ht="15.75" customHeight="1" x14ac:dyDescent="0.15">
      <c r="A124" s="5" t="s">
        <v>18</v>
      </c>
      <c r="B124" s="5">
        <v>16</v>
      </c>
      <c r="C124" s="5" t="s">
        <v>21</v>
      </c>
      <c r="D124" s="5" t="s">
        <v>32</v>
      </c>
      <c r="E124" s="7">
        <v>44756</v>
      </c>
      <c r="F124" s="6" t="s">
        <v>6</v>
      </c>
      <c r="G124" s="6" t="s">
        <v>36</v>
      </c>
      <c r="H124" s="3" t="s">
        <v>10</v>
      </c>
      <c r="I124" s="2">
        <v>12</v>
      </c>
      <c r="J124" s="2">
        <v>20.5</v>
      </c>
      <c r="K124" s="1" t="str">
        <f>VLOOKUP(Table1[[#This Row],[Species ]],eq!$A$3:$B$13,2,)</f>
        <v>((0.0294*(X4^1.8357)*X2^0.864)+(0.0053*(X4^2.0876)*X2^0.5842)+(0.0117*(X4^3.5097)*X2^-1.3006)+(0.1245*(X4^2.523)*X2^-1.123))*1000</v>
      </c>
      <c r="L124" s="1" t="str">
        <f t="shared" si="3"/>
        <v>((0.0294*(20.5^1.8357)*12^0.864)+(0.0053*(20.5^2.0876)*12^0.5842)+(0.0117*(20.5^3.5097)*12^-1.3006)+(0.1245*(20.5^2.523)*12^-1.123))*1000</v>
      </c>
      <c r="M124" s="1" cm="1">
        <f t="array" ref="M124">eval_tr</f>
        <v>110915.27177464173</v>
      </c>
      <c r="N124" s="1">
        <f t="shared" si="4"/>
        <v>110915.27177464173</v>
      </c>
      <c r="O124" s="1" t="str">
        <f t="shared" si="5"/>
        <v>GM-16-NA</v>
      </c>
      <c r="P124" s="1">
        <f>VLOOKUP(O124,teams!$A$1:$B$47,2,)</f>
        <v>1</v>
      </c>
    </row>
    <row r="125" spans="1:16" ht="15.75" customHeight="1" x14ac:dyDescent="0.15">
      <c r="A125" s="5" t="s">
        <v>18</v>
      </c>
      <c r="B125" s="5">
        <v>17</v>
      </c>
      <c r="C125" s="5" t="s">
        <v>21</v>
      </c>
      <c r="D125" s="5" t="s">
        <v>32</v>
      </c>
      <c r="E125" s="7">
        <v>44748</v>
      </c>
      <c r="F125" s="5" t="s">
        <v>9</v>
      </c>
      <c r="G125" s="5" t="s">
        <v>37</v>
      </c>
      <c r="H125" s="3" t="s">
        <v>10</v>
      </c>
      <c r="I125" s="4">
        <v>3.2</v>
      </c>
      <c r="J125" s="4">
        <v>3.6</v>
      </c>
      <c r="K125" s="1" t="str">
        <f>VLOOKUP(Table1[[#This Row],[Species ]],eq!$A$3:$B$13,2,)</f>
        <v>((0.0294*(X4^1.8357)*X2^0.864)+(0.0053*(X4^2.0876)*X2^0.5842)+(0.0117*(X4^3.5097)*X2^-1.3006)+(0.1245*(X4^2.523)*X2^-1.123))*1000</v>
      </c>
      <c r="L125" s="1" t="str">
        <f t="shared" si="3"/>
        <v>((0.0294*(3.6^1.8357)*3.2^0.864)+(0.0053*(3.6^2.0876)*3.2^0.5842)+(0.0117*(3.6^3.5097)*3.2^-1.3006)+(0.1245*(3.6^2.523)*3.2^-1.123))*1000</v>
      </c>
      <c r="M125" s="1" cm="1">
        <f t="array" ref="M125">eval_tr</f>
        <v>2079.9208750457956</v>
      </c>
      <c r="N125" s="1">
        <f t="shared" si="4"/>
        <v>2079.9208750457956</v>
      </c>
      <c r="O125" s="1" t="str">
        <f t="shared" si="5"/>
        <v>GM-17-NA</v>
      </c>
      <c r="P125" s="1">
        <f>VLOOKUP(O125,teams!$A$1:$B$47,2,)</f>
        <v>2</v>
      </c>
    </row>
    <row r="126" spans="1:16" ht="15.75" customHeight="1" x14ac:dyDescent="0.15">
      <c r="A126" s="5" t="s">
        <v>18</v>
      </c>
      <c r="B126" s="5">
        <v>17</v>
      </c>
      <c r="C126" s="5" t="s">
        <v>21</v>
      </c>
      <c r="D126" s="5" t="s">
        <v>32</v>
      </c>
      <c r="E126" s="7">
        <v>44748</v>
      </c>
      <c r="F126" s="5" t="s">
        <v>7</v>
      </c>
      <c r="G126" s="5" t="s">
        <v>34</v>
      </c>
      <c r="H126" s="3" t="s">
        <v>10</v>
      </c>
      <c r="I126" s="4">
        <v>3.3</v>
      </c>
      <c r="J126" s="4">
        <v>4.0999999999999996</v>
      </c>
      <c r="K126" s="1" t="str">
        <f>VLOOKUP(Table1[[#This Row],[Species ]],eq!$A$3:$B$13,2,)</f>
        <v>((0.0294*(X4^1.8357)*X2^0.864)+(0.0053*(X4^2.0876)*X2^0.5842)+(0.0117*(X4^3.5097)*X2^-1.3006)+(0.1245*(X4^2.523)*X2^-1.123))*1000</v>
      </c>
      <c r="L126" s="1" t="str">
        <f t="shared" si="3"/>
        <v>((0.0294*(4.1^1.8357)*3.3^0.864)+(0.0053*(4.1^2.0876)*3.3^0.5842)+(0.0117*(4.1^3.5097)*3.3^-1.3006)+(0.1245*(4.1^2.523)*3.3^-1.123))*1000</v>
      </c>
      <c r="M126" s="1" cm="1">
        <f t="array" ref="M126">eval_tr</f>
        <v>2797.7732476705355</v>
      </c>
      <c r="N126" s="1">
        <f t="shared" si="4"/>
        <v>2797.7732476705355</v>
      </c>
      <c r="O126" s="1" t="str">
        <f t="shared" si="5"/>
        <v>GM-17-NA</v>
      </c>
      <c r="P126" s="1">
        <f>VLOOKUP(O126,teams!$A$1:$B$47,2,)</f>
        <v>2</v>
      </c>
    </row>
    <row r="127" spans="1:16" ht="15.75" customHeight="1" x14ac:dyDescent="0.15">
      <c r="A127" s="5" t="s">
        <v>18</v>
      </c>
      <c r="B127" s="5">
        <v>17</v>
      </c>
      <c r="C127" s="5" t="s">
        <v>21</v>
      </c>
      <c r="D127" s="5" t="s">
        <v>32</v>
      </c>
      <c r="E127" s="7">
        <v>44748</v>
      </c>
      <c r="F127" s="5" t="s">
        <v>9</v>
      </c>
      <c r="G127" s="5" t="s">
        <v>37</v>
      </c>
      <c r="H127" s="3" t="s">
        <v>10</v>
      </c>
      <c r="I127" s="4">
        <v>3.3</v>
      </c>
      <c r="J127" s="4">
        <v>4.5</v>
      </c>
      <c r="K127" s="1" t="str">
        <f>VLOOKUP(Table1[[#This Row],[Species ]],eq!$A$3:$B$13,2,)</f>
        <v>((0.0294*(X4^1.8357)*X2^0.864)+(0.0053*(X4^2.0876)*X2^0.5842)+(0.0117*(X4^3.5097)*X2^-1.3006)+(0.1245*(X4^2.523)*X2^-1.123))*1000</v>
      </c>
      <c r="L127" s="1" t="str">
        <f t="shared" si="3"/>
        <v>((0.0294*(4.5^1.8357)*3.3^0.864)+(0.0053*(4.5^2.0876)*3.3^0.5842)+(0.0117*(4.5^3.5097)*3.3^-1.3006)+(0.1245*(4.5^2.523)*3.3^-1.123))*1000</v>
      </c>
      <c r="M127" s="1" cm="1">
        <f t="array" ref="M127">eval_tr</f>
        <v>3484.7198753980992</v>
      </c>
      <c r="N127" s="1">
        <f t="shared" si="4"/>
        <v>3484.7198753980992</v>
      </c>
      <c r="O127" s="1" t="str">
        <f t="shared" si="5"/>
        <v>GM-17-NA</v>
      </c>
      <c r="P127" s="1">
        <f>VLOOKUP(O127,teams!$A$1:$B$47,2,)</f>
        <v>2</v>
      </c>
    </row>
    <row r="128" spans="1:16" ht="15.75" customHeight="1" x14ac:dyDescent="0.15">
      <c r="A128" s="5" t="s">
        <v>18</v>
      </c>
      <c r="B128" s="5">
        <v>17</v>
      </c>
      <c r="C128" s="5" t="s">
        <v>21</v>
      </c>
      <c r="D128" s="5" t="s">
        <v>32</v>
      </c>
      <c r="E128" s="7">
        <v>44748</v>
      </c>
      <c r="F128" s="5" t="s">
        <v>7</v>
      </c>
      <c r="G128" s="5" t="s">
        <v>34</v>
      </c>
      <c r="H128" s="3" t="s">
        <v>10</v>
      </c>
      <c r="I128" s="4">
        <v>3</v>
      </c>
      <c r="J128" s="4">
        <v>4.7</v>
      </c>
      <c r="K128" s="1" t="str">
        <f>VLOOKUP(Table1[[#This Row],[Species ]],eq!$A$3:$B$13,2,)</f>
        <v>((0.0294*(X4^1.8357)*X2^0.864)+(0.0053*(X4^2.0876)*X2^0.5842)+(0.0117*(X4^3.5097)*X2^-1.3006)+(0.1245*(X4^2.523)*X2^-1.123))*1000</v>
      </c>
      <c r="L128" s="1" t="str">
        <f t="shared" si="3"/>
        <v>((0.0294*(4.7^1.8357)*3^0.864)+(0.0053*(4.7^2.0876)*3^0.5842)+(0.0117*(4.7^3.5097)*3^-1.3006)+(0.1245*(4.7^2.523)*3^-1.123))*1000</v>
      </c>
      <c r="M128" s="1" cm="1">
        <f t="array" ref="M128">eval_tr</f>
        <v>3995.5669808285224</v>
      </c>
      <c r="N128" s="1">
        <f t="shared" si="4"/>
        <v>3995.5669808285224</v>
      </c>
      <c r="O128" s="1" t="str">
        <f t="shared" si="5"/>
        <v>GM-17-NA</v>
      </c>
      <c r="P128" s="1">
        <f>VLOOKUP(O128,teams!$A$1:$B$47,2,)</f>
        <v>2</v>
      </c>
    </row>
    <row r="129" spans="1:16" ht="15.75" customHeight="1" x14ac:dyDescent="0.15">
      <c r="A129" s="5" t="s">
        <v>18</v>
      </c>
      <c r="B129" s="5">
        <v>17</v>
      </c>
      <c r="C129" s="5" t="s">
        <v>21</v>
      </c>
      <c r="D129" s="5" t="s">
        <v>32</v>
      </c>
      <c r="E129" s="7">
        <v>44748</v>
      </c>
      <c r="F129" s="5" t="s">
        <v>7</v>
      </c>
      <c r="G129" s="5" t="s">
        <v>34</v>
      </c>
      <c r="H129" s="3" t="s">
        <v>10</v>
      </c>
      <c r="I129" s="4">
        <v>3.8</v>
      </c>
      <c r="J129" s="4">
        <v>5.0999999999999996</v>
      </c>
      <c r="K129" s="1" t="str">
        <f>VLOOKUP(Table1[[#This Row],[Species ]],eq!$A$3:$B$13,2,)</f>
        <v>((0.0294*(X4^1.8357)*X2^0.864)+(0.0053*(X4^2.0876)*X2^0.5842)+(0.0117*(X4^3.5097)*X2^-1.3006)+(0.1245*(X4^2.523)*X2^-1.123))*1000</v>
      </c>
      <c r="L129" s="1" t="str">
        <f t="shared" si="3"/>
        <v>((0.0294*(5.1^1.8357)*3.8^0.864)+(0.0053*(5.1^2.0876)*3.8^0.5842)+(0.0117*(5.1^3.5097)*3.8^-1.3006)+(0.1245*(5.1^2.523)*3.8^-1.123))*1000</v>
      </c>
      <c r="M129" s="1" cm="1">
        <f t="array" ref="M129">eval_tr</f>
        <v>4523.7715052816848</v>
      </c>
      <c r="N129" s="1">
        <f t="shared" si="4"/>
        <v>4523.7715052816848</v>
      </c>
      <c r="O129" s="1" t="str">
        <f t="shared" si="5"/>
        <v>GM-17-NA</v>
      </c>
      <c r="P129" s="1">
        <f>VLOOKUP(O129,teams!$A$1:$B$47,2,)</f>
        <v>2</v>
      </c>
    </row>
    <row r="130" spans="1:16" ht="15.75" customHeight="1" x14ac:dyDescent="0.15">
      <c r="A130" s="5" t="s">
        <v>18</v>
      </c>
      <c r="B130" s="5">
        <v>17</v>
      </c>
      <c r="C130" s="5" t="s">
        <v>21</v>
      </c>
      <c r="D130" s="5" t="s">
        <v>32</v>
      </c>
      <c r="E130" s="7">
        <v>44748</v>
      </c>
      <c r="F130" s="5" t="s">
        <v>7</v>
      </c>
      <c r="G130" s="5" t="s">
        <v>34</v>
      </c>
      <c r="H130" s="3" t="s">
        <v>10</v>
      </c>
      <c r="I130" s="4">
        <v>4</v>
      </c>
      <c r="J130" s="4">
        <v>5.7</v>
      </c>
      <c r="K130" s="1" t="str">
        <f>VLOOKUP(Table1[[#This Row],[Species ]],eq!$A$3:$B$13,2,)</f>
        <v>((0.0294*(X4^1.8357)*X2^0.864)+(0.0053*(X4^2.0876)*X2^0.5842)+(0.0117*(X4^3.5097)*X2^-1.3006)+(0.1245*(X4^2.523)*X2^-1.123))*1000</v>
      </c>
      <c r="L130" s="1" t="str">
        <f t="shared" ref="L130:L193" si="6">SUBSTITUTE(SUBSTITUTE(K130, "X4",J130),"X2",I130)</f>
        <v>((0.0294*(5.7^1.8357)*4^0.864)+(0.0053*(5.7^2.0876)*4^0.5842)+(0.0117*(5.7^3.5097)*4^-1.3006)+(0.1245*(5.7^2.523)*4^-1.123))*1000</v>
      </c>
      <c r="M130" s="1" cm="1">
        <f t="array" ref="M130">eval_tr</f>
        <v>5814.1231862498125</v>
      </c>
      <c r="N130" s="1">
        <f t="shared" ref="N130:N193" si="7">IF(ISNUMBER(M130),M130,0)</f>
        <v>5814.1231862498125</v>
      </c>
      <c r="O130" s="1" t="str">
        <f t="shared" ref="O130:O193" si="8">A130&amp;"-"&amp;TEXT(B130,"0#")&amp;"-"&amp;C130</f>
        <v>GM-17-NA</v>
      </c>
      <c r="P130" s="1">
        <f>VLOOKUP(O130,teams!$A$1:$B$47,2,)</f>
        <v>2</v>
      </c>
    </row>
    <row r="131" spans="1:16" ht="15.75" customHeight="1" x14ac:dyDescent="0.15">
      <c r="A131" s="5" t="s">
        <v>18</v>
      </c>
      <c r="B131" s="5">
        <v>17</v>
      </c>
      <c r="C131" s="5" t="s">
        <v>21</v>
      </c>
      <c r="D131" s="5" t="s">
        <v>32</v>
      </c>
      <c r="E131" s="7">
        <v>44748</v>
      </c>
      <c r="F131" s="5" t="s">
        <v>5</v>
      </c>
      <c r="G131" s="5" t="s">
        <v>35</v>
      </c>
      <c r="H131" s="3" t="s">
        <v>10</v>
      </c>
      <c r="I131" s="4">
        <v>3.3</v>
      </c>
      <c r="J131" s="4">
        <v>6.1</v>
      </c>
      <c r="K131" s="1" t="str">
        <f>VLOOKUP(Table1[[#This Row],[Species ]],eq!$A$3:$B$13,2,)</f>
        <v>((0.0294*(X4^1.8357)*X2^0.864)+(0.0053*(X4^2.0876)*X2^0.5842)+(0.0117*(X4^3.5097)*X2^-1.3006)+(0.1245*(X4^2.523)*X2^-1.123))*1000</v>
      </c>
      <c r="L131" s="1" t="str">
        <f t="shared" si="6"/>
        <v>((0.0294*(6.1^1.8357)*3.3^0.864)+(0.0053*(6.1^2.0876)*3.3^0.5842)+(0.0117*(6.1^3.5097)*3.3^-1.3006)+(0.1245*(6.1^2.523)*3.3^-1.123))*1000</v>
      </c>
      <c r="M131" s="1" cm="1">
        <f t="array" ref="M131">eval_tr</f>
        <v>7277.9288920837635</v>
      </c>
      <c r="N131" s="1">
        <f t="shared" si="7"/>
        <v>7277.9288920837635</v>
      </c>
      <c r="O131" s="1" t="str">
        <f t="shared" si="8"/>
        <v>GM-17-NA</v>
      </c>
      <c r="P131" s="1">
        <f>VLOOKUP(O131,teams!$A$1:$B$47,2,)</f>
        <v>2</v>
      </c>
    </row>
    <row r="132" spans="1:16" ht="15.75" customHeight="1" x14ac:dyDescent="0.15">
      <c r="A132" s="5" t="s">
        <v>18</v>
      </c>
      <c r="B132" s="5">
        <v>17</v>
      </c>
      <c r="C132" s="5" t="s">
        <v>21</v>
      </c>
      <c r="D132" s="5" t="s">
        <v>32</v>
      </c>
      <c r="E132" s="7">
        <v>44748</v>
      </c>
      <c r="F132" s="5" t="s">
        <v>6</v>
      </c>
      <c r="G132" s="5" t="s">
        <v>36</v>
      </c>
      <c r="H132" s="3" t="s">
        <v>10</v>
      </c>
      <c r="I132" s="4">
        <v>4.7</v>
      </c>
      <c r="J132" s="4">
        <v>8.1999999999999993</v>
      </c>
      <c r="K132" s="1" t="str">
        <f>VLOOKUP(Table1[[#This Row],[Species ]],eq!$A$3:$B$13,2,)</f>
        <v>((0.0294*(X4^1.8357)*X2^0.864)+(0.0053*(X4^2.0876)*X2^0.5842)+(0.0117*(X4^3.5097)*X2^-1.3006)+(0.1245*(X4^2.523)*X2^-1.123))*1000</v>
      </c>
      <c r="L132" s="1" t="str">
        <f t="shared" si="6"/>
        <v>((0.0294*(8.2^1.8357)*4.7^0.864)+(0.0053*(8.2^2.0876)*4.7^0.5842)+(0.0117*(8.2^3.5097)*4.7^-1.3006)+(0.1245*(8.2^2.523)*4.7^-1.123))*1000</v>
      </c>
      <c r="M132" s="1" cm="1">
        <f t="array" ref="M132">eval_tr</f>
        <v>13330.481049262751</v>
      </c>
      <c r="N132" s="1">
        <f t="shared" si="7"/>
        <v>13330.481049262751</v>
      </c>
      <c r="O132" s="1" t="str">
        <f t="shared" si="8"/>
        <v>GM-17-NA</v>
      </c>
      <c r="P132" s="1">
        <f>VLOOKUP(O132,teams!$A$1:$B$47,2,)</f>
        <v>2</v>
      </c>
    </row>
    <row r="133" spans="1:16" ht="15.75" customHeight="1" x14ac:dyDescent="0.15">
      <c r="A133" s="5" t="s">
        <v>18</v>
      </c>
      <c r="B133" s="5">
        <v>17</v>
      </c>
      <c r="C133" s="5" t="s">
        <v>21</v>
      </c>
      <c r="D133" s="5" t="s">
        <v>32</v>
      </c>
      <c r="E133" s="7">
        <v>44748</v>
      </c>
      <c r="F133" s="5" t="s">
        <v>9</v>
      </c>
      <c r="G133" s="5" t="s">
        <v>37</v>
      </c>
      <c r="H133" s="3" t="s">
        <v>10</v>
      </c>
      <c r="I133" s="4">
        <v>6</v>
      </c>
      <c r="J133" s="4">
        <v>10.4</v>
      </c>
      <c r="K133" s="1" t="str">
        <f>VLOOKUP(Table1[[#This Row],[Species ]],eq!$A$3:$B$13,2,)</f>
        <v>((0.0294*(X4^1.8357)*X2^0.864)+(0.0053*(X4^2.0876)*X2^0.5842)+(0.0117*(X4^3.5097)*X2^-1.3006)+(0.1245*(X4^2.523)*X2^-1.123))*1000</v>
      </c>
      <c r="L133" s="1" t="str">
        <f t="shared" si="6"/>
        <v>((0.0294*(10.4^1.8357)*6^0.864)+(0.0053*(10.4^2.0876)*6^0.5842)+(0.0117*(10.4^3.5097)*6^-1.3006)+(0.1245*(10.4^2.523)*6^-1.123))*1000</v>
      </c>
      <c r="M133" s="1" cm="1">
        <f t="array" ref="M133">eval_tr</f>
        <v>22532.341310103875</v>
      </c>
      <c r="N133" s="1">
        <f t="shared" si="7"/>
        <v>22532.341310103875</v>
      </c>
      <c r="O133" s="1" t="str">
        <f t="shared" si="8"/>
        <v>GM-17-NA</v>
      </c>
      <c r="P133" s="1">
        <f>VLOOKUP(O133,teams!$A$1:$B$47,2,)</f>
        <v>2</v>
      </c>
    </row>
    <row r="134" spans="1:16" ht="15.75" customHeight="1" x14ac:dyDescent="0.15">
      <c r="A134" s="5" t="s">
        <v>18</v>
      </c>
      <c r="B134" s="5">
        <v>17</v>
      </c>
      <c r="C134" s="5" t="s">
        <v>21</v>
      </c>
      <c r="D134" s="5" t="s">
        <v>32</v>
      </c>
      <c r="E134" s="7">
        <v>44748</v>
      </c>
      <c r="F134" s="5" t="s">
        <v>7</v>
      </c>
      <c r="G134" s="5" t="s">
        <v>34</v>
      </c>
      <c r="H134" s="3" t="s">
        <v>10</v>
      </c>
      <c r="I134" s="4">
        <v>6</v>
      </c>
      <c r="J134" s="4">
        <v>14.9</v>
      </c>
      <c r="K134" s="1" t="str">
        <f>VLOOKUP(Table1[[#This Row],[Species ]],eq!$A$3:$B$13,2,)</f>
        <v>((0.0294*(X4^1.8357)*X2^0.864)+(0.0053*(X4^2.0876)*X2^0.5842)+(0.0117*(X4^3.5097)*X2^-1.3006)+(0.1245*(X4^2.523)*X2^-1.123))*1000</v>
      </c>
      <c r="L134" s="1" t="str">
        <f t="shared" si="6"/>
        <v>((0.0294*(14.9^1.8357)*6^0.864)+(0.0053*(14.9^2.0876)*6^0.5842)+(0.0117*(14.9^3.5097)*6^-1.3006)+(0.1245*(14.9^2.523)*6^-1.123))*1000</v>
      </c>
      <c r="M134" s="1" cm="1">
        <f t="array" ref="M134">eval_tr</f>
        <v>54033.723228470582</v>
      </c>
      <c r="N134" s="1">
        <f t="shared" si="7"/>
        <v>54033.723228470582</v>
      </c>
      <c r="O134" s="1" t="str">
        <f t="shared" si="8"/>
        <v>GM-17-NA</v>
      </c>
      <c r="P134" s="1">
        <f>VLOOKUP(O134,teams!$A$1:$B$47,2,)</f>
        <v>2</v>
      </c>
    </row>
    <row r="135" spans="1:16" ht="15.75" customHeight="1" x14ac:dyDescent="0.15">
      <c r="A135" s="5" t="s">
        <v>18</v>
      </c>
      <c r="B135" s="5">
        <v>18</v>
      </c>
      <c r="C135" s="5" t="s">
        <v>21</v>
      </c>
      <c r="D135" s="5" t="s">
        <v>32</v>
      </c>
      <c r="E135" s="7">
        <v>44742</v>
      </c>
      <c r="F135" s="5" t="s">
        <v>5</v>
      </c>
      <c r="G135" s="5" t="s">
        <v>35</v>
      </c>
      <c r="H135" s="3" t="s">
        <v>10</v>
      </c>
      <c r="I135" s="4">
        <v>5</v>
      </c>
      <c r="J135" s="4">
        <v>3.25</v>
      </c>
      <c r="K135" s="1" t="str">
        <f>VLOOKUP(Table1[[#This Row],[Species ]],eq!$A$3:$B$13,2,)</f>
        <v>((0.0294*(X4^1.8357)*X2^0.864)+(0.0053*(X4^2.0876)*X2^0.5842)+(0.0117*(X4^3.5097)*X2^-1.3006)+(0.1245*(X4^2.523)*X2^-1.123))*1000</v>
      </c>
      <c r="L135" s="1" t="str">
        <f t="shared" si="6"/>
        <v>((0.0294*(3.25^1.8357)*5^0.864)+(0.0053*(3.25^2.0876)*5^0.5842)+(0.0117*(3.25^3.5097)*5^-1.3006)+(0.1245*(3.25^2.523)*5^-1.123))*1000</v>
      </c>
      <c r="M135" s="1" cm="1">
        <f t="array" ref="M135">eval_tr</f>
        <v>1676.737276731347</v>
      </c>
      <c r="N135" s="1">
        <f t="shared" si="7"/>
        <v>1676.737276731347</v>
      </c>
      <c r="O135" s="1" t="str">
        <f t="shared" si="8"/>
        <v>GM-18-NA</v>
      </c>
      <c r="P135" s="1">
        <f>VLOOKUP(O135,teams!$A$1:$B$47,2,)</f>
        <v>1</v>
      </c>
    </row>
    <row r="136" spans="1:16" ht="15.75" customHeight="1" x14ac:dyDescent="0.15">
      <c r="A136" s="5" t="s">
        <v>18</v>
      </c>
      <c r="B136" s="5">
        <v>18</v>
      </c>
      <c r="C136" s="5" t="s">
        <v>21</v>
      </c>
      <c r="D136" s="5" t="s">
        <v>32</v>
      </c>
      <c r="E136" s="7">
        <v>44742</v>
      </c>
      <c r="F136" s="5" t="s">
        <v>9</v>
      </c>
      <c r="G136" s="5" t="s">
        <v>37</v>
      </c>
      <c r="H136" s="3" t="s">
        <v>10</v>
      </c>
      <c r="I136" s="4">
        <v>5.5</v>
      </c>
      <c r="J136" s="4">
        <v>5.5</v>
      </c>
      <c r="K136" s="1" t="str">
        <f>VLOOKUP(Table1[[#This Row],[Species ]],eq!$A$3:$B$13,2,)</f>
        <v>((0.0294*(X4^1.8357)*X2^0.864)+(0.0053*(X4^2.0876)*X2^0.5842)+(0.0117*(X4^3.5097)*X2^-1.3006)+(0.1245*(X4^2.523)*X2^-1.123))*1000</v>
      </c>
      <c r="L136" s="1" t="str">
        <f t="shared" si="6"/>
        <v>((0.0294*(5.5^1.8357)*5.5^0.864)+(0.0053*(5.5^2.0876)*5.5^0.5842)+(0.0117*(5.5^3.5097)*5.5^-1.3006)+(0.1245*(5.5^2.523)*5.5^-1.123))*1000</v>
      </c>
      <c r="M136" s="1" cm="1">
        <f t="array" ref="M136">eval_tr</f>
        <v>5295.2183666215424</v>
      </c>
      <c r="N136" s="1">
        <f t="shared" si="7"/>
        <v>5295.2183666215424</v>
      </c>
      <c r="O136" s="1" t="str">
        <f t="shared" si="8"/>
        <v>GM-18-NA</v>
      </c>
      <c r="P136" s="1">
        <f>VLOOKUP(O136,teams!$A$1:$B$47,2,)</f>
        <v>1</v>
      </c>
    </row>
    <row r="137" spans="1:16" ht="15.75" customHeight="1" x14ac:dyDescent="0.15">
      <c r="A137" s="5" t="s">
        <v>18</v>
      </c>
      <c r="B137" s="5">
        <v>18</v>
      </c>
      <c r="C137" s="5" t="s">
        <v>21</v>
      </c>
      <c r="D137" s="5" t="s">
        <v>32</v>
      </c>
      <c r="E137" s="7">
        <v>44742</v>
      </c>
      <c r="F137" s="5" t="s">
        <v>5</v>
      </c>
      <c r="G137" s="5" t="s">
        <v>35</v>
      </c>
      <c r="H137" s="3" t="s">
        <v>10</v>
      </c>
      <c r="I137" s="4">
        <v>8.5</v>
      </c>
      <c r="J137" s="4">
        <v>5.5</v>
      </c>
      <c r="K137" s="1" t="str">
        <f>VLOOKUP(Table1[[#This Row],[Species ]],eq!$A$3:$B$13,2,)</f>
        <v>((0.0294*(X4^1.8357)*X2^0.864)+(0.0053*(X4^2.0876)*X2^0.5842)+(0.0117*(X4^3.5097)*X2^-1.3006)+(0.1245*(X4^2.523)*X2^-1.123))*1000</v>
      </c>
      <c r="L137" s="1" t="str">
        <f t="shared" si="6"/>
        <v>((0.0294*(5.5^1.8357)*8.5^0.864)+(0.0053*(5.5^2.0876)*8.5^0.5842)+(0.0117*(5.5^3.5097)*8.5^-1.3006)+(0.1245*(5.5^2.523)*8.5^-1.123))*1000</v>
      </c>
      <c r="M137" s="1" cm="1">
        <f t="array" ref="M137">eval_tr</f>
        <v>6037.5949835213123</v>
      </c>
      <c r="N137" s="1">
        <f t="shared" si="7"/>
        <v>6037.5949835213123</v>
      </c>
      <c r="O137" s="1" t="str">
        <f t="shared" si="8"/>
        <v>GM-18-NA</v>
      </c>
      <c r="P137" s="1">
        <f>VLOOKUP(O137,teams!$A$1:$B$47,2,)</f>
        <v>1</v>
      </c>
    </row>
    <row r="138" spans="1:16" ht="15.75" customHeight="1" x14ac:dyDescent="0.15">
      <c r="A138" s="5" t="s">
        <v>18</v>
      </c>
      <c r="B138" s="5">
        <v>18</v>
      </c>
      <c r="C138" s="5" t="s">
        <v>21</v>
      </c>
      <c r="D138" s="5" t="s">
        <v>32</v>
      </c>
      <c r="E138" s="7">
        <v>44742</v>
      </c>
      <c r="F138" s="5" t="s">
        <v>9</v>
      </c>
      <c r="G138" s="5" t="s">
        <v>37</v>
      </c>
      <c r="H138" s="3" t="s">
        <v>10</v>
      </c>
      <c r="I138" s="4">
        <v>5</v>
      </c>
      <c r="J138" s="4">
        <v>6.5</v>
      </c>
      <c r="K138" s="1" t="str">
        <f>VLOOKUP(Table1[[#This Row],[Species ]],eq!$A$3:$B$13,2,)</f>
        <v>((0.0294*(X4^1.8357)*X2^0.864)+(0.0053*(X4^2.0876)*X2^0.5842)+(0.0117*(X4^3.5097)*X2^-1.3006)+(0.1245*(X4^2.523)*X2^-1.123))*1000</v>
      </c>
      <c r="L138" s="1" t="str">
        <f t="shared" si="6"/>
        <v>((0.0294*(6.5^1.8357)*5^0.864)+(0.0053*(6.5^2.0876)*5^0.5842)+(0.0117*(6.5^3.5097)*5^-1.3006)+(0.1245*(6.5^2.523)*5^-1.123))*1000</v>
      </c>
      <c r="M138" s="1" cm="1">
        <f t="array" ref="M138">eval_tr</f>
        <v>7670.0287838434824</v>
      </c>
      <c r="N138" s="1">
        <f t="shared" si="7"/>
        <v>7670.0287838434824</v>
      </c>
      <c r="O138" s="1" t="str">
        <f t="shared" si="8"/>
        <v>GM-18-NA</v>
      </c>
      <c r="P138" s="1">
        <f>VLOOKUP(O138,teams!$A$1:$B$47,2,)</f>
        <v>1</v>
      </c>
    </row>
    <row r="139" spans="1:16" ht="15.75" customHeight="1" x14ac:dyDescent="0.15">
      <c r="A139" s="5" t="s">
        <v>18</v>
      </c>
      <c r="B139" s="5">
        <v>18</v>
      </c>
      <c r="C139" s="5" t="s">
        <v>21</v>
      </c>
      <c r="D139" s="5" t="s">
        <v>32</v>
      </c>
      <c r="E139" s="7">
        <v>44742</v>
      </c>
      <c r="F139" s="5" t="s">
        <v>7</v>
      </c>
      <c r="G139" s="5" t="s">
        <v>34</v>
      </c>
      <c r="H139" s="3" t="s">
        <v>10</v>
      </c>
      <c r="I139" s="4">
        <v>6</v>
      </c>
      <c r="J139" s="4">
        <v>7.75</v>
      </c>
      <c r="K139" s="1" t="str">
        <f>VLOOKUP(Table1[[#This Row],[Species ]],eq!$A$3:$B$13,2,)</f>
        <v>((0.0294*(X4^1.8357)*X2^0.864)+(0.0053*(X4^2.0876)*X2^0.5842)+(0.0117*(X4^3.5097)*X2^-1.3006)+(0.1245*(X4^2.523)*X2^-1.123))*1000</v>
      </c>
      <c r="L139" s="1" t="str">
        <f t="shared" si="6"/>
        <v>((0.0294*(7.75^1.8357)*6^0.864)+(0.0053*(7.75^2.0876)*6^0.5842)+(0.0117*(7.75^3.5097)*6^-1.3006)+(0.1245*(7.75^2.523)*6^-1.123))*1000</v>
      </c>
      <c r="M139" s="1" cm="1">
        <f t="array" ref="M139">eval_tr</f>
        <v>11438.039977028815</v>
      </c>
      <c r="N139" s="1">
        <f t="shared" si="7"/>
        <v>11438.039977028815</v>
      </c>
      <c r="O139" s="1" t="str">
        <f t="shared" si="8"/>
        <v>GM-18-NA</v>
      </c>
      <c r="P139" s="1">
        <f>VLOOKUP(O139,teams!$A$1:$B$47,2,)</f>
        <v>1</v>
      </c>
    </row>
    <row r="140" spans="1:16" ht="15.75" customHeight="1" x14ac:dyDescent="0.15">
      <c r="A140" s="5" t="s">
        <v>18</v>
      </c>
      <c r="B140" s="5">
        <v>18</v>
      </c>
      <c r="C140" s="5" t="s">
        <v>21</v>
      </c>
      <c r="D140" s="5" t="s">
        <v>32</v>
      </c>
      <c r="E140" s="7">
        <v>44742</v>
      </c>
      <c r="F140" s="5" t="s">
        <v>7</v>
      </c>
      <c r="G140" s="5" t="s">
        <v>34</v>
      </c>
      <c r="H140" s="3" t="s">
        <v>10</v>
      </c>
      <c r="I140" s="4">
        <v>6.5</v>
      </c>
      <c r="J140" s="4">
        <v>7.75</v>
      </c>
      <c r="K140" s="1" t="str">
        <f>VLOOKUP(Table1[[#This Row],[Species ]],eq!$A$3:$B$13,2,)</f>
        <v>((0.0294*(X4^1.8357)*X2^0.864)+(0.0053*(X4^2.0876)*X2^0.5842)+(0.0117*(X4^3.5097)*X2^-1.3006)+(0.1245*(X4^2.523)*X2^-1.123))*1000</v>
      </c>
      <c r="L140" s="1" t="str">
        <f t="shared" si="6"/>
        <v>((0.0294*(7.75^1.8357)*6.5^0.864)+(0.0053*(7.75^2.0876)*6.5^0.5842)+(0.0117*(7.75^3.5097)*6.5^-1.3006)+(0.1245*(7.75^2.523)*6.5^-1.123))*1000</v>
      </c>
      <c r="M140" s="1" cm="1">
        <f t="array" ref="M140">eval_tr</f>
        <v>11515.166577755828</v>
      </c>
      <c r="N140" s="1">
        <f t="shared" si="7"/>
        <v>11515.166577755828</v>
      </c>
      <c r="O140" s="1" t="str">
        <f t="shared" si="8"/>
        <v>GM-18-NA</v>
      </c>
      <c r="P140" s="1">
        <f>VLOOKUP(O140,teams!$A$1:$B$47,2,)</f>
        <v>1</v>
      </c>
    </row>
    <row r="141" spans="1:16" ht="15.75" customHeight="1" x14ac:dyDescent="0.15">
      <c r="A141" s="5" t="s">
        <v>18</v>
      </c>
      <c r="B141" s="5">
        <v>18</v>
      </c>
      <c r="C141" s="5" t="s">
        <v>21</v>
      </c>
      <c r="D141" s="5" t="s">
        <v>32</v>
      </c>
      <c r="E141" s="7">
        <v>44742</v>
      </c>
      <c r="F141" s="5" t="s">
        <v>5</v>
      </c>
      <c r="G141" s="5" t="s">
        <v>35</v>
      </c>
      <c r="H141" s="3" t="s">
        <v>10</v>
      </c>
      <c r="I141" s="4">
        <v>10</v>
      </c>
      <c r="J141" s="4">
        <v>8.25</v>
      </c>
      <c r="K141" s="1" t="str">
        <f>VLOOKUP(Table1[[#This Row],[Species ]],eq!$A$3:$B$13,2,)</f>
        <v>((0.0294*(X4^1.8357)*X2^0.864)+(0.0053*(X4^2.0876)*X2^0.5842)+(0.0117*(X4^3.5097)*X2^-1.3006)+(0.1245*(X4^2.523)*X2^-1.123))*1000</v>
      </c>
      <c r="L141" s="1" t="str">
        <f t="shared" si="6"/>
        <v>((0.0294*(8.25^1.8357)*10^0.864)+(0.0053*(8.25^2.0876)*10^0.5842)+(0.0117*(8.25^3.5097)*10^-1.3006)+(0.1245*(8.25^2.523)*10^-1.123))*1000</v>
      </c>
      <c r="M141" s="1" cm="1">
        <f t="array" ref="M141">eval_tr</f>
        <v>14898.561983275153</v>
      </c>
      <c r="N141" s="1">
        <f t="shared" si="7"/>
        <v>14898.561983275153</v>
      </c>
      <c r="O141" s="1" t="str">
        <f t="shared" si="8"/>
        <v>GM-18-NA</v>
      </c>
      <c r="P141" s="1">
        <f>VLOOKUP(O141,teams!$A$1:$B$47,2,)</f>
        <v>1</v>
      </c>
    </row>
    <row r="142" spans="1:16" ht="15.75" customHeight="1" x14ac:dyDescent="0.15">
      <c r="A142" s="5" t="s">
        <v>18</v>
      </c>
      <c r="B142" s="5">
        <v>18</v>
      </c>
      <c r="C142" s="5" t="s">
        <v>21</v>
      </c>
      <c r="D142" s="5" t="s">
        <v>32</v>
      </c>
      <c r="E142" s="7">
        <v>44742</v>
      </c>
      <c r="F142" s="5" t="s">
        <v>7</v>
      </c>
      <c r="G142" s="5" t="s">
        <v>34</v>
      </c>
      <c r="H142" s="5" t="s">
        <v>15</v>
      </c>
      <c r="I142" s="4">
        <v>7.5</v>
      </c>
      <c r="J142" s="4">
        <v>7.25</v>
      </c>
      <c r="K142" s="1" t="str">
        <f>VLOOKUP(Table1[[#This Row],[Species ]],eq!$A$3:$B$13,2,)</f>
        <v>((0.0259*(X4^1.9044)*X2^0.9715)+(0.0069*(X4^2.0834)*X2^0.5371)+(0.0325*(X4^2.3851)*X2^0)+(0.1683*(X4^1.2764)*X2^0))*1000</v>
      </c>
      <c r="L142" s="1" t="str">
        <f t="shared" si="6"/>
        <v>((0.0259*(7.25^1.9044)*7.5^0.9715)+(0.0069*(7.25^2.0834)*7.5^0.5371)+(0.0325*(7.25^2.3851)*7.5^0)+(0.1683*(7.25^1.2764)*7.5^0))*1000</v>
      </c>
      <c r="M142" s="1" cm="1">
        <f t="array" ref="M142">eval_tr</f>
        <v>15012.821894018945</v>
      </c>
      <c r="N142" s="1">
        <f t="shared" si="7"/>
        <v>15012.821894018945</v>
      </c>
      <c r="O142" s="1" t="str">
        <f t="shared" si="8"/>
        <v>GM-18-NA</v>
      </c>
      <c r="P142" s="1">
        <f>VLOOKUP(O142,teams!$A$1:$B$47,2,)</f>
        <v>1</v>
      </c>
    </row>
    <row r="143" spans="1:16" ht="15.75" customHeight="1" x14ac:dyDescent="0.15">
      <c r="A143" s="5" t="s">
        <v>18</v>
      </c>
      <c r="B143" s="5">
        <v>18</v>
      </c>
      <c r="C143" s="5" t="s">
        <v>21</v>
      </c>
      <c r="D143" s="5" t="s">
        <v>32</v>
      </c>
      <c r="E143" s="7">
        <v>44742</v>
      </c>
      <c r="F143" s="5" t="s">
        <v>9</v>
      </c>
      <c r="G143" s="5" t="s">
        <v>37</v>
      </c>
      <c r="H143" s="3" t="s">
        <v>10</v>
      </c>
      <c r="I143" s="4">
        <v>8</v>
      </c>
      <c r="J143" s="4">
        <v>9.5</v>
      </c>
      <c r="K143" s="1" t="str">
        <f>VLOOKUP(Table1[[#This Row],[Species ]],eq!$A$3:$B$13,2,)</f>
        <v>((0.0294*(X4^1.8357)*X2^0.864)+(0.0053*(X4^2.0876)*X2^0.5842)+(0.0117*(X4^3.5097)*X2^-1.3006)+(0.1245*(X4^2.523)*X2^-1.123))*1000</v>
      </c>
      <c r="L143" s="1" t="str">
        <f t="shared" si="6"/>
        <v>((0.0294*(9.5^1.8357)*8^0.864)+(0.0053*(9.5^2.0876)*8^0.5842)+(0.0117*(9.5^3.5097)*8^-1.3006)+(0.1245*(9.5^2.523)*8^-1.123))*1000</v>
      </c>
      <c r="M143" s="1" cm="1">
        <f t="array" ref="M143">eval_tr</f>
        <v>18659.103869717583</v>
      </c>
      <c r="N143" s="1">
        <f t="shared" si="7"/>
        <v>18659.103869717583</v>
      </c>
      <c r="O143" s="1" t="str">
        <f t="shared" si="8"/>
        <v>GM-18-NA</v>
      </c>
      <c r="P143" s="1">
        <f>VLOOKUP(O143,teams!$A$1:$B$47,2,)</f>
        <v>1</v>
      </c>
    </row>
    <row r="144" spans="1:16" ht="15.75" customHeight="1" x14ac:dyDescent="0.15">
      <c r="A144" s="5" t="s">
        <v>18</v>
      </c>
      <c r="B144" s="5">
        <v>18</v>
      </c>
      <c r="C144" s="5" t="s">
        <v>21</v>
      </c>
      <c r="D144" s="5" t="s">
        <v>32</v>
      </c>
      <c r="E144" s="7">
        <v>44742</v>
      </c>
      <c r="F144" s="5" t="s">
        <v>7</v>
      </c>
      <c r="G144" s="5" t="s">
        <v>34</v>
      </c>
      <c r="H144" s="5" t="s">
        <v>15</v>
      </c>
      <c r="I144" s="4">
        <v>9</v>
      </c>
      <c r="J144" s="4">
        <v>9.5</v>
      </c>
      <c r="K144" s="1" t="str">
        <f>VLOOKUP(Table1[[#This Row],[Species ]],eq!$A$3:$B$13,2,)</f>
        <v>((0.0259*(X4^1.9044)*X2^0.9715)+(0.0069*(X4^2.0834)*X2^0.5371)+(0.0325*(X4^2.3851)*X2^0)+(0.1683*(X4^1.2764)*X2^0))*1000</v>
      </c>
      <c r="L144" s="1" t="str">
        <f t="shared" si="6"/>
        <v>((0.0259*(9.5^1.9044)*9^0.9715)+(0.0069*(9.5^2.0834)*9^0.5371)+(0.0325*(9.5^2.3851)*9^0)+(0.1683*(9.5^1.2764)*9^0))*1000</v>
      </c>
      <c r="M144" s="1" cm="1">
        <f t="array" ref="M144">eval_tr</f>
        <v>28338.216206218196</v>
      </c>
      <c r="N144" s="1">
        <f t="shared" si="7"/>
        <v>28338.216206218196</v>
      </c>
      <c r="O144" s="1" t="str">
        <f t="shared" si="8"/>
        <v>GM-18-NA</v>
      </c>
      <c r="P144" s="1">
        <f>VLOOKUP(O144,teams!$A$1:$B$47,2,)</f>
        <v>1</v>
      </c>
    </row>
    <row r="145" spans="1:16" ht="15.75" customHeight="1" x14ac:dyDescent="0.15">
      <c r="A145" s="5" t="s">
        <v>18</v>
      </c>
      <c r="B145" s="5">
        <v>18</v>
      </c>
      <c r="C145" s="5" t="s">
        <v>21</v>
      </c>
      <c r="D145" s="5" t="s">
        <v>32</v>
      </c>
      <c r="E145" s="7">
        <v>44742</v>
      </c>
      <c r="F145" s="5" t="s">
        <v>7</v>
      </c>
      <c r="G145" s="5" t="s">
        <v>34</v>
      </c>
      <c r="H145" s="5" t="s">
        <v>15</v>
      </c>
      <c r="I145" s="4">
        <v>7</v>
      </c>
      <c r="J145" s="4">
        <v>10.25</v>
      </c>
      <c r="K145" s="1" t="str">
        <f>VLOOKUP(Table1[[#This Row],[Species ]],eq!$A$3:$B$13,2,)</f>
        <v>((0.0259*(X4^1.9044)*X2^0.9715)+(0.0069*(X4^2.0834)*X2^0.5371)+(0.0325*(X4^2.3851)*X2^0)+(0.1683*(X4^1.2764)*X2^0))*1000</v>
      </c>
      <c r="L145" s="1" t="str">
        <f t="shared" si="6"/>
        <v>((0.0259*(10.25^1.9044)*7^0.9715)+(0.0069*(10.25^2.0834)*7^0.5371)+(0.0325*(10.25^2.3851)*7^0)+(0.1683*(10.25^1.2764)*7^0))*1000</v>
      </c>
      <c r="M145" s="1" cm="1">
        <f t="array" ref="M145">eval_tr</f>
        <v>28577.906874077493</v>
      </c>
      <c r="N145" s="1">
        <f t="shared" si="7"/>
        <v>28577.906874077493</v>
      </c>
      <c r="O145" s="1" t="str">
        <f t="shared" si="8"/>
        <v>GM-18-NA</v>
      </c>
      <c r="P145" s="1">
        <f>VLOOKUP(O145,teams!$A$1:$B$47,2,)</f>
        <v>1</v>
      </c>
    </row>
    <row r="146" spans="1:16" ht="15.75" customHeight="1" x14ac:dyDescent="0.15">
      <c r="A146" s="5" t="s">
        <v>18</v>
      </c>
      <c r="B146" s="5">
        <v>18</v>
      </c>
      <c r="C146" s="5" t="s">
        <v>21</v>
      </c>
      <c r="D146" s="5" t="s">
        <v>32</v>
      </c>
      <c r="E146" s="7">
        <v>44742</v>
      </c>
      <c r="F146" s="5" t="s">
        <v>9</v>
      </c>
      <c r="G146" s="5" t="s">
        <v>37</v>
      </c>
      <c r="H146" s="5" t="s">
        <v>15</v>
      </c>
      <c r="I146" s="4">
        <v>9.5</v>
      </c>
      <c r="J146" s="4">
        <v>11.25</v>
      </c>
      <c r="K146" s="1" t="str">
        <f>VLOOKUP(Table1[[#This Row],[Species ]],eq!$A$3:$B$13,2,)</f>
        <v>((0.0259*(X4^1.9044)*X2^0.9715)+(0.0069*(X4^2.0834)*X2^0.5371)+(0.0325*(X4^2.3851)*X2^0)+(0.1683*(X4^1.2764)*X2^0))*1000</v>
      </c>
      <c r="L146" s="1" t="str">
        <f t="shared" si="6"/>
        <v>((0.0259*(11.25^1.9044)*9.5^0.9715)+(0.0069*(11.25^2.0834)*9.5^0.5371)+(0.0325*(11.25^2.3851)*9.5^0)+(0.1683*(11.25^1.2764)*9.5^0))*1000</v>
      </c>
      <c r="M146" s="1" cm="1">
        <f t="array" ref="M146">eval_tr</f>
        <v>40896.373290067408</v>
      </c>
      <c r="N146" s="1">
        <f t="shared" si="7"/>
        <v>40896.373290067408</v>
      </c>
      <c r="O146" s="1" t="str">
        <f t="shared" si="8"/>
        <v>GM-18-NA</v>
      </c>
      <c r="P146" s="1">
        <f>VLOOKUP(O146,teams!$A$1:$B$47,2,)</f>
        <v>1</v>
      </c>
    </row>
    <row r="147" spans="1:16" ht="15.75" customHeight="1" x14ac:dyDescent="0.15">
      <c r="A147" s="5" t="s">
        <v>18</v>
      </c>
      <c r="B147" s="5">
        <v>18</v>
      </c>
      <c r="C147" s="5" t="s">
        <v>21</v>
      </c>
      <c r="D147" s="5" t="s">
        <v>32</v>
      </c>
      <c r="E147" s="7">
        <v>44742</v>
      </c>
      <c r="F147" s="5" t="s">
        <v>7</v>
      </c>
      <c r="G147" s="5" t="s">
        <v>34</v>
      </c>
      <c r="H147" s="5" t="s">
        <v>11</v>
      </c>
      <c r="I147" s="4">
        <v>10</v>
      </c>
      <c r="J147" s="4">
        <v>12</v>
      </c>
      <c r="K147" s="1" t="str">
        <f>VLOOKUP(Table1[[#This Row],[Species ]],eq!$A$3:$B$13,2,)</f>
        <v>((0.0259*(X4^1.9044)*X2^0.9715)+(0.0069*(X4^2.0834)*X2^0.5371)+(0.0325*(X4^2.3851)*X2^0)+(0.1683*(X4^1.2764)*X2^0))*1000</v>
      </c>
      <c r="L147" s="1" t="str">
        <f t="shared" si="6"/>
        <v>((0.0259*(12^1.9044)*10^0.9715)+(0.0069*(12^2.0834)*10^0.5371)+(0.0325*(12^2.3851)*10^0)+(0.1683*(12^1.2764)*10^0))*1000</v>
      </c>
      <c r="M147" s="1" cm="1">
        <f t="array" ref="M147">eval_tr</f>
        <v>47951.257191693359</v>
      </c>
      <c r="N147" s="1">
        <f t="shared" si="7"/>
        <v>47951.257191693359</v>
      </c>
      <c r="O147" s="1" t="str">
        <f t="shared" si="8"/>
        <v>GM-18-NA</v>
      </c>
      <c r="P147" s="1">
        <f>VLOOKUP(O147,teams!$A$1:$B$47,2,)</f>
        <v>1</v>
      </c>
    </row>
    <row r="148" spans="1:16" ht="15.75" customHeight="1" x14ac:dyDescent="0.15">
      <c r="A148" s="5" t="s">
        <v>18</v>
      </c>
      <c r="B148" s="5">
        <v>18</v>
      </c>
      <c r="C148" s="5" t="s">
        <v>21</v>
      </c>
      <c r="D148" s="5" t="s">
        <v>32</v>
      </c>
      <c r="E148" s="7">
        <v>44742</v>
      </c>
      <c r="F148" s="5" t="s">
        <v>7</v>
      </c>
      <c r="G148" s="5" t="s">
        <v>34</v>
      </c>
      <c r="H148" s="5" t="s">
        <v>15</v>
      </c>
      <c r="I148" s="4">
        <v>10</v>
      </c>
      <c r="J148" s="4">
        <v>12</v>
      </c>
      <c r="K148" s="1" t="str">
        <f>VLOOKUP(Table1[[#This Row],[Species ]],eq!$A$3:$B$13,2,)</f>
        <v>((0.0259*(X4^1.9044)*X2^0.9715)+(0.0069*(X4^2.0834)*X2^0.5371)+(0.0325*(X4^2.3851)*X2^0)+(0.1683*(X4^1.2764)*X2^0))*1000</v>
      </c>
      <c r="L148" s="1" t="str">
        <f t="shared" si="6"/>
        <v>((0.0259*(12^1.9044)*10^0.9715)+(0.0069*(12^2.0834)*10^0.5371)+(0.0325*(12^2.3851)*10^0)+(0.1683*(12^1.2764)*10^0))*1000</v>
      </c>
      <c r="M148" s="1" cm="1">
        <f t="array" ref="M148">eval_tr</f>
        <v>47951.257191693359</v>
      </c>
      <c r="N148" s="1">
        <f t="shared" si="7"/>
        <v>47951.257191693359</v>
      </c>
      <c r="O148" s="1" t="str">
        <f t="shared" si="8"/>
        <v>GM-18-NA</v>
      </c>
      <c r="P148" s="1">
        <f>VLOOKUP(O148,teams!$A$1:$B$47,2,)</f>
        <v>1</v>
      </c>
    </row>
    <row r="149" spans="1:16" ht="15.75" customHeight="1" x14ac:dyDescent="0.15">
      <c r="A149" s="5" t="s">
        <v>18</v>
      </c>
      <c r="B149" s="5">
        <v>18</v>
      </c>
      <c r="C149" s="5" t="s">
        <v>21</v>
      </c>
      <c r="D149" s="5" t="s">
        <v>32</v>
      </c>
      <c r="E149" s="7">
        <v>44742</v>
      </c>
      <c r="F149" s="5" t="s">
        <v>7</v>
      </c>
      <c r="G149" s="5" t="s">
        <v>34</v>
      </c>
      <c r="H149" s="5" t="s">
        <v>11</v>
      </c>
      <c r="I149" s="4">
        <v>11</v>
      </c>
      <c r="J149" s="4">
        <v>12.5</v>
      </c>
      <c r="K149" s="1" t="str">
        <f>VLOOKUP(Table1[[#This Row],[Species ]],eq!$A$3:$B$13,2,)</f>
        <v>((0.0259*(X4^1.9044)*X2^0.9715)+(0.0069*(X4^2.0834)*X2^0.5371)+(0.0325*(X4^2.3851)*X2^0)+(0.1683*(X4^1.2764)*X2^0))*1000</v>
      </c>
      <c r="L149" s="1" t="str">
        <f t="shared" si="6"/>
        <v>((0.0259*(12.5^1.9044)*11^0.9715)+(0.0069*(12.5^2.0834)*11^0.5371)+(0.0325*(12.5^2.3851)*11^0)+(0.1683*(12.5^1.2764)*11^0))*1000</v>
      </c>
      <c r="M149" s="1" cm="1">
        <f t="array" ref="M149">eval_tr</f>
        <v>55141.141938306588</v>
      </c>
      <c r="N149" s="1">
        <f t="shared" si="7"/>
        <v>55141.141938306588</v>
      </c>
      <c r="O149" s="1" t="str">
        <f t="shared" si="8"/>
        <v>GM-18-NA</v>
      </c>
      <c r="P149" s="1">
        <f>VLOOKUP(O149,teams!$A$1:$B$47,2,)</f>
        <v>1</v>
      </c>
    </row>
    <row r="150" spans="1:16" ht="15.75" customHeight="1" x14ac:dyDescent="0.15">
      <c r="A150" s="5" t="s">
        <v>18</v>
      </c>
      <c r="B150" s="5">
        <v>18</v>
      </c>
      <c r="C150" s="5" t="s">
        <v>21</v>
      </c>
      <c r="D150" s="5" t="s">
        <v>32</v>
      </c>
      <c r="E150" s="7">
        <v>44742</v>
      </c>
      <c r="F150" s="5" t="s">
        <v>9</v>
      </c>
      <c r="G150" s="5" t="s">
        <v>37</v>
      </c>
      <c r="H150" s="5" t="s">
        <v>15</v>
      </c>
      <c r="I150" s="4">
        <v>11</v>
      </c>
      <c r="J150" s="4">
        <v>12.5</v>
      </c>
      <c r="K150" s="1" t="str">
        <f>VLOOKUP(Table1[[#This Row],[Species ]],eq!$A$3:$B$13,2,)</f>
        <v>((0.0259*(X4^1.9044)*X2^0.9715)+(0.0069*(X4^2.0834)*X2^0.5371)+(0.0325*(X4^2.3851)*X2^0)+(0.1683*(X4^1.2764)*X2^0))*1000</v>
      </c>
      <c r="L150" s="1" t="str">
        <f t="shared" si="6"/>
        <v>((0.0259*(12.5^1.9044)*11^0.9715)+(0.0069*(12.5^2.0834)*11^0.5371)+(0.0325*(12.5^2.3851)*11^0)+(0.1683*(12.5^1.2764)*11^0))*1000</v>
      </c>
      <c r="M150" s="1" cm="1">
        <f t="array" ref="M150">eval_tr</f>
        <v>55141.141938306588</v>
      </c>
      <c r="N150" s="1">
        <f t="shared" si="7"/>
        <v>55141.141938306588</v>
      </c>
      <c r="O150" s="1" t="str">
        <f t="shared" si="8"/>
        <v>GM-18-NA</v>
      </c>
      <c r="P150" s="1">
        <f>VLOOKUP(O150,teams!$A$1:$B$47,2,)</f>
        <v>1</v>
      </c>
    </row>
    <row r="151" spans="1:16" ht="15.75" customHeight="1" x14ac:dyDescent="0.15">
      <c r="A151" s="5" t="s">
        <v>18</v>
      </c>
      <c r="B151" s="5">
        <v>18</v>
      </c>
      <c r="C151" s="5" t="s">
        <v>21</v>
      </c>
      <c r="D151" s="5" t="s">
        <v>32</v>
      </c>
      <c r="E151" s="7">
        <v>44742</v>
      </c>
      <c r="F151" s="5" t="s">
        <v>5</v>
      </c>
      <c r="G151" s="5" t="s">
        <v>35</v>
      </c>
      <c r="H151" s="3" t="s">
        <v>10</v>
      </c>
      <c r="I151" s="4">
        <v>11.5</v>
      </c>
      <c r="J151" s="4">
        <v>15.5</v>
      </c>
      <c r="K151" s="1" t="str">
        <f>VLOOKUP(Table1[[#This Row],[Species ]],eq!$A$3:$B$13,2,)</f>
        <v>((0.0294*(X4^1.8357)*X2^0.864)+(0.0053*(X4^2.0876)*X2^0.5842)+(0.0117*(X4^3.5097)*X2^-1.3006)+(0.1245*(X4^2.523)*X2^-1.123))*1000</v>
      </c>
      <c r="L151" s="1" t="str">
        <f t="shared" si="6"/>
        <v>((0.0294*(15.5^1.8357)*11.5^0.864)+(0.0053*(15.5^2.0876)*11.5^0.5842)+(0.0117*(15.5^3.5097)*11.5^-1.3006)+(0.1245*(15.5^2.523)*11.5^-1.123))*1000</v>
      </c>
      <c r="M151" s="1" cm="1">
        <f t="array" ref="M151">eval_tr</f>
        <v>59314.088557334602</v>
      </c>
      <c r="N151" s="1">
        <f t="shared" si="7"/>
        <v>59314.088557334602</v>
      </c>
      <c r="O151" s="1" t="str">
        <f t="shared" si="8"/>
        <v>GM-18-NA</v>
      </c>
      <c r="P151" s="1">
        <f>VLOOKUP(O151,teams!$A$1:$B$47,2,)</f>
        <v>1</v>
      </c>
    </row>
    <row r="152" spans="1:16" ht="15.75" customHeight="1" x14ac:dyDescent="0.15">
      <c r="A152" s="5" t="s">
        <v>18</v>
      </c>
      <c r="B152" s="5">
        <v>18</v>
      </c>
      <c r="C152" s="5" t="s">
        <v>21</v>
      </c>
      <c r="D152" s="5" t="s">
        <v>32</v>
      </c>
      <c r="E152" s="7">
        <v>44742</v>
      </c>
      <c r="F152" s="5" t="s">
        <v>6</v>
      </c>
      <c r="G152" s="5" t="s">
        <v>36</v>
      </c>
      <c r="H152" s="3" t="s">
        <v>10</v>
      </c>
      <c r="I152" s="4">
        <v>13</v>
      </c>
      <c r="J152" s="4">
        <v>26</v>
      </c>
      <c r="K152" s="1" t="str">
        <f>VLOOKUP(Table1[[#This Row],[Species ]],eq!$A$3:$B$13,2,)</f>
        <v>((0.0294*(X4^1.8357)*X2^0.864)+(0.0053*(X4^2.0876)*X2^0.5842)+(0.0117*(X4^3.5097)*X2^-1.3006)+(0.1245*(X4^2.523)*X2^-1.123))*1000</v>
      </c>
      <c r="L152" s="1" t="str">
        <f t="shared" si="6"/>
        <v>((0.0294*(26^1.8357)*13^0.864)+(0.0053*(26^2.0876)*13^0.5842)+(0.0117*(26^3.5097)*13^-1.3006)+(0.1245*(26^2.523)*13^-1.123))*1000</v>
      </c>
      <c r="M152" s="1" cm="1">
        <f t="array" ref="M152">eval_tr</f>
        <v>192509.81943769936</v>
      </c>
      <c r="N152" s="1">
        <f t="shared" si="7"/>
        <v>192509.81943769936</v>
      </c>
      <c r="O152" s="1" t="str">
        <f t="shared" si="8"/>
        <v>GM-18-NA</v>
      </c>
      <c r="P152" s="1">
        <f>VLOOKUP(O152,teams!$A$1:$B$47,2,)</f>
        <v>1</v>
      </c>
    </row>
    <row r="153" spans="1:16" ht="15.75" customHeight="1" x14ac:dyDescent="0.15">
      <c r="A153" s="5" t="s">
        <v>18</v>
      </c>
      <c r="B153" s="5">
        <v>18</v>
      </c>
      <c r="C153" s="5" t="s">
        <v>21</v>
      </c>
      <c r="D153" s="5" t="s">
        <v>32</v>
      </c>
      <c r="E153" s="7">
        <v>44742</v>
      </c>
      <c r="F153" s="5" t="s">
        <v>7</v>
      </c>
      <c r="G153" s="5" t="s">
        <v>34</v>
      </c>
      <c r="H153" s="5" t="s">
        <v>11</v>
      </c>
      <c r="I153" s="4">
        <v>13</v>
      </c>
      <c r="J153" s="4">
        <v>26</v>
      </c>
      <c r="K153" s="1" t="str">
        <f>VLOOKUP(Table1[[#This Row],[Species ]],eq!$A$3:$B$13,2,)</f>
        <v>((0.0259*(X4^1.9044)*X2^0.9715)+(0.0069*(X4^2.0834)*X2^0.5371)+(0.0325*(X4^2.3851)*X2^0)+(0.1683*(X4^1.2764)*X2^0))*1000</v>
      </c>
      <c r="L153" s="1" t="str">
        <f t="shared" si="6"/>
        <v>((0.0259*(26^1.9044)*13^0.9715)+(0.0069*(26^2.0834)*13^0.5371)+(0.0325*(26^2.3851)*13^0)+(0.1683*(26^1.2764)*13^0))*1000</v>
      </c>
      <c r="M153" s="1" cm="1">
        <f t="array" ref="M153">eval_tr</f>
        <v>267026.60836600111</v>
      </c>
      <c r="N153" s="1">
        <f t="shared" si="7"/>
        <v>267026.60836600111</v>
      </c>
      <c r="O153" s="1" t="str">
        <f t="shared" si="8"/>
        <v>GM-18-NA</v>
      </c>
      <c r="P153" s="1">
        <f>VLOOKUP(O153,teams!$A$1:$B$47,2,)</f>
        <v>1</v>
      </c>
    </row>
    <row r="154" spans="1:16" ht="15.75" customHeight="1" x14ac:dyDescent="0.15">
      <c r="A154" s="5" t="s">
        <v>3</v>
      </c>
      <c r="B154" s="5">
        <v>19</v>
      </c>
      <c r="C154" s="5" t="s">
        <v>22</v>
      </c>
      <c r="D154" s="5" t="s">
        <v>30</v>
      </c>
      <c r="E154" s="7">
        <v>44726</v>
      </c>
      <c r="F154" s="5" t="s">
        <v>7</v>
      </c>
      <c r="G154" s="5" t="s">
        <v>34</v>
      </c>
      <c r="H154" s="3" t="s">
        <v>8</v>
      </c>
      <c r="I154" s="4">
        <v>6</v>
      </c>
      <c r="J154" s="4">
        <v>21</v>
      </c>
      <c r="K154" s="1" t="str">
        <f>VLOOKUP(Table1[[#This Row],[Species ]],eq!$A$3:$B$13,2,)</f>
        <v>((0.0309*(X4^1.7527)*X2^1.0014)+(0.0115*(X4^1.7405)*X2^0.6589)+(0.038*(X4^3.2558)*X2^-1.4218)+(0.2048*(X4^2.5754)*X2^-1.3704))*1000</v>
      </c>
      <c r="L154" s="1" t="str">
        <f t="shared" si="6"/>
        <v>((0.0309*(21^1.7527)*6^1.0014)+(0.0115*(21^1.7405)*6^0.6589)+(0.038*(21^3.2558)*6^-1.4218)+(0.2048*(21^2.5754)*6^-1.3704))*1000</v>
      </c>
      <c r="M154" s="1" cm="1">
        <f t="array" ref="M154">eval_tr</f>
        <v>150807.91984198571</v>
      </c>
      <c r="N154" s="1">
        <f t="shared" si="7"/>
        <v>150807.91984198571</v>
      </c>
      <c r="O154" s="1" t="str">
        <f t="shared" si="8"/>
        <v>TN-19-CTRL</v>
      </c>
      <c r="P154" s="1">
        <f>VLOOKUP(O154,teams!$A$1:$B$47,2,)</f>
        <v>1</v>
      </c>
    </row>
    <row r="155" spans="1:16" ht="15.75" customHeight="1" x14ac:dyDescent="0.15">
      <c r="A155" s="5" t="s">
        <v>3</v>
      </c>
      <c r="B155" s="5">
        <v>19</v>
      </c>
      <c r="C155" s="5" t="s">
        <v>22</v>
      </c>
      <c r="D155" s="5" t="s">
        <v>30</v>
      </c>
      <c r="E155" s="7">
        <v>44726</v>
      </c>
      <c r="F155" s="5" t="s">
        <v>5</v>
      </c>
      <c r="G155" s="5" t="s">
        <v>35</v>
      </c>
      <c r="H155" s="5" t="s">
        <v>21</v>
      </c>
      <c r="I155" s="4" t="s">
        <v>21</v>
      </c>
      <c r="J155" s="4" t="s">
        <v>21</v>
      </c>
      <c r="K155" s="1" t="e">
        <f>VLOOKUP(Table1[[#This Row],[Species ]],eq!$A$3:$B$13,2,)</f>
        <v>#N/A</v>
      </c>
      <c r="L155" s="1" t="e">
        <f t="shared" si="6"/>
        <v>#N/A</v>
      </c>
      <c r="M155" s="1" t="e" cm="1">
        <f t="array" ref="M155">eval_tr</f>
        <v>#N/A</v>
      </c>
      <c r="N155" s="1">
        <f t="shared" si="7"/>
        <v>0</v>
      </c>
      <c r="O155" s="1" t="str">
        <f t="shared" si="8"/>
        <v>TN-19-CTRL</v>
      </c>
      <c r="P155" s="1">
        <f>VLOOKUP(O155,teams!$A$1:$B$47,2,)</f>
        <v>1</v>
      </c>
    </row>
    <row r="156" spans="1:16" ht="15.75" customHeight="1" x14ac:dyDescent="0.15">
      <c r="A156" s="5" t="s">
        <v>3</v>
      </c>
      <c r="B156" s="5">
        <v>19</v>
      </c>
      <c r="C156" s="5" t="s">
        <v>22</v>
      </c>
      <c r="D156" s="5" t="s">
        <v>30</v>
      </c>
      <c r="E156" s="7">
        <v>44726</v>
      </c>
      <c r="F156" s="5" t="s">
        <v>6</v>
      </c>
      <c r="G156" s="5" t="s">
        <v>36</v>
      </c>
      <c r="H156" s="5" t="s">
        <v>21</v>
      </c>
      <c r="I156" s="4" t="s">
        <v>21</v>
      </c>
      <c r="J156" s="4" t="s">
        <v>21</v>
      </c>
      <c r="K156" s="1" t="e">
        <f>VLOOKUP(Table1[[#This Row],[Species ]],eq!$A$3:$B$13,2,)</f>
        <v>#N/A</v>
      </c>
      <c r="L156" s="1" t="e">
        <f t="shared" si="6"/>
        <v>#N/A</v>
      </c>
      <c r="M156" s="1" t="e" cm="1">
        <f t="array" ref="M156">eval_tr</f>
        <v>#N/A</v>
      </c>
      <c r="N156" s="1">
        <f t="shared" si="7"/>
        <v>0</v>
      </c>
      <c r="O156" s="1" t="str">
        <f t="shared" si="8"/>
        <v>TN-19-CTRL</v>
      </c>
      <c r="P156" s="1">
        <f>VLOOKUP(O156,teams!$A$1:$B$47,2,)</f>
        <v>1</v>
      </c>
    </row>
    <row r="157" spans="1:16" ht="15.75" customHeight="1" x14ac:dyDescent="0.15">
      <c r="A157" s="5" t="s">
        <v>3</v>
      </c>
      <c r="B157" s="5">
        <v>19</v>
      </c>
      <c r="C157" s="5" t="s">
        <v>22</v>
      </c>
      <c r="D157" s="5" t="s">
        <v>30</v>
      </c>
      <c r="E157" s="7">
        <v>44726</v>
      </c>
      <c r="F157" s="5" t="s">
        <v>9</v>
      </c>
      <c r="G157" s="5" t="s">
        <v>37</v>
      </c>
      <c r="H157" s="5" t="s">
        <v>21</v>
      </c>
      <c r="I157" s="4" t="s">
        <v>21</v>
      </c>
      <c r="J157" s="4" t="s">
        <v>21</v>
      </c>
      <c r="K157" s="1" t="e">
        <f>VLOOKUP(Table1[[#This Row],[Species ]],eq!$A$3:$B$13,2,)</f>
        <v>#N/A</v>
      </c>
      <c r="L157" s="1" t="e">
        <f t="shared" si="6"/>
        <v>#N/A</v>
      </c>
      <c r="M157" s="1" t="e" cm="1">
        <f t="array" ref="M157">eval_tr</f>
        <v>#N/A</v>
      </c>
      <c r="N157" s="1">
        <f t="shared" si="7"/>
        <v>0</v>
      </c>
      <c r="O157" s="1" t="str">
        <f t="shared" si="8"/>
        <v>TN-19-CTRL</v>
      </c>
      <c r="P157" s="1">
        <f>VLOOKUP(O157,teams!$A$1:$B$47,2,)</f>
        <v>1</v>
      </c>
    </row>
    <row r="158" spans="1:16" ht="15.75" customHeight="1" x14ac:dyDescent="0.15">
      <c r="A158" s="6" t="s">
        <v>3</v>
      </c>
      <c r="B158" s="6">
        <v>19</v>
      </c>
      <c r="C158" s="5" t="s">
        <v>23</v>
      </c>
      <c r="D158" s="5" t="s">
        <v>30</v>
      </c>
      <c r="E158" s="7">
        <v>44726</v>
      </c>
      <c r="F158" s="6" t="s">
        <v>7</v>
      </c>
      <c r="G158" s="6" t="s">
        <v>34</v>
      </c>
      <c r="H158" s="3" t="s">
        <v>15</v>
      </c>
      <c r="I158" s="2">
        <v>3.5</v>
      </c>
      <c r="J158" s="2">
        <v>3</v>
      </c>
      <c r="K158" s="1" t="str">
        <f>VLOOKUP(Table1[[#This Row],[Species ]],eq!$A$3:$B$13,2,)</f>
        <v>((0.0259*(X4^1.9044)*X2^0.9715)+(0.0069*(X4^2.0834)*X2^0.5371)+(0.0325*(X4^2.3851)*X2^0)+(0.1683*(X4^1.2764)*X2^0))*1000</v>
      </c>
      <c r="L158" s="1" t="str">
        <f t="shared" si="6"/>
        <v>((0.0259*(3^1.9044)*3.5^0.9715)+(0.0069*(3^2.0834)*3.5^0.5371)+(0.0325*(3^2.3851)*3.5^0)+(0.1683*(3^1.2764)*3.5^0))*1000</v>
      </c>
      <c r="M158" s="1" cm="1">
        <f t="array" ref="M158">eval_tr</f>
        <v>1972.7165142405092</v>
      </c>
      <c r="N158" s="1">
        <f t="shared" si="7"/>
        <v>1972.7165142405092</v>
      </c>
      <c r="O158" s="1" t="str">
        <f t="shared" si="8"/>
        <v>TN-19-EX</v>
      </c>
      <c r="P158" s="1">
        <f>VLOOKUP(O158,teams!$A$1:$B$47,2,)</f>
        <v>1</v>
      </c>
    </row>
    <row r="159" spans="1:16" ht="15.75" customHeight="1" x14ac:dyDescent="0.15">
      <c r="A159" s="6" t="s">
        <v>3</v>
      </c>
      <c r="B159" s="6">
        <v>19</v>
      </c>
      <c r="C159" s="5" t="s">
        <v>23</v>
      </c>
      <c r="D159" s="5" t="s">
        <v>30</v>
      </c>
      <c r="E159" s="7">
        <v>44726</v>
      </c>
      <c r="F159" s="6" t="s">
        <v>9</v>
      </c>
      <c r="G159" s="6" t="s">
        <v>37</v>
      </c>
      <c r="H159" s="6" t="s">
        <v>15</v>
      </c>
      <c r="I159" s="2">
        <v>5</v>
      </c>
      <c r="J159" s="2">
        <v>3</v>
      </c>
      <c r="K159" s="1" t="str">
        <f>VLOOKUP(Table1[[#This Row],[Species ]],eq!$A$3:$B$13,2,)</f>
        <v>((0.0259*(X4^1.9044)*X2^0.9715)+(0.0069*(X4^2.0834)*X2^0.5371)+(0.0325*(X4^2.3851)*X2^0)+(0.1683*(X4^1.2764)*X2^0))*1000</v>
      </c>
      <c r="L159" s="1" t="str">
        <f t="shared" si="6"/>
        <v>((0.0259*(3^1.9044)*5^0.9715)+(0.0069*(3^2.0834)*5^0.5371)+(0.0325*(3^2.3851)*5^0)+(0.1683*(3^1.2764)*5^0))*1000</v>
      </c>
      <c r="M159" s="1" cm="1">
        <f t="array" ref="M159">eval_tr</f>
        <v>2294.38925910938</v>
      </c>
      <c r="N159" s="1">
        <f t="shared" si="7"/>
        <v>2294.38925910938</v>
      </c>
      <c r="O159" s="1" t="str">
        <f t="shared" si="8"/>
        <v>TN-19-EX</v>
      </c>
      <c r="P159" s="1">
        <f>VLOOKUP(O159,teams!$A$1:$B$47,2,)</f>
        <v>1</v>
      </c>
    </row>
    <row r="160" spans="1:16" ht="15.75" customHeight="1" x14ac:dyDescent="0.15">
      <c r="A160" s="6" t="s">
        <v>3</v>
      </c>
      <c r="B160" s="6">
        <v>19</v>
      </c>
      <c r="C160" s="5" t="s">
        <v>23</v>
      </c>
      <c r="D160" s="5" t="s">
        <v>30</v>
      </c>
      <c r="E160" s="7">
        <v>44726</v>
      </c>
      <c r="F160" s="6" t="s">
        <v>9</v>
      </c>
      <c r="G160" s="6" t="s">
        <v>37</v>
      </c>
      <c r="H160" s="3" t="s">
        <v>15</v>
      </c>
      <c r="I160" s="2">
        <v>5</v>
      </c>
      <c r="J160" s="2">
        <v>3.25</v>
      </c>
      <c r="K160" s="1" t="str">
        <f>VLOOKUP(Table1[[#This Row],[Species ]],eq!$A$3:$B$13,2,)</f>
        <v>((0.0259*(X4^1.9044)*X2^0.9715)+(0.0069*(X4^2.0834)*X2^0.5371)+(0.0325*(X4^2.3851)*X2^0)+(0.1683*(X4^1.2764)*X2^0))*1000</v>
      </c>
      <c r="L160" s="1" t="str">
        <f t="shared" si="6"/>
        <v>((0.0259*(3.25^1.9044)*5^0.9715)+(0.0069*(3.25^2.0834)*5^0.5371)+(0.0325*(3.25^2.3851)*5^0)+(0.1683*(3.25^1.2764)*5^0))*1000</v>
      </c>
      <c r="M160" s="1" cm="1">
        <f t="array" ref="M160">eval_tr</f>
        <v>2656.2536171775942</v>
      </c>
      <c r="N160" s="1">
        <f t="shared" si="7"/>
        <v>2656.2536171775942</v>
      </c>
      <c r="O160" s="1" t="str">
        <f t="shared" si="8"/>
        <v>TN-19-EX</v>
      </c>
      <c r="P160" s="1">
        <f>VLOOKUP(O160,teams!$A$1:$B$47,2,)</f>
        <v>1</v>
      </c>
    </row>
    <row r="161" spans="1:16" ht="15.75" customHeight="1" x14ac:dyDescent="0.15">
      <c r="A161" s="6" t="s">
        <v>3</v>
      </c>
      <c r="B161" s="6">
        <v>19</v>
      </c>
      <c r="C161" s="5" t="s">
        <v>23</v>
      </c>
      <c r="D161" s="5" t="s">
        <v>30</v>
      </c>
      <c r="E161" s="7">
        <v>44726</v>
      </c>
      <c r="F161" s="6" t="s">
        <v>7</v>
      </c>
      <c r="G161" s="6" t="s">
        <v>34</v>
      </c>
      <c r="H161" s="3" t="s">
        <v>10</v>
      </c>
      <c r="I161" s="2">
        <v>4.5</v>
      </c>
      <c r="J161" s="2">
        <v>4.5</v>
      </c>
      <c r="K161" s="1" t="str">
        <f>VLOOKUP(Table1[[#This Row],[Species ]],eq!$A$3:$B$13,2,)</f>
        <v>((0.0294*(X4^1.8357)*X2^0.864)+(0.0053*(X4^2.0876)*X2^0.5842)+(0.0117*(X4^3.5097)*X2^-1.3006)+(0.1245*(X4^2.523)*X2^-1.123))*1000</v>
      </c>
      <c r="L161" s="1" t="str">
        <f t="shared" si="6"/>
        <v>((0.0294*(4.5^1.8357)*4.5^0.864)+(0.0053*(4.5^2.0876)*4.5^0.5842)+(0.0117*(4.5^3.5097)*4.5^-1.3006)+(0.1245*(4.5^2.523)*4.5^-1.123))*1000</v>
      </c>
      <c r="M161" s="1" cm="1">
        <f t="array" ref="M161">eval_tr</f>
        <v>3347.1923468557252</v>
      </c>
      <c r="N161" s="1">
        <f t="shared" si="7"/>
        <v>3347.1923468557252</v>
      </c>
      <c r="O161" s="1" t="str">
        <f t="shared" si="8"/>
        <v>TN-19-EX</v>
      </c>
      <c r="P161" s="1">
        <f>VLOOKUP(O161,teams!$A$1:$B$47,2,)</f>
        <v>1</v>
      </c>
    </row>
    <row r="162" spans="1:16" ht="15.75" customHeight="1" x14ac:dyDescent="0.15">
      <c r="A162" s="6" t="s">
        <v>3</v>
      </c>
      <c r="B162" s="6">
        <v>19</v>
      </c>
      <c r="C162" s="5" t="s">
        <v>23</v>
      </c>
      <c r="D162" s="5" t="s">
        <v>30</v>
      </c>
      <c r="E162" s="7">
        <v>44726</v>
      </c>
      <c r="F162" s="6" t="s">
        <v>7</v>
      </c>
      <c r="G162" s="6" t="s">
        <v>34</v>
      </c>
      <c r="H162" s="3" t="s">
        <v>10</v>
      </c>
      <c r="I162" s="2">
        <v>4</v>
      </c>
      <c r="J162" s="2">
        <v>4.5</v>
      </c>
      <c r="K162" s="1" t="str">
        <f>VLOOKUP(Table1[[#This Row],[Species ]],eq!$A$3:$B$13,2,)</f>
        <v>((0.0294*(X4^1.8357)*X2^0.864)+(0.0053*(X4^2.0876)*X2^0.5842)+(0.0117*(X4^3.5097)*X2^-1.3006)+(0.1245*(X4^2.523)*X2^-1.123))*1000</v>
      </c>
      <c r="L162" s="1" t="str">
        <f t="shared" si="6"/>
        <v>((0.0294*(4.5^1.8357)*4^0.864)+(0.0053*(4.5^2.0876)*4^0.5842)+(0.0117*(4.5^3.5097)*4^-1.3006)+(0.1245*(4.5^2.523)*4^-1.123))*1000</v>
      </c>
      <c r="M162" s="1" cm="1">
        <f t="array" ref="M162">eval_tr</f>
        <v>3360.8963462472743</v>
      </c>
      <c r="N162" s="1">
        <f t="shared" si="7"/>
        <v>3360.8963462472743</v>
      </c>
      <c r="O162" s="1" t="str">
        <f t="shared" si="8"/>
        <v>TN-19-EX</v>
      </c>
      <c r="P162" s="1">
        <f>VLOOKUP(O162,teams!$A$1:$B$47,2,)</f>
        <v>1</v>
      </c>
    </row>
    <row r="163" spans="1:16" ht="15.75" customHeight="1" x14ac:dyDescent="0.15">
      <c r="A163" s="6" t="s">
        <v>3</v>
      </c>
      <c r="B163" s="6">
        <v>19</v>
      </c>
      <c r="C163" s="5" t="s">
        <v>23</v>
      </c>
      <c r="D163" s="5" t="s">
        <v>30</v>
      </c>
      <c r="E163" s="7">
        <v>44726</v>
      </c>
      <c r="F163" s="6" t="s">
        <v>7</v>
      </c>
      <c r="G163" s="6" t="s">
        <v>34</v>
      </c>
      <c r="H163" s="3" t="s">
        <v>10</v>
      </c>
      <c r="I163" s="2">
        <v>3.5</v>
      </c>
      <c r="J163" s="2">
        <v>4.5</v>
      </c>
      <c r="K163" s="1" t="str">
        <f>VLOOKUP(Table1[[#This Row],[Species ]],eq!$A$3:$B$13,2,)</f>
        <v>((0.0294*(X4^1.8357)*X2^0.864)+(0.0053*(X4^2.0876)*X2^0.5842)+(0.0117*(X4^3.5097)*X2^-1.3006)+(0.1245*(X4^2.523)*X2^-1.123))*1000</v>
      </c>
      <c r="L163" s="1" t="str">
        <f t="shared" si="6"/>
        <v>((0.0294*(4.5^1.8357)*3.5^0.864)+(0.0053*(4.5^2.0876)*3.5^0.5842)+(0.0117*(4.5^3.5097)*3.5^-1.3006)+(0.1245*(4.5^2.523)*3.5^-1.123))*1000</v>
      </c>
      <c r="M163" s="1" cm="1">
        <f t="array" ref="M163">eval_tr</f>
        <v>3432.9467682736999</v>
      </c>
      <c r="N163" s="1">
        <f t="shared" si="7"/>
        <v>3432.9467682736999</v>
      </c>
      <c r="O163" s="1" t="str">
        <f t="shared" si="8"/>
        <v>TN-19-EX</v>
      </c>
      <c r="P163" s="1">
        <f>VLOOKUP(O163,teams!$A$1:$B$47,2,)</f>
        <v>1</v>
      </c>
    </row>
    <row r="164" spans="1:16" ht="15.75" customHeight="1" x14ac:dyDescent="0.15">
      <c r="A164" s="6" t="s">
        <v>3</v>
      </c>
      <c r="B164" s="6">
        <v>19</v>
      </c>
      <c r="C164" s="5" t="s">
        <v>23</v>
      </c>
      <c r="D164" s="5" t="s">
        <v>30</v>
      </c>
      <c r="E164" s="7">
        <v>44726</v>
      </c>
      <c r="F164" s="6" t="s">
        <v>9</v>
      </c>
      <c r="G164" s="6" t="s">
        <v>37</v>
      </c>
      <c r="H164" s="3" t="s">
        <v>15</v>
      </c>
      <c r="I164" s="2">
        <v>5</v>
      </c>
      <c r="J164" s="2">
        <v>4</v>
      </c>
      <c r="K164" s="1" t="str">
        <f>VLOOKUP(Table1[[#This Row],[Species ]],eq!$A$3:$B$13,2,)</f>
        <v>((0.0259*(X4^1.9044)*X2^0.9715)+(0.0069*(X4^2.0834)*X2^0.5371)+(0.0325*(X4^2.3851)*X2^0)+(0.1683*(X4^1.2764)*X2^0))*1000</v>
      </c>
      <c r="L164" s="1" t="str">
        <f t="shared" si="6"/>
        <v>((0.0259*(4^1.9044)*5^0.9715)+(0.0069*(4^2.0834)*5^0.5371)+(0.0325*(4^2.3851)*5^0)+(0.1683*(4^1.2764)*5^0))*1000</v>
      </c>
      <c r="M164" s="1" cm="1">
        <f t="array" ref="M164">eval_tr</f>
        <v>3902.0233950168667</v>
      </c>
      <c r="N164" s="1">
        <f t="shared" si="7"/>
        <v>3902.0233950168667</v>
      </c>
      <c r="O164" s="1" t="str">
        <f t="shared" si="8"/>
        <v>TN-19-EX</v>
      </c>
      <c r="P164" s="1">
        <f>VLOOKUP(O164,teams!$A$1:$B$47,2,)</f>
        <v>1</v>
      </c>
    </row>
    <row r="165" spans="1:16" ht="15.75" customHeight="1" x14ac:dyDescent="0.15">
      <c r="A165" s="6" t="s">
        <v>3</v>
      </c>
      <c r="B165" s="6">
        <v>19</v>
      </c>
      <c r="C165" s="5" t="s">
        <v>23</v>
      </c>
      <c r="D165" s="5" t="s">
        <v>30</v>
      </c>
      <c r="E165" s="7">
        <v>44726</v>
      </c>
      <c r="F165" s="6" t="s">
        <v>6</v>
      </c>
      <c r="G165" s="6" t="s">
        <v>36</v>
      </c>
      <c r="H165" s="3" t="s">
        <v>10</v>
      </c>
      <c r="I165" s="2">
        <v>3</v>
      </c>
      <c r="J165" s="2">
        <v>4.75</v>
      </c>
      <c r="K165" s="1" t="str">
        <f>VLOOKUP(Table1[[#This Row],[Species ]],eq!$A$3:$B$13,2,)</f>
        <v>((0.0294*(X4^1.8357)*X2^0.864)+(0.0053*(X4^2.0876)*X2^0.5842)+(0.0117*(X4^3.5097)*X2^-1.3006)+(0.1245*(X4^2.523)*X2^-1.123))*1000</v>
      </c>
      <c r="L165" s="1" t="str">
        <f t="shared" si="6"/>
        <v>((0.0294*(4.75^1.8357)*3^0.864)+(0.0053*(4.75^2.0876)*3^0.5842)+(0.0117*(4.75^3.5097)*3^-1.3006)+(0.1245*(4.75^2.523)*3^-1.123))*1000</v>
      </c>
      <c r="M165" s="1" cm="1">
        <f t="array" ref="M165">eval_tr</f>
        <v>4099.6971540690556</v>
      </c>
      <c r="N165" s="1">
        <f t="shared" si="7"/>
        <v>4099.6971540690556</v>
      </c>
      <c r="O165" s="1" t="str">
        <f t="shared" si="8"/>
        <v>TN-19-EX</v>
      </c>
      <c r="P165" s="1">
        <f>VLOOKUP(O165,teams!$A$1:$B$47,2,)</f>
        <v>1</v>
      </c>
    </row>
    <row r="166" spans="1:16" ht="15.75" customHeight="1" x14ac:dyDescent="0.15">
      <c r="A166" s="6" t="s">
        <v>3</v>
      </c>
      <c r="B166" s="6">
        <v>19</v>
      </c>
      <c r="C166" s="5" t="s">
        <v>23</v>
      </c>
      <c r="D166" s="5" t="s">
        <v>30</v>
      </c>
      <c r="E166" s="7">
        <v>44726</v>
      </c>
      <c r="F166" s="6" t="s">
        <v>5</v>
      </c>
      <c r="G166" s="6" t="s">
        <v>35</v>
      </c>
      <c r="H166" s="3" t="s">
        <v>10</v>
      </c>
      <c r="I166" s="2">
        <v>4.5</v>
      </c>
      <c r="J166" s="2">
        <v>5</v>
      </c>
      <c r="K166" s="1" t="str">
        <f>VLOOKUP(Table1[[#This Row],[Species ]],eq!$A$3:$B$13,2,)</f>
        <v>((0.0294*(X4^1.8357)*X2^0.864)+(0.0053*(X4^2.0876)*X2^0.5842)+(0.0117*(X4^3.5097)*X2^-1.3006)+(0.1245*(X4^2.523)*X2^-1.123))*1000</v>
      </c>
      <c r="L166" s="1" t="str">
        <f t="shared" si="6"/>
        <v>((0.0294*(5^1.8357)*4.5^0.864)+(0.0053*(5^2.0876)*4.5^0.5842)+(0.0117*(5^3.5097)*4.5^-1.3006)+(0.1245*(5^2.523)*4.5^-1.123))*1000</v>
      </c>
      <c r="M166" s="1" cm="1">
        <f t="array" ref="M166">eval_tr</f>
        <v>4240.1588951391304</v>
      </c>
      <c r="N166" s="1">
        <f t="shared" si="7"/>
        <v>4240.1588951391304</v>
      </c>
      <c r="O166" s="1" t="str">
        <f t="shared" si="8"/>
        <v>TN-19-EX</v>
      </c>
      <c r="P166" s="1">
        <f>VLOOKUP(O166,teams!$A$1:$B$47,2,)</f>
        <v>1</v>
      </c>
    </row>
    <row r="167" spans="1:16" ht="15.75" customHeight="1" x14ac:dyDescent="0.15">
      <c r="A167" s="6" t="s">
        <v>3</v>
      </c>
      <c r="B167" s="6">
        <v>19</v>
      </c>
      <c r="C167" s="5" t="s">
        <v>23</v>
      </c>
      <c r="D167" s="5" t="s">
        <v>30</v>
      </c>
      <c r="E167" s="7">
        <v>44726</v>
      </c>
      <c r="F167" s="6" t="s">
        <v>9</v>
      </c>
      <c r="G167" s="6" t="s">
        <v>37</v>
      </c>
      <c r="H167" s="3" t="s">
        <v>15</v>
      </c>
      <c r="I167" s="2">
        <v>5.5</v>
      </c>
      <c r="J167" s="2">
        <v>4.5</v>
      </c>
      <c r="K167" s="1" t="str">
        <f>VLOOKUP(Table1[[#This Row],[Species ]],eq!$A$3:$B$13,2,)</f>
        <v>((0.0259*(X4^1.9044)*X2^0.9715)+(0.0069*(X4^2.0834)*X2^0.5371)+(0.0325*(X4^2.3851)*X2^0)+(0.1683*(X4^1.2764)*X2^0))*1000</v>
      </c>
      <c r="L167" s="1" t="str">
        <f t="shared" si="6"/>
        <v>((0.0259*(4.5^1.9044)*5.5^0.9715)+(0.0069*(4.5^2.0834)*5.5^0.5371)+(0.0325*(4.5^2.3851)*5.5^0)+(0.1683*(4.5^1.2764)*5.5^0))*1000</v>
      </c>
      <c r="M167" s="1" cm="1">
        <f t="array" ref="M167">eval_tr</f>
        <v>5097.7924123606363</v>
      </c>
      <c r="N167" s="1">
        <f t="shared" si="7"/>
        <v>5097.7924123606363</v>
      </c>
      <c r="O167" s="1" t="str">
        <f t="shared" si="8"/>
        <v>TN-19-EX</v>
      </c>
      <c r="P167" s="1">
        <f>VLOOKUP(O167,teams!$A$1:$B$47,2,)</f>
        <v>1</v>
      </c>
    </row>
    <row r="168" spans="1:16" ht="15.75" customHeight="1" x14ac:dyDescent="0.15">
      <c r="A168" s="6" t="s">
        <v>3</v>
      </c>
      <c r="B168" s="6">
        <v>19</v>
      </c>
      <c r="C168" s="5" t="s">
        <v>23</v>
      </c>
      <c r="D168" s="5" t="s">
        <v>30</v>
      </c>
      <c r="E168" s="7">
        <v>44726</v>
      </c>
      <c r="F168" s="6" t="s">
        <v>6</v>
      </c>
      <c r="G168" s="6" t="s">
        <v>36</v>
      </c>
      <c r="H168" s="3" t="s">
        <v>10</v>
      </c>
      <c r="I168" s="2">
        <v>5.5</v>
      </c>
      <c r="J168" s="2">
        <v>5.5</v>
      </c>
      <c r="K168" s="1" t="str">
        <f>VLOOKUP(Table1[[#This Row],[Species ]],eq!$A$3:$B$13,2,)</f>
        <v>((0.0294*(X4^1.8357)*X2^0.864)+(0.0053*(X4^2.0876)*X2^0.5842)+(0.0117*(X4^3.5097)*X2^-1.3006)+(0.1245*(X4^2.523)*X2^-1.123))*1000</v>
      </c>
      <c r="L168" s="1" t="str">
        <f t="shared" si="6"/>
        <v>((0.0294*(5.5^1.8357)*5.5^0.864)+(0.0053*(5.5^2.0876)*5.5^0.5842)+(0.0117*(5.5^3.5097)*5.5^-1.3006)+(0.1245*(5.5^2.523)*5.5^-1.123))*1000</v>
      </c>
      <c r="M168" s="1" cm="1">
        <f t="array" ref="M168">eval_tr</f>
        <v>5295.2183666215424</v>
      </c>
      <c r="N168" s="1">
        <f t="shared" si="7"/>
        <v>5295.2183666215424</v>
      </c>
      <c r="O168" s="1" t="str">
        <f t="shared" si="8"/>
        <v>TN-19-EX</v>
      </c>
      <c r="P168" s="1">
        <f>VLOOKUP(O168,teams!$A$1:$B$47,2,)</f>
        <v>1</v>
      </c>
    </row>
    <row r="169" spans="1:16" ht="15.75" customHeight="1" x14ac:dyDescent="0.15">
      <c r="A169" s="6" t="s">
        <v>3</v>
      </c>
      <c r="B169" s="6">
        <v>19</v>
      </c>
      <c r="C169" s="5" t="s">
        <v>23</v>
      </c>
      <c r="D169" s="5" t="s">
        <v>30</v>
      </c>
      <c r="E169" s="7">
        <v>44726</v>
      </c>
      <c r="F169" s="6" t="s">
        <v>7</v>
      </c>
      <c r="G169" s="6" t="s">
        <v>34</v>
      </c>
      <c r="H169" s="3" t="s">
        <v>10</v>
      </c>
      <c r="I169" s="2">
        <v>4.5</v>
      </c>
      <c r="J169" s="2">
        <v>5.75</v>
      </c>
      <c r="K169" s="1" t="str">
        <f>VLOOKUP(Table1[[#This Row],[Species ]],eq!$A$3:$B$13,2,)</f>
        <v>((0.0294*(X4^1.8357)*X2^0.864)+(0.0053*(X4^2.0876)*X2^0.5842)+(0.0117*(X4^3.5097)*X2^-1.3006)+(0.1245*(X4^2.523)*X2^-1.123))*1000</v>
      </c>
      <c r="L169" s="1" t="str">
        <f t="shared" si="6"/>
        <v>((0.0294*(5.75^1.8357)*4.5^0.864)+(0.0053*(5.75^2.0876)*4.5^0.5842)+(0.0117*(5.75^3.5097)*4.5^-1.3006)+(0.1245*(5.75^2.523)*4.5^-1.123))*1000</v>
      </c>
      <c r="M169" s="1" cm="1">
        <f t="array" ref="M169">eval_tr</f>
        <v>5831.1541371704297</v>
      </c>
      <c r="N169" s="1">
        <f t="shared" si="7"/>
        <v>5831.1541371704297</v>
      </c>
      <c r="O169" s="1" t="str">
        <f t="shared" si="8"/>
        <v>TN-19-EX</v>
      </c>
      <c r="P169" s="1">
        <f>VLOOKUP(O169,teams!$A$1:$B$47,2,)</f>
        <v>1</v>
      </c>
    </row>
    <row r="170" spans="1:16" ht="15.75" customHeight="1" x14ac:dyDescent="0.15">
      <c r="A170" s="6" t="s">
        <v>3</v>
      </c>
      <c r="B170" s="6">
        <v>19</v>
      </c>
      <c r="C170" s="5" t="s">
        <v>23</v>
      </c>
      <c r="D170" s="5" t="s">
        <v>30</v>
      </c>
      <c r="E170" s="7">
        <v>44726</v>
      </c>
      <c r="F170" s="6" t="s">
        <v>6</v>
      </c>
      <c r="G170" s="6" t="s">
        <v>36</v>
      </c>
      <c r="H170" s="3" t="s">
        <v>15</v>
      </c>
      <c r="I170" s="2">
        <v>5</v>
      </c>
      <c r="J170" s="2">
        <v>5</v>
      </c>
      <c r="K170" s="1" t="str">
        <f>VLOOKUP(Table1[[#This Row],[Species ]],eq!$A$3:$B$13,2,)</f>
        <v>((0.0259*(X4^1.9044)*X2^0.9715)+(0.0069*(X4^2.0834)*X2^0.5371)+(0.0325*(X4^2.3851)*X2^0)+(0.1683*(X4^1.2764)*X2^0))*1000</v>
      </c>
      <c r="L170" s="1" t="str">
        <f t="shared" si="6"/>
        <v>((0.0259*(5^1.9044)*5^0.9715)+(0.0069*(5^2.0834)*5^0.5371)+(0.0325*(5^2.3851)*5^0)+(0.1683*(5^1.2764)*5^0))*1000</v>
      </c>
      <c r="M170" s="1" cm="1">
        <f t="array" ref="M170">eval_tr</f>
        <v>5942.649717713055</v>
      </c>
      <c r="N170" s="1">
        <f t="shared" si="7"/>
        <v>5942.649717713055</v>
      </c>
      <c r="O170" s="1" t="str">
        <f t="shared" si="8"/>
        <v>TN-19-EX</v>
      </c>
      <c r="P170" s="1">
        <f>VLOOKUP(O170,teams!$A$1:$B$47,2,)</f>
        <v>1</v>
      </c>
    </row>
    <row r="171" spans="1:16" ht="15.75" customHeight="1" x14ac:dyDescent="0.15">
      <c r="A171" s="6" t="s">
        <v>3</v>
      </c>
      <c r="B171" s="6">
        <v>19</v>
      </c>
      <c r="C171" s="5" t="s">
        <v>23</v>
      </c>
      <c r="D171" s="5" t="s">
        <v>30</v>
      </c>
      <c r="E171" s="7">
        <v>44726</v>
      </c>
      <c r="F171" s="6" t="s">
        <v>9</v>
      </c>
      <c r="G171" s="6" t="s">
        <v>37</v>
      </c>
      <c r="H171" s="3" t="s">
        <v>15</v>
      </c>
      <c r="I171" s="2">
        <v>6</v>
      </c>
      <c r="J171" s="2">
        <v>5</v>
      </c>
      <c r="K171" s="1" t="str">
        <f>VLOOKUP(Table1[[#This Row],[Species ]],eq!$A$3:$B$13,2,)</f>
        <v>((0.0259*(X4^1.9044)*X2^0.9715)+(0.0069*(X4^2.0834)*X2^0.5371)+(0.0325*(X4^2.3851)*X2^0)+(0.1683*(X4^1.2764)*X2^0))*1000</v>
      </c>
      <c r="L171" s="1" t="str">
        <f t="shared" si="6"/>
        <v>((0.0259*(5^1.9044)*6^0.9715)+(0.0069*(5^2.0834)*6^0.5371)+(0.0325*(5^2.3851)*6^0)+(0.1683*(5^1.2764)*6^0))*1000</v>
      </c>
      <c r="M171" s="1" cm="1">
        <f t="array" ref="M171">eval_tr</f>
        <v>6504.6070171461251</v>
      </c>
      <c r="N171" s="1">
        <f t="shared" si="7"/>
        <v>6504.6070171461251</v>
      </c>
      <c r="O171" s="1" t="str">
        <f t="shared" si="8"/>
        <v>TN-19-EX</v>
      </c>
      <c r="P171" s="1">
        <f>VLOOKUP(O171,teams!$A$1:$B$47,2,)</f>
        <v>1</v>
      </c>
    </row>
    <row r="172" spans="1:16" ht="15.75" customHeight="1" x14ac:dyDescent="0.15">
      <c r="A172" s="6" t="s">
        <v>3</v>
      </c>
      <c r="B172" s="6">
        <v>19</v>
      </c>
      <c r="C172" s="5" t="s">
        <v>23</v>
      </c>
      <c r="D172" s="5" t="s">
        <v>30</v>
      </c>
      <c r="E172" s="7">
        <v>44726</v>
      </c>
      <c r="F172" s="6" t="s">
        <v>6</v>
      </c>
      <c r="G172" s="6" t="s">
        <v>36</v>
      </c>
      <c r="H172" s="3" t="s">
        <v>15</v>
      </c>
      <c r="I172" s="2">
        <v>5.5</v>
      </c>
      <c r="J172" s="2">
        <v>5.25</v>
      </c>
      <c r="K172" s="1" t="str">
        <f>VLOOKUP(Table1[[#This Row],[Species ]],eq!$A$3:$B$13,2,)</f>
        <v>((0.0259*(X4^1.9044)*X2^0.9715)+(0.0069*(X4^2.0834)*X2^0.5371)+(0.0325*(X4^2.3851)*X2^0)+(0.1683*(X4^1.2764)*X2^0))*1000</v>
      </c>
      <c r="L172" s="1" t="str">
        <f t="shared" si="6"/>
        <v>((0.0259*(5.25^1.9044)*5.5^0.9715)+(0.0069*(5.25^2.0834)*5.5^0.5371)+(0.0325*(5.25^2.3851)*5.5^0)+(0.1683*(5.25^1.2764)*5.5^0))*1000</v>
      </c>
      <c r="M172" s="1" cm="1">
        <f t="array" ref="M172">eval_tr</f>
        <v>6831.1344864952598</v>
      </c>
      <c r="N172" s="1">
        <f t="shared" si="7"/>
        <v>6831.1344864952598</v>
      </c>
      <c r="O172" s="1" t="str">
        <f t="shared" si="8"/>
        <v>TN-19-EX</v>
      </c>
      <c r="P172" s="1">
        <f>VLOOKUP(O172,teams!$A$1:$B$47,2,)</f>
        <v>1</v>
      </c>
    </row>
    <row r="173" spans="1:16" ht="15.75" customHeight="1" x14ac:dyDescent="0.15">
      <c r="A173" s="6" t="s">
        <v>3</v>
      </c>
      <c r="B173" s="6">
        <v>19</v>
      </c>
      <c r="C173" s="5" t="s">
        <v>23</v>
      </c>
      <c r="D173" s="5" t="s">
        <v>30</v>
      </c>
      <c r="E173" s="7">
        <v>44726</v>
      </c>
      <c r="F173" s="6" t="s">
        <v>5</v>
      </c>
      <c r="G173" s="6" t="s">
        <v>35</v>
      </c>
      <c r="H173" s="3" t="s">
        <v>10</v>
      </c>
      <c r="I173" s="2">
        <v>5</v>
      </c>
      <c r="J173" s="2">
        <v>6.5</v>
      </c>
      <c r="K173" s="1" t="str">
        <f>VLOOKUP(Table1[[#This Row],[Species ]],eq!$A$3:$B$13,2,)</f>
        <v>((0.0294*(X4^1.8357)*X2^0.864)+(0.0053*(X4^2.0876)*X2^0.5842)+(0.0117*(X4^3.5097)*X2^-1.3006)+(0.1245*(X4^2.523)*X2^-1.123))*1000</v>
      </c>
      <c r="L173" s="1" t="str">
        <f t="shared" si="6"/>
        <v>((0.0294*(6.5^1.8357)*5^0.864)+(0.0053*(6.5^2.0876)*5^0.5842)+(0.0117*(6.5^3.5097)*5^-1.3006)+(0.1245*(6.5^2.523)*5^-1.123))*1000</v>
      </c>
      <c r="M173" s="1" cm="1">
        <f t="array" ref="M173">eval_tr</f>
        <v>7670.0287838434824</v>
      </c>
      <c r="N173" s="1">
        <f t="shared" si="7"/>
        <v>7670.0287838434824</v>
      </c>
      <c r="O173" s="1" t="str">
        <f t="shared" si="8"/>
        <v>TN-19-EX</v>
      </c>
      <c r="P173" s="1">
        <f>VLOOKUP(O173,teams!$A$1:$B$47,2,)</f>
        <v>1</v>
      </c>
    </row>
    <row r="174" spans="1:16" ht="15.75" customHeight="1" x14ac:dyDescent="0.15">
      <c r="A174" s="6" t="s">
        <v>3</v>
      </c>
      <c r="B174" s="6">
        <v>19</v>
      </c>
      <c r="C174" s="5" t="s">
        <v>23</v>
      </c>
      <c r="D174" s="5" t="s">
        <v>30</v>
      </c>
      <c r="E174" s="7">
        <v>44726</v>
      </c>
      <c r="F174" s="6" t="s">
        <v>6</v>
      </c>
      <c r="G174" s="6" t="s">
        <v>36</v>
      </c>
      <c r="H174" s="3" t="s">
        <v>15</v>
      </c>
      <c r="I174" s="2">
        <v>6.5</v>
      </c>
      <c r="J174" s="2">
        <v>6</v>
      </c>
      <c r="K174" s="1" t="str">
        <f>VLOOKUP(Table1[[#This Row],[Species ]],eq!$A$3:$B$13,2,)</f>
        <v>((0.0259*(X4^1.9044)*X2^0.9715)+(0.0069*(X4^2.0834)*X2^0.5371)+(0.0325*(X4^2.3851)*X2^0)+(0.1683*(X4^1.2764)*X2^0))*1000</v>
      </c>
      <c r="L174" s="1" t="str">
        <f t="shared" si="6"/>
        <v>((0.0259*(6^1.9044)*6.5^0.9715)+(0.0069*(6^2.0834)*6.5^0.5371)+(0.0325*(6^2.3851)*6.5^0)+(0.1683*(6^1.2764)*6.5^0))*1000</v>
      </c>
      <c r="M174" s="1" cm="1">
        <f t="array" ref="M174">eval_tr</f>
        <v>9619.128111222868</v>
      </c>
      <c r="N174" s="1">
        <f t="shared" si="7"/>
        <v>9619.128111222868</v>
      </c>
      <c r="O174" s="1" t="str">
        <f t="shared" si="8"/>
        <v>TN-19-EX</v>
      </c>
      <c r="P174" s="1">
        <f>VLOOKUP(O174,teams!$A$1:$B$47,2,)</f>
        <v>1</v>
      </c>
    </row>
    <row r="175" spans="1:16" ht="15.75" customHeight="1" x14ac:dyDescent="0.15">
      <c r="A175" s="6" t="s">
        <v>3</v>
      </c>
      <c r="B175" s="6">
        <v>19</v>
      </c>
      <c r="C175" s="5" t="s">
        <v>23</v>
      </c>
      <c r="D175" s="5" t="s">
        <v>30</v>
      </c>
      <c r="E175" s="7">
        <v>44726</v>
      </c>
      <c r="F175" s="6" t="s">
        <v>6</v>
      </c>
      <c r="G175" s="6" t="s">
        <v>36</v>
      </c>
      <c r="H175" s="3" t="s">
        <v>10</v>
      </c>
      <c r="I175" s="2">
        <v>6</v>
      </c>
      <c r="J175" s="2">
        <v>7.25</v>
      </c>
      <c r="K175" s="1" t="str">
        <f>VLOOKUP(Table1[[#This Row],[Species ]],eq!$A$3:$B$13,2,)</f>
        <v>((0.0294*(X4^1.8357)*X2^0.864)+(0.0053*(X4^2.0876)*X2^0.5842)+(0.0117*(X4^3.5097)*X2^-1.3006)+(0.1245*(X4^2.523)*X2^-1.123))*1000</v>
      </c>
      <c r="L175" s="1" t="str">
        <f t="shared" si="6"/>
        <v>((0.0294*(7.25^1.8357)*6^0.864)+(0.0053*(7.25^2.0876)*6^0.5842)+(0.0117*(7.25^3.5097)*6^-1.3006)+(0.1245*(7.25^2.523)*6^-1.123))*1000</v>
      </c>
      <c r="M175" s="1" cm="1">
        <f t="array" ref="M175">eval_tr</f>
        <v>9847.8296890617985</v>
      </c>
      <c r="N175" s="1">
        <f t="shared" si="7"/>
        <v>9847.8296890617985</v>
      </c>
      <c r="O175" s="1" t="str">
        <f t="shared" si="8"/>
        <v>TN-19-EX</v>
      </c>
      <c r="P175" s="1">
        <f>VLOOKUP(O175,teams!$A$1:$B$47,2,)</f>
        <v>1</v>
      </c>
    </row>
    <row r="176" spans="1:16" ht="15.75" customHeight="1" x14ac:dyDescent="0.15">
      <c r="A176" s="5" t="s">
        <v>3</v>
      </c>
      <c r="B176" s="5">
        <v>19</v>
      </c>
      <c r="C176" s="5" t="s">
        <v>23</v>
      </c>
      <c r="D176" s="5" t="s">
        <v>30</v>
      </c>
      <c r="E176" s="7">
        <v>44726</v>
      </c>
      <c r="F176" s="5" t="s">
        <v>5</v>
      </c>
      <c r="G176" s="5" t="s">
        <v>35</v>
      </c>
      <c r="H176" s="3" t="s">
        <v>10</v>
      </c>
      <c r="I176" s="4">
        <v>5.5</v>
      </c>
      <c r="J176" s="4">
        <v>7.5</v>
      </c>
      <c r="K176" s="1" t="str">
        <f>VLOOKUP(Table1[[#This Row],[Species ]],eq!$A$3:$B$13,2,)</f>
        <v>((0.0294*(X4^1.8357)*X2^0.864)+(0.0053*(X4^2.0876)*X2^0.5842)+(0.0117*(X4^3.5097)*X2^-1.3006)+(0.1245*(X4^2.523)*X2^-1.123))*1000</v>
      </c>
      <c r="L176" s="1" t="str">
        <f t="shared" si="6"/>
        <v>((0.0294*(7.5^1.8357)*5.5^0.864)+(0.0053*(7.5^2.0876)*5.5^0.5842)+(0.0117*(7.5^3.5097)*5.5^-1.3006)+(0.1245*(7.5^2.523)*5.5^-1.123))*1000</v>
      </c>
      <c r="M176" s="1" cm="1">
        <f t="array" ref="M176">eval_tr</f>
        <v>10606.256371914713</v>
      </c>
      <c r="N176" s="1">
        <f t="shared" si="7"/>
        <v>10606.256371914713</v>
      </c>
      <c r="O176" s="1" t="str">
        <f t="shared" si="8"/>
        <v>TN-19-EX</v>
      </c>
      <c r="P176" s="1">
        <f>VLOOKUP(O176,teams!$A$1:$B$47,2,)</f>
        <v>1</v>
      </c>
    </row>
    <row r="177" spans="1:16" ht="15.75" customHeight="1" x14ac:dyDescent="0.15">
      <c r="A177" s="6" t="s">
        <v>3</v>
      </c>
      <c r="B177" s="6">
        <v>19</v>
      </c>
      <c r="C177" s="5" t="s">
        <v>23</v>
      </c>
      <c r="D177" s="5" t="s">
        <v>30</v>
      </c>
      <c r="E177" s="7">
        <v>44726</v>
      </c>
      <c r="F177" s="6" t="s">
        <v>7</v>
      </c>
      <c r="G177" s="6" t="s">
        <v>34</v>
      </c>
      <c r="H177" s="3" t="s">
        <v>10</v>
      </c>
      <c r="I177" s="2">
        <v>5.5</v>
      </c>
      <c r="J177" s="2">
        <v>7.75</v>
      </c>
      <c r="K177" s="1" t="str">
        <f>VLOOKUP(Table1[[#This Row],[Species ]],eq!$A$3:$B$13,2,)</f>
        <v>((0.0294*(X4^1.8357)*X2^0.864)+(0.0053*(X4^2.0876)*X2^0.5842)+(0.0117*(X4^3.5097)*X2^-1.3006)+(0.1245*(X4^2.523)*X2^-1.123))*1000</v>
      </c>
      <c r="L177" s="1" t="str">
        <f t="shared" si="6"/>
        <v>((0.0294*(7.75^1.8357)*5.5^0.864)+(0.0053*(7.75^2.0876)*5.5^0.5842)+(0.0117*(7.75^3.5097)*5.5^-1.3006)+(0.1245*(7.75^2.523)*5.5^-1.123))*1000</v>
      </c>
      <c r="M177" s="1" cm="1">
        <f t="array" ref="M177">eval_tr</f>
        <v>11434.413420674076</v>
      </c>
      <c r="N177" s="1">
        <f t="shared" si="7"/>
        <v>11434.413420674076</v>
      </c>
      <c r="O177" s="1" t="str">
        <f t="shared" si="8"/>
        <v>TN-19-EX</v>
      </c>
      <c r="P177" s="1">
        <f>VLOOKUP(O177,teams!$A$1:$B$47,2,)</f>
        <v>1</v>
      </c>
    </row>
    <row r="178" spans="1:16" ht="15.75" customHeight="1" x14ac:dyDescent="0.15">
      <c r="A178" s="6" t="s">
        <v>3</v>
      </c>
      <c r="B178" s="6">
        <v>19</v>
      </c>
      <c r="C178" s="5" t="s">
        <v>23</v>
      </c>
      <c r="D178" s="5" t="s">
        <v>30</v>
      </c>
      <c r="E178" s="7">
        <v>44726</v>
      </c>
      <c r="F178" s="6" t="s">
        <v>9</v>
      </c>
      <c r="G178" s="6" t="s">
        <v>37</v>
      </c>
      <c r="H178" s="3" t="s">
        <v>15</v>
      </c>
      <c r="I178" s="2">
        <v>6.5</v>
      </c>
      <c r="J178" s="2">
        <v>6.75</v>
      </c>
      <c r="K178" s="1" t="str">
        <f>VLOOKUP(Table1[[#This Row],[Species ]],eq!$A$3:$B$13,2,)</f>
        <v>((0.0259*(X4^1.9044)*X2^0.9715)+(0.0069*(X4^2.0834)*X2^0.5371)+(0.0325*(X4^2.3851)*X2^0)+(0.1683*(X4^1.2764)*X2^0))*1000</v>
      </c>
      <c r="L178" s="1" t="str">
        <f t="shared" si="6"/>
        <v>((0.0259*(6.75^1.9044)*6.5^0.9715)+(0.0069*(6.75^2.0834)*6.5^0.5371)+(0.0325*(6.75^2.3851)*6.5^0)+(0.1683*(6.75^1.2764)*6.5^0))*1000</v>
      </c>
      <c r="M178" s="1" cm="1">
        <f t="array" ref="M178">eval_tr</f>
        <v>12081.117534357058</v>
      </c>
      <c r="N178" s="1">
        <f t="shared" si="7"/>
        <v>12081.117534357058</v>
      </c>
      <c r="O178" s="1" t="str">
        <f t="shared" si="8"/>
        <v>TN-19-EX</v>
      </c>
      <c r="P178" s="1">
        <f>VLOOKUP(O178,teams!$A$1:$B$47,2,)</f>
        <v>1</v>
      </c>
    </row>
    <row r="179" spans="1:16" ht="15.75" customHeight="1" x14ac:dyDescent="0.15">
      <c r="A179" s="6" t="s">
        <v>3</v>
      </c>
      <c r="B179" s="6">
        <v>19</v>
      </c>
      <c r="C179" s="5" t="s">
        <v>23</v>
      </c>
      <c r="D179" s="5" t="s">
        <v>30</v>
      </c>
      <c r="E179" s="7">
        <v>44726</v>
      </c>
      <c r="F179" s="6" t="s">
        <v>9</v>
      </c>
      <c r="G179" s="6" t="s">
        <v>37</v>
      </c>
      <c r="H179" s="3" t="s">
        <v>15</v>
      </c>
      <c r="I179" s="2">
        <v>7</v>
      </c>
      <c r="J179" s="2">
        <v>7</v>
      </c>
      <c r="K179" s="1" t="str">
        <f>VLOOKUP(Table1[[#This Row],[Species ]],eq!$A$3:$B$13,2,)</f>
        <v>((0.0259*(X4^1.9044)*X2^0.9715)+(0.0069*(X4^2.0834)*X2^0.5371)+(0.0325*(X4^2.3851)*X2^0)+(0.1683*(X4^1.2764)*X2^0))*1000</v>
      </c>
      <c r="L179" s="1" t="str">
        <f t="shared" si="6"/>
        <v>((0.0259*(7^1.9044)*7^0.9715)+(0.0069*(7^2.0834)*7^0.5371)+(0.0325*(7^2.3851)*7^0)+(0.1683*(7^1.2764)*7^0))*1000</v>
      </c>
      <c r="M179" s="1" cm="1">
        <f t="array" ref="M179">eval_tr</f>
        <v>13495.174544514926</v>
      </c>
      <c r="N179" s="1">
        <f t="shared" si="7"/>
        <v>13495.174544514926</v>
      </c>
      <c r="O179" s="1" t="str">
        <f t="shared" si="8"/>
        <v>TN-19-EX</v>
      </c>
      <c r="P179" s="1">
        <f>VLOOKUP(O179,teams!$A$1:$B$47,2,)</f>
        <v>1</v>
      </c>
    </row>
    <row r="180" spans="1:16" ht="15.75" customHeight="1" x14ac:dyDescent="0.15">
      <c r="A180" s="5" t="s">
        <v>3</v>
      </c>
      <c r="B180" s="5">
        <v>20</v>
      </c>
      <c r="C180" s="5" t="s">
        <v>22</v>
      </c>
      <c r="D180" s="5" t="s">
        <v>30</v>
      </c>
      <c r="E180" s="7">
        <v>44726</v>
      </c>
      <c r="F180" s="5" t="s">
        <v>5</v>
      </c>
      <c r="G180" s="5" t="s">
        <v>35</v>
      </c>
      <c r="H180" s="5" t="s">
        <v>15</v>
      </c>
      <c r="I180" s="4">
        <v>7</v>
      </c>
      <c r="J180" s="4">
        <v>26.5</v>
      </c>
      <c r="K180" s="1" t="str">
        <f>VLOOKUP(Table1[[#This Row],[Species ]],eq!$A$3:$B$13,2,)</f>
        <v>((0.0259*(X4^1.9044)*X2^0.9715)+(0.0069*(X4^2.0834)*X2^0.5371)+(0.0325*(X4^2.3851)*X2^0)+(0.1683*(X4^1.2764)*X2^0))*1000</v>
      </c>
      <c r="L180" s="1" t="str">
        <f t="shared" si="6"/>
        <v>((0.0259*(26.5^1.9044)*7^0.9715)+(0.0069*(26.5^2.0834)*7^0.5371)+(0.0325*(26.5^2.3851)*7^0)+(0.1683*(26.5^1.2764)*7^0))*1000</v>
      </c>
      <c r="M180" s="1" cm="1">
        <f t="array" ref="M180">eval_tr</f>
        <v>197821.58082354951</v>
      </c>
      <c r="N180" s="1">
        <f t="shared" si="7"/>
        <v>197821.58082354951</v>
      </c>
      <c r="O180" s="1" t="str">
        <f t="shared" si="8"/>
        <v>TN-20-CTRL</v>
      </c>
      <c r="P180" s="1">
        <f>VLOOKUP(O180,teams!$A$1:$B$47,2,)</f>
        <v>2</v>
      </c>
    </row>
    <row r="181" spans="1:16" ht="15.75" customHeight="1" x14ac:dyDescent="0.15">
      <c r="A181" s="5" t="s">
        <v>3</v>
      </c>
      <c r="B181" s="5">
        <v>20</v>
      </c>
      <c r="C181" s="5" t="s">
        <v>22</v>
      </c>
      <c r="D181" s="5" t="s">
        <v>30</v>
      </c>
      <c r="E181" s="7">
        <v>44726</v>
      </c>
      <c r="F181" s="5" t="s">
        <v>6</v>
      </c>
      <c r="G181" s="5" t="s">
        <v>36</v>
      </c>
      <c r="H181" s="5" t="s">
        <v>21</v>
      </c>
      <c r="I181" s="4" t="s">
        <v>4</v>
      </c>
      <c r="J181" s="4" t="s">
        <v>4</v>
      </c>
      <c r="K181" s="1" t="e">
        <f>VLOOKUP(Table1[[#This Row],[Species ]],eq!$A$3:$B$13,2,)</f>
        <v>#N/A</v>
      </c>
      <c r="L181" s="1" t="e">
        <f t="shared" si="6"/>
        <v>#N/A</v>
      </c>
      <c r="M181" s="1" t="e" cm="1">
        <f t="array" ref="M181">eval_tr</f>
        <v>#N/A</v>
      </c>
      <c r="N181" s="1">
        <f t="shared" si="7"/>
        <v>0</v>
      </c>
      <c r="O181" s="1" t="str">
        <f t="shared" si="8"/>
        <v>TN-20-CTRL</v>
      </c>
      <c r="P181" s="1">
        <f>VLOOKUP(O181,teams!$A$1:$B$47,2,)</f>
        <v>2</v>
      </c>
    </row>
    <row r="182" spans="1:16" ht="15.75" customHeight="1" x14ac:dyDescent="0.15">
      <c r="A182" s="5" t="s">
        <v>3</v>
      </c>
      <c r="B182" s="5">
        <v>20</v>
      </c>
      <c r="C182" s="5" t="s">
        <v>22</v>
      </c>
      <c r="D182" s="5" t="s">
        <v>30</v>
      </c>
      <c r="E182" s="7">
        <v>44726</v>
      </c>
      <c r="F182" s="5" t="s">
        <v>7</v>
      </c>
      <c r="G182" s="5" t="s">
        <v>34</v>
      </c>
      <c r="H182" s="5" t="s">
        <v>21</v>
      </c>
      <c r="I182" s="4" t="s">
        <v>4</v>
      </c>
      <c r="J182" s="4" t="s">
        <v>4</v>
      </c>
      <c r="K182" s="1" t="e">
        <f>VLOOKUP(Table1[[#This Row],[Species ]],eq!$A$3:$B$13,2,)</f>
        <v>#N/A</v>
      </c>
      <c r="L182" s="1" t="e">
        <f t="shared" si="6"/>
        <v>#N/A</v>
      </c>
      <c r="M182" s="1" t="e" cm="1">
        <f t="array" ref="M182">eval_tr</f>
        <v>#N/A</v>
      </c>
      <c r="N182" s="1">
        <f t="shared" si="7"/>
        <v>0</v>
      </c>
      <c r="O182" s="1" t="str">
        <f t="shared" si="8"/>
        <v>TN-20-CTRL</v>
      </c>
      <c r="P182" s="1">
        <f>VLOOKUP(O182,teams!$A$1:$B$47,2,)</f>
        <v>2</v>
      </c>
    </row>
    <row r="183" spans="1:16" ht="15.75" customHeight="1" x14ac:dyDescent="0.15">
      <c r="A183" s="5" t="s">
        <v>3</v>
      </c>
      <c r="B183" s="5">
        <v>20</v>
      </c>
      <c r="C183" s="5" t="s">
        <v>22</v>
      </c>
      <c r="D183" s="5" t="s">
        <v>30</v>
      </c>
      <c r="E183" s="7">
        <v>44726</v>
      </c>
      <c r="F183" s="5" t="s">
        <v>9</v>
      </c>
      <c r="G183" s="5" t="s">
        <v>37</v>
      </c>
      <c r="H183" s="5" t="s">
        <v>21</v>
      </c>
      <c r="I183" s="4" t="s">
        <v>4</v>
      </c>
      <c r="J183" s="4" t="s">
        <v>4</v>
      </c>
      <c r="K183" s="1" t="e">
        <f>VLOOKUP(Table1[[#This Row],[Species ]],eq!$A$3:$B$13,2,)</f>
        <v>#N/A</v>
      </c>
      <c r="L183" s="1" t="e">
        <f t="shared" si="6"/>
        <v>#N/A</v>
      </c>
      <c r="M183" s="1" t="e" cm="1">
        <f t="array" ref="M183">eval_tr</f>
        <v>#N/A</v>
      </c>
      <c r="N183" s="1">
        <f t="shared" si="7"/>
        <v>0</v>
      </c>
      <c r="O183" s="1" t="str">
        <f t="shared" si="8"/>
        <v>TN-20-CTRL</v>
      </c>
      <c r="P183" s="1">
        <f>VLOOKUP(O183,teams!$A$1:$B$47,2,)</f>
        <v>2</v>
      </c>
    </row>
    <row r="184" spans="1:16" ht="15.75" customHeight="1" x14ac:dyDescent="0.15">
      <c r="A184" s="5" t="s">
        <v>3</v>
      </c>
      <c r="B184" s="5">
        <v>20</v>
      </c>
      <c r="C184" s="5" t="s">
        <v>23</v>
      </c>
      <c r="D184" s="5" t="s">
        <v>30</v>
      </c>
      <c r="E184" s="7">
        <v>44726</v>
      </c>
      <c r="F184" s="5" t="s">
        <v>9</v>
      </c>
      <c r="G184" s="5" t="s">
        <v>37</v>
      </c>
      <c r="H184" s="3" t="s">
        <v>10</v>
      </c>
      <c r="I184" s="4">
        <v>4</v>
      </c>
      <c r="J184" s="4">
        <v>3.6</v>
      </c>
      <c r="K184" s="1" t="str">
        <f>VLOOKUP(Table1[[#This Row],[Species ]],eq!$A$3:$B$13,2,)</f>
        <v>((0.0294*(X4^1.8357)*X2^0.864)+(0.0053*(X4^2.0876)*X2^0.5842)+(0.0117*(X4^3.5097)*X2^-1.3006)+(0.1245*(X4^2.523)*X2^-1.123))*1000</v>
      </c>
      <c r="L184" s="1" t="str">
        <f t="shared" si="6"/>
        <v>((0.0294*(3.6^1.8357)*4^0.864)+(0.0053*(3.6^2.0876)*4^0.5842)+(0.0117*(3.6^3.5097)*4^-1.3006)+(0.1245*(3.6^2.523)*4^-1.123))*1000</v>
      </c>
      <c r="M184" s="1" cm="1">
        <f t="array" ref="M184">eval_tr</f>
        <v>2032.8731552334957</v>
      </c>
      <c r="N184" s="1">
        <f t="shared" si="7"/>
        <v>2032.8731552334957</v>
      </c>
      <c r="O184" s="1" t="str">
        <f t="shared" si="8"/>
        <v>TN-20-EX</v>
      </c>
      <c r="P184" s="1">
        <f>VLOOKUP(O184,teams!$A$1:$B$47,2,)</f>
        <v>2</v>
      </c>
    </row>
    <row r="185" spans="1:16" ht="15.75" customHeight="1" x14ac:dyDescent="0.15">
      <c r="A185" s="5" t="s">
        <v>3</v>
      </c>
      <c r="B185" s="5">
        <v>20</v>
      </c>
      <c r="C185" s="5" t="s">
        <v>23</v>
      </c>
      <c r="D185" s="5" t="s">
        <v>30</v>
      </c>
      <c r="E185" s="7">
        <v>44726</v>
      </c>
      <c r="F185" s="5" t="s">
        <v>5</v>
      </c>
      <c r="G185" s="5" t="s">
        <v>35</v>
      </c>
      <c r="H185" s="5" t="s">
        <v>17</v>
      </c>
      <c r="I185" s="4">
        <v>4</v>
      </c>
      <c r="J185" s="4">
        <v>4.3</v>
      </c>
      <c r="K185" s="1" t="str">
        <f>VLOOKUP(Table1[[#This Row],[Species ]],eq!$A$3:$B$13,2,)</f>
        <v>((0.0315*(X4^2.0342)*X2^0.7485)+(0.0283*(X4^2.0907)*X2^0)+(0.0225*(X4^2.4106)*X2^0)+(0.0571*(X4^1.4898)*X2^0))*1000</v>
      </c>
      <c r="L185" s="1" t="str">
        <f t="shared" si="6"/>
        <v>((0.0315*(4.3^2.0342)*4^0.7485)+(0.0283*(4.3^2.0907)*4^0)+(0.0225*(4.3^2.4106)*4^0)+(0.0571*(4.3^1.4898)*4^0))*1000</v>
      </c>
      <c r="M185" s="1" cm="1">
        <f t="array" ref="M185">eval_tr</f>
        <v>3584.1642119571875</v>
      </c>
      <c r="N185" s="1">
        <f t="shared" si="7"/>
        <v>3584.1642119571875</v>
      </c>
      <c r="O185" s="1" t="str">
        <f t="shared" si="8"/>
        <v>TN-20-EX</v>
      </c>
      <c r="P185" s="1">
        <f>VLOOKUP(O185,teams!$A$1:$B$47,2,)</f>
        <v>2</v>
      </c>
    </row>
    <row r="186" spans="1:16" ht="15.75" customHeight="1" x14ac:dyDescent="0.15">
      <c r="A186" s="5" t="s">
        <v>3</v>
      </c>
      <c r="B186" s="5">
        <v>20</v>
      </c>
      <c r="C186" s="5" t="s">
        <v>23</v>
      </c>
      <c r="D186" s="5" t="s">
        <v>30</v>
      </c>
      <c r="E186" s="7">
        <v>44726</v>
      </c>
      <c r="F186" s="5" t="s">
        <v>7</v>
      </c>
      <c r="G186" s="5" t="s">
        <v>34</v>
      </c>
      <c r="H186" s="3" t="s">
        <v>8</v>
      </c>
      <c r="I186" s="4">
        <v>3.5</v>
      </c>
      <c r="J186" s="4">
        <v>5.2</v>
      </c>
      <c r="K186" s="1" t="str">
        <f>VLOOKUP(Table1[[#This Row],[Species ]],eq!$A$3:$B$13,2,)</f>
        <v>((0.0309*(X4^1.7527)*X2^1.0014)+(0.0115*(X4^1.7405)*X2^0.6589)+(0.038*(X4^3.2558)*X2^-1.4218)+(0.2048*(X4^2.5754)*X2^-1.3704))*1000</v>
      </c>
      <c r="L186" s="1" t="str">
        <f t="shared" si="6"/>
        <v>((0.0309*(5.2^1.7527)*3.5^1.0014)+(0.0115*(5.2^1.7405)*3.5^0.6589)+(0.038*(5.2^3.2558)*3.5^-1.4218)+(0.2048*(5.2^2.5754)*3.5^-1.3704))*1000</v>
      </c>
      <c r="M186" s="1" cm="1">
        <f t="array" ref="M186">eval_tr</f>
        <v>6352.3551742193004</v>
      </c>
      <c r="N186" s="1">
        <f t="shared" si="7"/>
        <v>6352.3551742193004</v>
      </c>
      <c r="O186" s="1" t="str">
        <f t="shared" si="8"/>
        <v>TN-20-EX</v>
      </c>
      <c r="P186" s="1">
        <f>VLOOKUP(O186,teams!$A$1:$B$47,2,)</f>
        <v>2</v>
      </c>
    </row>
    <row r="187" spans="1:16" ht="15.75" customHeight="1" x14ac:dyDescent="0.15">
      <c r="A187" s="5" t="s">
        <v>3</v>
      </c>
      <c r="B187" s="5">
        <v>20</v>
      </c>
      <c r="C187" s="5" t="s">
        <v>23</v>
      </c>
      <c r="D187" s="5" t="s">
        <v>30</v>
      </c>
      <c r="E187" s="7">
        <v>44726</v>
      </c>
      <c r="F187" s="5" t="s">
        <v>6</v>
      </c>
      <c r="G187" s="5" t="s">
        <v>36</v>
      </c>
      <c r="H187" s="3" t="s">
        <v>10</v>
      </c>
      <c r="I187" s="4">
        <v>4.5</v>
      </c>
      <c r="J187" s="4">
        <v>6</v>
      </c>
      <c r="K187" s="1" t="str">
        <f>VLOOKUP(Table1[[#This Row],[Species ]],eq!$A$3:$B$13,2,)</f>
        <v>((0.0294*(X4^1.8357)*X2^0.864)+(0.0053*(X4^2.0876)*X2^0.5842)+(0.0117*(X4^3.5097)*X2^-1.3006)+(0.1245*(X4^2.523)*X2^-1.123))*1000</v>
      </c>
      <c r="L187" s="1" t="str">
        <f t="shared" si="6"/>
        <v>((0.0294*(6^1.8357)*4.5^0.864)+(0.0053*(6^2.0876)*4.5^0.5842)+(0.0117*(6^3.5097)*4.5^-1.3006)+(0.1245*(6^2.523)*4.5^-1.123))*1000</v>
      </c>
      <c r="M187" s="1" cm="1">
        <f t="array" ref="M187">eval_tr</f>
        <v>6432.8785630407465</v>
      </c>
      <c r="N187" s="1">
        <f t="shared" si="7"/>
        <v>6432.8785630407465</v>
      </c>
      <c r="O187" s="1" t="str">
        <f t="shared" si="8"/>
        <v>TN-20-EX</v>
      </c>
      <c r="P187" s="1">
        <f>VLOOKUP(O187,teams!$A$1:$B$47,2,)</f>
        <v>2</v>
      </c>
    </row>
    <row r="188" spans="1:16" ht="15.75" customHeight="1" x14ac:dyDescent="0.15">
      <c r="A188" s="5" t="s">
        <v>3</v>
      </c>
      <c r="B188" s="5">
        <v>20</v>
      </c>
      <c r="C188" s="5" t="s">
        <v>23</v>
      </c>
      <c r="D188" s="5" t="s">
        <v>30</v>
      </c>
      <c r="E188" s="7">
        <v>44726</v>
      </c>
      <c r="F188" s="5" t="s">
        <v>9</v>
      </c>
      <c r="G188" s="5" t="s">
        <v>37</v>
      </c>
      <c r="H188" s="3" t="s">
        <v>10</v>
      </c>
      <c r="I188" s="4">
        <v>3.9</v>
      </c>
      <c r="J188" s="4">
        <v>6</v>
      </c>
      <c r="K188" s="1" t="str">
        <f>VLOOKUP(Table1[[#This Row],[Species ]],eq!$A$3:$B$13,2,)</f>
        <v>((0.0294*(X4^1.8357)*X2^0.864)+(0.0053*(X4^2.0876)*X2^0.5842)+(0.0117*(X4^3.5097)*X2^-1.3006)+(0.1245*(X4^2.523)*X2^-1.123))*1000</v>
      </c>
      <c r="L188" s="1" t="str">
        <f t="shared" si="6"/>
        <v>((0.0294*(6^1.8357)*3.9^0.864)+(0.0053*(6^2.0876)*3.9^0.5842)+(0.0117*(6^3.5097)*3.9^-1.3006)+(0.1245*(6^2.523)*3.9^-1.123))*1000</v>
      </c>
      <c r="M188" s="1" cm="1">
        <f t="array" ref="M188">eval_tr</f>
        <v>6603.9972025168345</v>
      </c>
      <c r="N188" s="1">
        <f t="shared" si="7"/>
        <v>6603.9972025168345</v>
      </c>
      <c r="O188" s="1" t="str">
        <f t="shared" si="8"/>
        <v>TN-20-EX</v>
      </c>
      <c r="P188" s="1">
        <f>VLOOKUP(O188,teams!$A$1:$B$47,2,)</f>
        <v>2</v>
      </c>
    </row>
    <row r="189" spans="1:16" ht="15.75" customHeight="1" x14ac:dyDescent="0.15">
      <c r="A189" s="5" t="s">
        <v>3</v>
      </c>
      <c r="B189" s="5">
        <v>20</v>
      </c>
      <c r="C189" s="5" t="s">
        <v>23</v>
      </c>
      <c r="D189" s="5" t="s">
        <v>30</v>
      </c>
      <c r="E189" s="7">
        <v>44726</v>
      </c>
      <c r="F189" s="5" t="s">
        <v>9</v>
      </c>
      <c r="G189" s="5" t="s">
        <v>37</v>
      </c>
      <c r="H189" s="3" t="s">
        <v>10</v>
      </c>
      <c r="I189" s="4">
        <v>3.8</v>
      </c>
      <c r="J189" s="4">
        <v>6.1</v>
      </c>
      <c r="K189" s="1" t="str">
        <f>VLOOKUP(Table1[[#This Row],[Species ]],eq!$A$3:$B$13,2,)</f>
        <v>((0.0294*(X4^1.8357)*X2^0.864)+(0.0053*(X4^2.0876)*X2^0.5842)+(0.0117*(X4^3.5097)*X2^-1.3006)+(0.1245*(X4^2.523)*X2^-1.123))*1000</v>
      </c>
      <c r="L189" s="1" t="str">
        <f t="shared" si="6"/>
        <v>((0.0294*(6.1^1.8357)*3.8^0.864)+(0.0053*(6.1^2.0876)*3.8^0.5842)+(0.0117*(6.1^3.5097)*3.8^-1.3006)+(0.1245*(6.1^2.523)*3.8^-1.123))*1000</v>
      </c>
      <c r="M189" s="1" cm="1">
        <f t="array" ref="M189">eval_tr</f>
        <v>6919.299272408075</v>
      </c>
      <c r="N189" s="1">
        <f t="shared" si="7"/>
        <v>6919.299272408075</v>
      </c>
      <c r="O189" s="1" t="str">
        <f t="shared" si="8"/>
        <v>TN-20-EX</v>
      </c>
      <c r="P189" s="1">
        <f>VLOOKUP(O189,teams!$A$1:$B$47,2,)</f>
        <v>2</v>
      </c>
    </row>
    <row r="190" spans="1:16" ht="15.75" customHeight="1" x14ac:dyDescent="0.15">
      <c r="A190" s="5" t="s">
        <v>3</v>
      </c>
      <c r="B190" s="5">
        <v>20</v>
      </c>
      <c r="C190" s="5" t="s">
        <v>23</v>
      </c>
      <c r="D190" s="5" t="s">
        <v>30</v>
      </c>
      <c r="E190" s="7">
        <v>44726</v>
      </c>
      <c r="F190" s="5" t="s">
        <v>6</v>
      </c>
      <c r="G190" s="5" t="s">
        <v>36</v>
      </c>
      <c r="H190" s="5" t="s">
        <v>15</v>
      </c>
      <c r="I190" s="4">
        <v>6.5</v>
      </c>
      <c r="J190" s="4">
        <v>8</v>
      </c>
      <c r="K190" s="1" t="str">
        <f>VLOOKUP(Table1[[#This Row],[Species ]],eq!$A$3:$B$13,2,)</f>
        <v>((0.0259*(X4^1.9044)*X2^0.9715)+(0.0069*(X4^2.0834)*X2^0.5371)+(0.0325*(X4^2.3851)*X2^0)+(0.1683*(X4^1.2764)*X2^0))*1000</v>
      </c>
      <c r="L190" s="1" t="str">
        <f t="shared" si="6"/>
        <v>((0.0259*(8^1.9044)*6.5^0.9715)+(0.0069*(8^2.0834)*6.5^0.5371)+(0.0325*(8^2.3851)*6.5^0)+(0.1683*(8^1.2764)*6.5^0))*1000</v>
      </c>
      <c r="M190" s="1" cm="1">
        <f t="array" ref="M190">eval_tr</f>
        <v>16833.476737975867</v>
      </c>
      <c r="N190" s="1">
        <f t="shared" si="7"/>
        <v>16833.476737975867</v>
      </c>
      <c r="O190" s="1" t="str">
        <f t="shared" si="8"/>
        <v>TN-20-EX</v>
      </c>
      <c r="P190" s="1">
        <f>VLOOKUP(O190,teams!$A$1:$B$47,2,)</f>
        <v>2</v>
      </c>
    </row>
    <row r="191" spans="1:16" ht="15.75" customHeight="1" x14ac:dyDescent="0.15">
      <c r="A191" s="5" t="s">
        <v>3</v>
      </c>
      <c r="B191" s="5">
        <v>21</v>
      </c>
      <c r="C191" s="5" t="s">
        <v>22</v>
      </c>
      <c r="D191" s="5" t="s">
        <v>30</v>
      </c>
      <c r="E191" s="7">
        <v>44728</v>
      </c>
      <c r="F191" s="5" t="s">
        <v>9</v>
      </c>
      <c r="G191" s="5" t="s">
        <v>37</v>
      </c>
      <c r="H191" s="3" t="s">
        <v>8</v>
      </c>
      <c r="I191" s="4">
        <v>4</v>
      </c>
      <c r="J191" s="4">
        <v>4</v>
      </c>
      <c r="K191" s="1" t="str">
        <f>VLOOKUP(Table1[[#This Row],[Species ]],eq!$A$3:$B$13,2,)</f>
        <v>((0.0309*(X4^1.7527)*X2^1.0014)+(0.0115*(X4^1.7405)*X2^0.6589)+(0.038*(X4^3.2558)*X2^-1.4218)+(0.2048*(X4^2.5754)*X2^-1.3704))*1000</v>
      </c>
      <c r="L191" s="1" t="str">
        <f t="shared" si="6"/>
        <v>((0.0309*(4^1.7527)*4^1.0014)+(0.0115*(4^1.7405)*4^0.6589)+(0.038*(4^3.2558)*4^-1.4218)+(0.2048*(4^2.5754)*4^-1.3704))*1000</v>
      </c>
      <c r="M191" s="1" cm="1">
        <f t="array" ref="M191">eval_tr</f>
        <v>3297.9168730273523</v>
      </c>
      <c r="N191" s="1">
        <f t="shared" si="7"/>
        <v>3297.9168730273523</v>
      </c>
      <c r="O191" s="1" t="str">
        <f t="shared" si="8"/>
        <v>TN-21-CTRL</v>
      </c>
      <c r="P191" s="1">
        <f>VLOOKUP(O191,teams!$A$1:$B$47,2,)</f>
        <v>1</v>
      </c>
    </row>
    <row r="192" spans="1:16" ht="15.75" customHeight="1" x14ac:dyDescent="0.15">
      <c r="A192" s="5" t="s">
        <v>3</v>
      </c>
      <c r="B192" s="5">
        <v>21</v>
      </c>
      <c r="C192" s="5" t="s">
        <v>22</v>
      </c>
      <c r="D192" s="5" t="s">
        <v>30</v>
      </c>
      <c r="E192" s="7">
        <v>44728</v>
      </c>
      <c r="F192" s="5" t="s">
        <v>5</v>
      </c>
      <c r="G192" s="5" t="s">
        <v>35</v>
      </c>
      <c r="H192" s="5" t="s">
        <v>21</v>
      </c>
      <c r="I192" s="4" t="s">
        <v>4</v>
      </c>
      <c r="J192" s="4" t="s">
        <v>4</v>
      </c>
      <c r="K192" s="1" t="e">
        <f>VLOOKUP(Table1[[#This Row],[Species ]],eq!$A$3:$B$13,2,)</f>
        <v>#N/A</v>
      </c>
      <c r="L192" s="1" t="e">
        <f t="shared" si="6"/>
        <v>#N/A</v>
      </c>
      <c r="M192" s="1" t="e" cm="1">
        <f t="array" ref="M192">eval_tr</f>
        <v>#N/A</v>
      </c>
      <c r="N192" s="1">
        <f t="shared" si="7"/>
        <v>0</v>
      </c>
      <c r="O192" s="1" t="str">
        <f t="shared" si="8"/>
        <v>TN-21-CTRL</v>
      </c>
      <c r="P192" s="1">
        <f>VLOOKUP(O192,teams!$A$1:$B$47,2,)</f>
        <v>1</v>
      </c>
    </row>
    <row r="193" spans="1:16" ht="15.75" customHeight="1" x14ac:dyDescent="0.15">
      <c r="A193" s="5" t="s">
        <v>3</v>
      </c>
      <c r="B193" s="5">
        <v>21</v>
      </c>
      <c r="C193" s="5" t="s">
        <v>22</v>
      </c>
      <c r="D193" s="5" t="s">
        <v>30</v>
      </c>
      <c r="E193" s="7">
        <v>44728</v>
      </c>
      <c r="F193" s="5" t="s">
        <v>6</v>
      </c>
      <c r="G193" s="5" t="s">
        <v>36</v>
      </c>
      <c r="H193" s="5" t="s">
        <v>21</v>
      </c>
      <c r="I193" s="4" t="s">
        <v>4</v>
      </c>
      <c r="J193" s="4" t="s">
        <v>4</v>
      </c>
      <c r="K193" s="1" t="e">
        <f>VLOOKUP(Table1[[#This Row],[Species ]],eq!$A$3:$B$13,2,)</f>
        <v>#N/A</v>
      </c>
      <c r="L193" s="1" t="e">
        <f t="shared" si="6"/>
        <v>#N/A</v>
      </c>
      <c r="M193" s="1" t="e" cm="1">
        <f t="array" ref="M193">eval_tr</f>
        <v>#N/A</v>
      </c>
      <c r="N193" s="1">
        <f t="shared" si="7"/>
        <v>0</v>
      </c>
      <c r="O193" s="1" t="str">
        <f t="shared" si="8"/>
        <v>TN-21-CTRL</v>
      </c>
      <c r="P193" s="1">
        <f>VLOOKUP(O193,teams!$A$1:$B$47,2,)</f>
        <v>1</v>
      </c>
    </row>
    <row r="194" spans="1:16" ht="15.75" customHeight="1" x14ac:dyDescent="0.15">
      <c r="A194" s="5" t="s">
        <v>3</v>
      </c>
      <c r="B194" s="5">
        <v>21</v>
      </c>
      <c r="C194" s="5" t="s">
        <v>22</v>
      </c>
      <c r="D194" s="5" t="s">
        <v>30</v>
      </c>
      <c r="E194" s="7">
        <v>44728</v>
      </c>
      <c r="F194" s="5" t="s">
        <v>7</v>
      </c>
      <c r="G194" s="5" t="s">
        <v>34</v>
      </c>
      <c r="H194" s="5" t="s">
        <v>21</v>
      </c>
      <c r="I194" s="4" t="s">
        <v>4</v>
      </c>
      <c r="J194" s="4" t="s">
        <v>4</v>
      </c>
      <c r="K194" s="1" t="e">
        <f>VLOOKUP(Table1[[#This Row],[Species ]],eq!$A$3:$B$13,2,)</f>
        <v>#N/A</v>
      </c>
      <c r="L194" s="1" t="e">
        <f t="shared" ref="L194:L257" si="9">SUBSTITUTE(SUBSTITUTE(K194, "X4",J194),"X2",I194)</f>
        <v>#N/A</v>
      </c>
      <c r="M194" s="1" t="e" cm="1">
        <f t="array" ref="M194">eval_tr</f>
        <v>#N/A</v>
      </c>
      <c r="N194" s="1">
        <f t="shared" ref="N194:N257" si="10">IF(ISNUMBER(M194),M194,0)</f>
        <v>0</v>
      </c>
      <c r="O194" s="1" t="str">
        <f t="shared" ref="O194:O257" si="11">A194&amp;"-"&amp;TEXT(B194,"0#")&amp;"-"&amp;C194</f>
        <v>TN-21-CTRL</v>
      </c>
      <c r="P194" s="1">
        <f>VLOOKUP(O194,teams!$A$1:$B$47,2,)</f>
        <v>1</v>
      </c>
    </row>
    <row r="195" spans="1:16" ht="15.75" customHeight="1" x14ac:dyDescent="0.15">
      <c r="A195" s="5" t="s">
        <v>3</v>
      </c>
      <c r="B195" s="5">
        <v>21</v>
      </c>
      <c r="C195" s="5" t="s">
        <v>23</v>
      </c>
      <c r="D195" s="5" t="s">
        <v>30</v>
      </c>
      <c r="E195" s="7">
        <v>44728</v>
      </c>
      <c r="F195" s="5" t="s">
        <v>6</v>
      </c>
      <c r="G195" s="5" t="s">
        <v>36</v>
      </c>
      <c r="H195" s="3" t="s">
        <v>12</v>
      </c>
      <c r="I195" s="4">
        <v>3</v>
      </c>
      <c r="J195" s="4">
        <v>1.5</v>
      </c>
      <c r="K195" s="1" t="str">
        <f>VLOOKUP(Table1[[#This Row],[Species ]],eq!$A$3:$B$13,2,)</f>
        <v>((0.0315*(X4^2.0342)*X2^0.7485)+(0.0283*(X4^2.0907)*X2^0)+(0.0225*(X4^2.4106)*X2^0)+(0.0571*(X4^1.4898)*X2^0))*1000</v>
      </c>
      <c r="L195" s="1" t="str">
        <f t="shared" si="9"/>
        <v>((0.0315*(1.5^2.0342)*3^0.7485)+(0.0283*(1.5^2.0907)*3^0)+(0.0225*(1.5^2.4106)*3^0)+(0.0571*(1.5^1.4898)*3^0))*1000</v>
      </c>
      <c r="M195" s="1" cm="1">
        <f t="array" ref="M195">eval_tr</f>
        <v>393.86845907671443</v>
      </c>
      <c r="N195" s="1">
        <f t="shared" si="10"/>
        <v>393.86845907671443</v>
      </c>
      <c r="O195" s="1" t="str">
        <f t="shared" si="11"/>
        <v>TN-21-EX</v>
      </c>
      <c r="P195" s="1">
        <f>VLOOKUP(O195,teams!$A$1:$B$47,2,)</f>
        <v>1</v>
      </c>
    </row>
    <row r="196" spans="1:16" ht="15.75" customHeight="1" x14ac:dyDescent="0.15">
      <c r="A196" s="5" t="s">
        <v>3</v>
      </c>
      <c r="B196" s="5">
        <v>21</v>
      </c>
      <c r="C196" s="5" t="s">
        <v>23</v>
      </c>
      <c r="D196" s="5" t="s">
        <v>30</v>
      </c>
      <c r="E196" s="7">
        <v>44728</v>
      </c>
      <c r="F196" s="5" t="s">
        <v>9</v>
      </c>
      <c r="G196" s="5" t="s">
        <v>37</v>
      </c>
      <c r="H196" s="5" t="s">
        <v>14</v>
      </c>
      <c r="I196" s="4">
        <v>4</v>
      </c>
      <c r="J196" s="4">
        <v>2.25</v>
      </c>
      <c r="K196" s="1" t="str">
        <f>VLOOKUP(Table1[[#This Row],[Species ]],eq!$A$3:$B$13,2,)</f>
        <v>((0.0306*(X4^2.1836)*X2^0.574)+(0.0897*(X4^2.2634)*X2^-0.567)+(0.0994*(X4^2.163)*X2^-0.4809)+(0.0124*(X4^1.0325)*X2^0.8747))*1000</v>
      </c>
      <c r="L196" s="1" t="str">
        <f t="shared" si="9"/>
        <v>((0.0306*(2.25^2.1836)*4^0.574)+(0.0897*(2.25^2.2634)*4^-0.567)+(0.0994*(2.25^2.163)*4^-0.4809)+(0.0124*(2.25^1.0325)*4^0.8747))*1000</v>
      </c>
      <c r="M196" s="1" cm="1">
        <f t="array" ref="M196">eval_tr</f>
        <v>1045.7721841306034</v>
      </c>
      <c r="N196" s="1">
        <f t="shared" si="10"/>
        <v>1045.7721841306034</v>
      </c>
      <c r="O196" s="1" t="str">
        <f t="shared" si="11"/>
        <v>TN-21-EX</v>
      </c>
      <c r="P196" s="1">
        <f>VLOOKUP(O196,teams!$A$1:$B$47,2,)</f>
        <v>1</v>
      </c>
    </row>
    <row r="197" spans="1:16" ht="15.75" customHeight="1" x14ac:dyDescent="0.15">
      <c r="A197" s="5" t="s">
        <v>3</v>
      </c>
      <c r="B197" s="5">
        <v>21</v>
      </c>
      <c r="C197" s="5" t="s">
        <v>23</v>
      </c>
      <c r="D197" s="5" t="s">
        <v>30</v>
      </c>
      <c r="E197" s="7">
        <v>44728</v>
      </c>
      <c r="F197" s="5" t="s">
        <v>5</v>
      </c>
      <c r="G197" s="5" t="s">
        <v>35</v>
      </c>
      <c r="H197" s="3" t="s">
        <v>12</v>
      </c>
      <c r="I197" s="4">
        <v>3</v>
      </c>
      <c r="J197" s="4">
        <v>2.5</v>
      </c>
      <c r="K197" s="1" t="str">
        <f>VLOOKUP(Table1[[#This Row],[Species ]],eq!$A$3:$B$13,2,)</f>
        <v>((0.0315*(X4^2.0342)*X2^0.7485)+(0.0283*(X4^2.0907)*X2^0)+(0.0225*(X4^2.4106)*X2^0)+(0.0571*(X4^1.4898)*X2^0))*1000</v>
      </c>
      <c r="L197" s="1" t="str">
        <f t="shared" si="9"/>
        <v>((0.0315*(2.5^2.0342)*3^0.7485)+(0.0283*(2.5^2.0907)*3^0)+(0.0225*(2.5^2.4106)*3^0)+(0.0571*(2.5^1.4898)*3^0))*1000</v>
      </c>
      <c r="M197" s="1" cm="1">
        <f t="array" ref="M197">eval_tr</f>
        <v>1082.9720127602523</v>
      </c>
      <c r="N197" s="1">
        <f t="shared" si="10"/>
        <v>1082.9720127602523</v>
      </c>
      <c r="O197" s="1" t="str">
        <f t="shared" si="11"/>
        <v>TN-21-EX</v>
      </c>
      <c r="P197" s="1">
        <f>VLOOKUP(O197,teams!$A$1:$B$47,2,)</f>
        <v>1</v>
      </c>
    </row>
    <row r="198" spans="1:16" ht="15.75" customHeight="1" x14ac:dyDescent="0.15">
      <c r="A198" s="5" t="s">
        <v>3</v>
      </c>
      <c r="B198" s="5">
        <v>21</v>
      </c>
      <c r="C198" s="5" t="s">
        <v>23</v>
      </c>
      <c r="D198" s="5" t="s">
        <v>30</v>
      </c>
      <c r="E198" s="7">
        <v>44728</v>
      </c>
      <c r="F198" s="5" t="s">
        <v>5</v>
      </c>
      <c r="G198" s="5" t="s">
        <v>35</v>
      </c>
      <c r="H198" s="3" t="s">
        <v>12</v>
      </c>
      <c r="I198" s="4">
        <v>3.5</v>
      </c>
      <c r="J198" s="4">
        <v>2.5</v>
      </c>
      <c r="K198" s="1" t="str">
        <f>VLOOKUP(Table1[[#This Row],[Species ]],eq!$A$3:$B$13,2,)</f>
        <v>((0.0315*(X4^2.0342)*X2^0.7485)+(0.0283*(X4^2.0907)*X2^0)+(0.0225*(X4^2.4106)*X2^0)+(0.0571*(X4^1.4898)*X2^0))*1000</v>
      </c>
      <c r="L198" s="1" t="str">
        <f t="shared" si="9"/>
        <v>((0.0315*(2.5^2.0342)*3.5^0.7485)+(0.0283*(2.5^2.0907)*3.5^0)+(0.0225*(2.5^2.4106)*3.5^0)+(0.0571*(2.5^1.4898)*3.5^0))*1000</v>
      </c>
      <c r="M198" s="1" cm="1">
        <f t="array" ref="M198">eval_tr</f>
        <v>1139.5123432769792</v>
      </c>
      <c r="N198" s="1">
        <f t="shared" si="10"/>
        <v>1139.5123432769792</v>
      </c>
      <c r="O198" s="1" t="str">
        <f t="shared" si="11"/>
        <v>TN-21-EX</v>
      </c>
      <c r="P198" s="1">
        <f>VLOOKUP(O198,teams!$A$1:$B$47,2,)</f>
        <v>1</v>
      </c>
    </row>
    <row r="199" spans="1:16" ht="15.75" customHeight="1" x14ac:dyDescent="0.15">
      <c r="A199" s="5" t="s">
        <v>3</v>
      </c>
      <c r="B199" s="5">
        <v>21</v>
      </c>
      <c r="C199" s="5" t="s">
        <v>23</v>
      </c>
      <c r="D199" s="5" t="s">
        <v>30</v>
      </c>
      <c r="E199" s="7">
        <v>44728</v>
      </c>
      <c r="F199" s="5" t="s">
        <v>7</v>
      </c>
      <c r="G199" s="5" t="s">
        <v>34</v>
      </c>
      <c r="H199" s="3" t="s">
        <v>12</v>
      </c>
      <c r="I199" s="4">
        <v>4</v>
      </c>
      <c r="J199" s="4">
        <v>2.5</v>
      </c>
      <c r="K199" s="1" t="str">
        <f>VLOOKUP(Table1[[#This Row],[Species ]],eq!$A$3:$B$13,2,)</f>
        <v>((0.0315*(X4^2.0342)*X2^0.7485)+(0.0283*(X4^2.0907)*X2^0)+(0.0225*(X4^2.4106)*X2^0)+(0.0571*(X4^1.4898)*X2^0))*1000</v>
      </c>
      <c r="L199" s="1" t="str">
        <f t="shared" si="9"/>
        <v>((0.0315*(2.5^2.0342)*4^0.7485)+(0.0283*(2.5^2.0907)*4^0)+(0.0225*(2.5^2.4106)*4^0)+(0.0571*(2.5^1.4898)*4^0))*1000</v>
      </c>
      <c r="M199" s="1" cm="1">
        <f t="array" ref="M199">eval_tr</f>
        <v>1194.0497487890914</v>
      </c>
      <c r="N199" s="1">
        <f t="shared" si="10"/>
        <v>1194.0497487890914</v>
      </c>
      <c r="O199" s="1" t="str">
        <f t="shared" si="11"/>
        <v>TN-21-EX</v>
      </c>
      <c r="P199" s="1">
        <f>VLOOKUP(O199,teams!$A$1:$B$47,2,)</f>
        <v>1</v>
      </c>
    </row>
    <row r="200" spans="1:16" ht="15.75" customHeight="1" x14ac:dyDescent="0.15">
      <c r="A200" s="5" t="s">
        <v>3</v>
      </c>
      <c r="B200" s="5">
        <v>21</v>
      </c>
      <c r="C200" s="5" t="s">
        <v>23</v>
      </c>
      <c r="D200" s="5" t="s">
        <v>30</v>
      </c>
      <c r="E200" s="7">
        <v>44728</v>
      </c>
      <c r="F200" s="5" t="s">
        <v>5</v>
      </c>
      <c r="G200" s="5" t="s">
        <v>35</v>
      </c>
      <c r="H200" s="3" t="s">
        <v>12</v>
      </c>
      <c r="I200" s="4">
        <v>4.5</v>
      </c>
      <c r="J200" s="4">
        <v>2.5</v>
      </c>
      <c r="K200" s="1" t="str">
        <f>VLOOKUP(Table1[[#This Row],[Species ]],eq!$A$3:$B$13,2,)</f>
        <v>((0.0315*(X4^2.0342)*X2^0.7485)+(0.0283*(X4^2.0907)*X2^0)+(0.0225*(X4^2.4106)*X2^0)+(0.0571*(X4^1.4898)*X2^0))*1000</v>
      </c>
      <c r="L200" s="1" t="str">
        <f t="shared" si="9"/>
        <v>((0.0315*(2.5^2.0342)*4.5^0.7485)+(0.0283*(2.5^2.0907)*4.5^0)+(0.0225*(2.5^2.4106)*4.5^0)+(0.0571*(2.5^1.4898)*4.5^0))*1000</v>
      </c>
      <c r="M200" s="1" cm="1">
        <f t="array" ref="M200">eval_tr</f>
        <v>1246.8944002295812</v>
      </c>
      <c r="N200" s="1">
        <f t="shared" si="10"/>
        <v>1246.8944002295812</v>
      </c>
      <c r="O200" s="1" t="str">
        <f t="shared" si="11"/>
        <v>TN-21-EX</v>
      </c>
      <c r="P200" s="1">
        <f>VLOOKUP(O200,teams!$A$1:$B$47,2,)</f>
        <v>1</v>
      </c>
    </row>
    <row r="201" spans="1:16" ht="15.75" customHeight="1" x14ac:dyDescent="0.15">
      <c r="A201" s="5" t="s">
        <v>3</v>
      </c>
      <c r="B201" s="5">
        <v>21</v>
      </c>
      <c r="C201" s="5" t="s">
        <v>23</v>
      </c>
      <c r="D201" s="5" t="s">
        <v>30</v>
      </c>
      <c r="E201" s="7">
        <v>44728</v>
      </c>
      <c r="F201" s="5" t="s">
        <v>9</v>
      </c>
      <c r="G201" s="5" t="s">
        <v>37</v>
      </c>
      <c r="H201" s="5" t="s">
        <v>12</v>
      </c>
      <c r="I201" s="4">
        <v>5.5</v>
      </c>
      <c r="J201" s="4">
        <v>2.5</v>
      </c>
      <c r="K201" s="1" t="str">
        <f>VLOOKUP(Table1[[#This Row],[Species ]],eq!$A$3:$B$13,2,)</f>
        <v>((0.0315*(X4^2.0342)*X2^0.7485)+(0.0283*(X4^2.0907)*X2^0)+(0.0225*(X4^2.4106)*X2^0)+(0.0571*(X4^1.4898)*X2^0))*1000</v>
      </c>
      <c r="L201" s="1" t="str">
        <f t="shared" si="9"/>
        <v>((0.0315*(2.5^2.0342)*5.5^0.7485)+(0.0283*(2.5^2.0907)*5.5^0)+(0.0225*(2.5^2.4106)*5.5^0)+(0.0571*(2.5^1.4898)*5.5^0))*1000</v>
      </c>
      <c r="M201" s="1" cm="1">
        <f t="array" ref="M201">eval_tr</f>
        <v>1348.3858769228184</v>
      </c>
      <c r="N201" s="1">
        <f t="shared" si="10"/>
        <v>1348.3858769228184</v>
      </c>
      <c r="O201" s="1" t="str">
        <f t="shared" si="11"/>
        <v>TN-21-EX</v>
      </c>
      <c r="P201" s="1">
        <f>VLOOKUP(O201,teams!$A$1:$B$47,2,)</f>
        <v>1</v>
      </c>
    </row>
    <row r="202" spans="1:16" ht="15.75" customHeight="1" x14ac:dyDescent="0.15">
      <c r="A202" s="5" t="s">
        <v>3</v>
      </c>
      <c r="B202" s="5">
        <v>21</v>
      </c>
      <c r="C202" s="5" t="s">
        <v>23</v>
      </c>
      <c r="D202" s="5" t="s">
        <v>30</v>
      </c>
      <c r="E202" s="7">
        <v>44728</v>
      </c>
      <c r="F202" s="5" t="s">
        <v>5</v>
      </c>
      <c r="G202" s="5" t="s">
        <v>35</v>
      </c>
      <c r="H202" s="5" t="s">
        <v>12</v>
      </c>
      <c r="I202" s="4">
        <v>4</v>
      </c>
      <c r="J202" s="4">
        <v>3</v>
      </c>
      <c r="K202" s="1" t="str">
        <f>VLOOKUP(Table1[[#This Row],[Species ]],eq!$A$3:$B$13,2,)</f>
        <v>((0.0315*(X4^2.0342)*X2^0.7485)+(0.0283*(X4^2.0907)*X2^0)+(0.0225*(X4^2.4106)*X2^0)+(0.0571*(X4^1.4898)*X2^0))*1000</v>
      </c>
      <c r="L202" s="1" t="str">
        <f t="shared" si="9"/>
        <v>((0.0315*(3^2.0342)*4^0.7485)+(0.0283*(3^2.0907)*4^0)+(0.0225*(3^2.4106)*4^0)+(0.0571*(3^1.4898)*4^0))*1000</v>
      </c>
      <c r="M202" s="1" cm="1">
        <f t="array" ref="M202">eval_tr</f>
        <v>1723.5412589651216</v>
      </c>
      <c r="N202" s="1">
        <f t="shared" si="10"/>
        <v>1723.5412589651216</v>
      </c>
      <c r="O202" s="1" t="str">
        <f t="shared" si="11"/>
        <v>TN-21-EX</v>
      </c>
      <c r="P202" s="1">
        <f>VLOOKUP(O202,teams!$A$1:$B$47,2,)</f>
        <v>1</v>
      </c>
    </row>
    <row r="203" spans="1:16" ht="15.75" customHeight="1" x14ac:dyDescent="0.15">
      <c r="A203" s="5" t="s">
        <v>3</v>
      </c>
      <c r="B203" s="5">
        <v>21</v>
      </c>
      <c r="C203" s="5" t="s">
        <v>23</v>
      </c>
      <c r="D203" s="5" t="s">
        <v>30</v>
      </c>
      <c r="E203" s="7">
        <v>44728</v>
      </c>
      <c r="F203" s="5" t="s">
        <v>5</v>
      </c>
      <c r="G203" s="5" t="s">
        <v>35</v>
      </c>
      <c r="H203" s="3" t="s">
        <v>12</v>
      </c>
      <c r="I203" s="4">
        <v>5</v>
      </c>
      <c r="J203" s="4">
        <v>3</v>
      </c>
      <c r="K203" s="1" t="str">
        <f>VLOOKUP(Table1[[#This Row],[Species ]],eq!$A$3:$B$13,2,)</f>
        <v>((0.0315*(X4^2.0342)*X2^0.7485)+(0.0283*(X4^2.0907)*X2^0)+(0.0225*(X4^2.4106)*X2^0)+(0.0571*(X4^1.4898)*X2^0))*1000</v>
      </c>
      <c r="L203" s="1" t="str">
        <f t="shared" si="9"/>
        <v>((0.0315*(3^2.0342)*5^0.7485)+(0.0283*(3^2.0907)*5^0)+(0.0225*(3^2.4106)*5^0)+(0.0571*(3^1.4898)*5^0))*1000</v>
      </c>
      <c r="M203" s="1" cm="1">
        <f t="array" ref="M203">eval_tr</f>
        <v>1874.5708063758675</v>
      </c>
      <c r="N203" s="1">
        <f t="shared" si="10"/>
        <v>1874.5708063758675</v>
      </c>
      <c r="O203" s="1" t="str">
        <f t="shared" si="11"/>
        <v>TN-21-EX</v>
      </c>
      <c r="P203" s="1">
        <f>VLOOKUP(O203,teams!$A$1:$B$47,2,)</f>
        <v>1</v>
      </c>
    </row>
    <row r="204" spans="1:16" ht="15.75" customHeight="1" x14ac:dyDescent="0.15">
      <c r="A204" s="5" t="s">
        <v>3</v>
      </c>
      <c r="B204" s="5">
        <v>21</v>
      </c>
      <c r="C204" s="5" t="s">
        <v>23</v>
      </c>
      <c r="D204" s="5" t="s">
        <v>30</v>
      </c>
      <c r="E204" s="7">
        <v>44728</v>
      </c>
      <c r="F204" s="5" t="s">
        <v>7</v>
      </c>
      <c r="G204" s="5" t="s">
        <v>34</v>
      </c>
      <c r="H204" s="3" t="s">
        <v>12</v>
      </c>
      <c r="I204" s="4">
        <v>6</v>
      </c>
      <c r="J204" s="4">
        <v>3</v>
      </c>
      <c r="K204" s="1" t="str">
        <f>VLOOKUP(Table1[[#This Row],[Species ]],eq!$A$3:$B$13,2,)</f>
        <v>((0.0315*(X4^2.0342)*X2^0.7485)+(0.0283*(X4^2.0907)*X2^0)+(0.0225*(X4^2.4106)*X2^0)+(0.0571*(X4^1.4898)*X2^0))*1000</v>
      </c>
      <c r="L204" s="1" t="str">
        <f t="shared" si="9"/>
        <v>((0.0315*(3^2.0342)*6^0.7485)+(0.0283*(3^2.0907)*6^0)+(0.0225*(3^2.4106)*6^0)+(0.0571*(3^1.4898)*6^0))*1000</v>
      </c>
      <c r="M204" s="1" cm="1">
        <f t="array" ref="M204">eval_tr</f>
        <v>2018.1362822412966</v>
      </c>
      <c r="N204" s="1">
        <f t="shared" si="10"/>
        <v>2018.1362822412966</v>
      </c>
      <c r="O204" s="1" t="str">
        <f t="shared" si="11"/>
        <v>TN-21-EX</v>
      </c>
      <c r="P204" s="1">
        <f>VLOOKUP(O204,teams!$A$1:$B$47,2,)</f>
        <v>1</v>
      </c>
    </row>
    <row r="205" spans="1:16" ht="15.75" customHeight="1" x14ac:dyDescent="0.15">
      <c r="A205" s="5" t="s">
        <v>3</v>
      </c>
      <c r="B205" s="5">
        <v>21</v>
      </c>
      <c r="C205" s="5" t="s">
        <v>23</v>
      </c>
      <c r="D205" s="5" t="s">
        <v>30</v>
      </c>
      <c r="E205" s="7">
        <v>44728</v>
      </c>
      <c r="F205" s="5" t="s">
        <v>5</v>
      </c>
      <c r="G205" s="5" t="s">
        <v>35</v>
      </c>
      <c r="H205" s="3" t="s">
        <v>12</v>
      </c>
      <c r="I205" s="4">
        <v>3.5</v>
      </c>
      <c r="J205" s="4">
        <v>3.5</v>
      </c>
      <c r="K205" s="1" t="str">
        <f>VLOOKUP(Table1[[#This Row],[Species ]],eq!$A$3:$B$13,2,)</f>
        <v>((0.0315*(X4^2.0342)*X2^0.7485)+(0.0283*(X4^2.0907)*X2^0)+(0.0225*(X4^2.4106)*X2^0)+(0.0571*(X4^1.4898)*X2^0))*1000</v>
      </c>
      <c r="L205" s="1" t="str">
        <f t="shared" si="9"/>
        <v>((0.0315*(3.5^2.0342)*3.5^0.7485)+(0.0283*(3.5^2.0907)*3.5^0)+(0.0225*(3.5^2.4106)*3.5^0)+(0.0571*(3.5^1.4898)*3.5^0))*1000</v>
      </c>
      <c r="M205" s="1" cm="1">
        <f t="array" ref="M205">eval_tr</f>
        <v>2247.2419067356032</v>
      </c>
      <c r="N205" s="1">
        <f t="shared" si="10"/>
        <v>2247.2419067356032</v>
      </c>
      <c r="O205" s="1" t="str">
        <f t="shared" si="11"/>
        <v>TN-21-EX</v>
      </c>
      <c r="P205" s="1">
        <f>VLOOKUP(O205,teams!$A$1:$B$47,2,)</f>
        <v>1</v>
      </c>
    </row>
    <row r="206" spans="1:16" ht="15.75" customHeight="1" x14ac:dyDescent="0.15">
      <c r="A206" s="5" t="s">
        <v>3</v>
      </c>
      <c r="B206" s="5">
        <v>21</v>
      </c>
      <c r="C206" s="5" t="s">
        <v>23</v>
      </c>
      <c r="D206" s="5" t="s">
        <v>30</v>
      </c>
      <c r="E206" s="7">
        <v>44728</v>
      </c>
      <c r="F206" s="5" t="s">
        <v>7</v>
      </c>
      <c r="G206" s="5" t="s">
        <v>34</v>
      </c>
      <c r="H206" s="3" t="s">
        <v>12</v>
      </c>
      <c r="I206" s="4">
        <v>6</v>
      </c>
      <c r="J206" s="4">
        <v>3.5</v>
      </c>
      <c r="K206" s="1" t="str">
        <f>VLOOKUP(Table1[[#This Row],[Species ]],eq!$A$3:$B$13,2,)</f>
        <v>((0.0315*(X4^2.0342)*X2^0.7485)+(0.0283*(X4^2.0907)*X2^0)+(0.0225*(X4^2.4106)*X2^0)+(0.0571*(X4^1.4898)*X2^0))*1000</v>
      </c>
      <c r="L206" s="1" t="str">
        <f t="shared" si="9"/>
        <v>((0.0315*(3.5^2.0342)*6^0.7485)+(0.0283*(3.5^2.0907)*6^0)+(0.0225*(3.5^2.4106)*6^0)+(0.0571*(3.5^1.4898)*6^0))*1000</v>
      </c>
      <c r="M206" s="1" cm="1">
        <f t="array" ref="M206">eval_tr</f>
        <v>2758.4684561721465</v>
      </c>
      <c r="N206" s="1">
        <f t="shared" si="10"/>
        <v>2758.4684561721465</v>
      </c>
      <c r="O206" s="1" t="str">
        <f t="shared" si="11"/>
        <v>TN-21-EX</v>
      </c>
      <c r="P206" s="1">
        <f>VLOOKUP(O206,teams!$A$1:$B$47,2,)</f>
        <v>1</v>
      </c>
    </row>
    <row r="207" spans="1:16" ht="15.75" customHeight="1" x14ac:dyDescent="0.15">
      <c r="A207" s="5" t="s">
        <v>3</v>
      </c>
      <c r="B207" s="5">
        <v>21</v>
      </c>
      <c r="C207" s="5" t="s">
        <v>23</v>
      </c>
      <c r="D207" s="5" t="s">
        <v>30</v>
      </c>
      <c r="E207" s="7">
        <v>44728</v>
      </c>
      <c r="F207" s="5" t="s">
        <v>6</v>
      </c>
      <c r="G207" s="5" t="s">
        <v>36</v>
      </c>
      <c r="H207" s="5" t="s">
        <v>13</v>
      </c>
      <c r="I207" s="4">
        <v>5.5</v>
      </c>
      <c r="J207" s="4">
        <v>4</v>
      </c>
      <c r="K207" s="1" t="str">
        <f>VLOOKUP(Table1[[#This Row],[Species ]],eq!$A$3:$B$13,2,)</f>
        <v>((0.0181*(X4^1.7013)*X2^1.3057)+(0.0101*(X4^1.5956)*X2^0.919)+(0.0005*(X4^2.8004)*X2^0.8603)+(0.1976*(X4^1.4421)*X2^-0.5264))*1000</v>
      </c>
      <c r="L207" s="1" t="str">
        <f t="shared" si="9"/>
        <v>((0.0181*(4^1.7013)*5.5^1.3057)+(0.0101*(4^1.5956)*5.5^0.919)+(0.0005*(4^2.8004)*5.5^0.8603)+(0.1976*(4^1.4421)*5.5^-0.5264))*1000</v>
      </c>
      <c r="M207" s="1" cm="1">
        <f t="array" ref="M207">eval_tr</f>
        <v>2914.583304542457</v>
      </c>
      <c r="N207" s="1">
        <f t="shared" si="10"/>
        <v>2914.583304542457</v>
      </c>
      <c r="O207" s="1" t="str">
        <f t="shared" si="11"/>
        <v>TN-21-EX</v>
      </c>
      <c r="P207" s="1">
        <f>VLOOKUP(O207,teams!$A$1:$B$47,2,)</f>
        <v>1</v>
      </c>
    </row>
    <row r="208" spans="1:16" ht="15.75" customHeight="1" x14ac:dyDescent="0.15">
      <c r="A208" s="5" t="s">
        <v>3</v>
      </c>
      <c r="B208" s="5">
        <v>21</v>
      </c>
      <c r="C208" s="5" t="s">
        <v>23</v>
      </c>
      <c r="D208" s="5" t="s">
        <v>30</v>
      </c>
      <c r="E208" s="7">
        <v>44728</v>
      </c>
      <c r="F208" s="5" t="s">
        <v>6</v>
      </c>
      <c r="G208" s="5" t="s">
        <v>36</v>
      </c>
      <c r="H208" s="3" t="s">
        <v>12</v>
      </c>
      <c r="I208" s="4">
        <v>5</v>
      </c>
      <c r="J208" s="4">
        <v>4</v>
      </c>
      <c r="K208" s="1" t="str">
        <f>VLOOKUP(Table1[[#This Row],[Species ]],eq!$A$3:$B$13,2,)</f>
        <v>((0.0315*(X4^2.0342)*X2^0.7485)+(0.0283*(X4^2.0907)*X2^0)+(0.0225*(X4^2.4106)*X2^0)+(0.0571*(X4^1.4898)*X2^0))*1000</v>
      </c>
      <c r="L208" s="1" t="str">
        <f t="shared" si="9"/>
        <v>((0.0315*(4^2.0342)*5^0.7485)+(0.0283*(4^2.0907)*5^0)+(0.0225*(4^2.4106)*5^0)+(0.0571*(4^1.4898)*5^0))*1000</v>
      </c>
      <c r="M208" s="1" cm="1">
        <f t="array" ref="M208">eval_tr</f>
        <v>3362.7168730488934</v>
      </c>
      <c r="N208" s="1">
        <f t="shared" si="10"/>
        <v>3362.7168730488934</v>
      </c>
      <c r="O208" s="1" t="str">
        <f t="shared" si="11"/>
        <v>TN-21-EX</v>
      </c>
      <c r="P208" s="1">
        <f>VLOOKUP(O208,teams!$A$1:$B$47,2,)</f>
        <v>1</v>
      </c>
    </row>
    <row r="209" spans="1:16" ht="15.75" customHeight="1" x14ac:dyDescent="0.15">
      <c r="A209" s="5" t="s">
        <v>3</v>
      </c>
      <c r="B209" s="5">
        <v>21</v>
      </c>
      <c r="C209" s="5" t="s">
        <v>23</v>
      </c>
      <c r="D209" s="5" t="s">
        <v>30</v>
      </c>
      <c r="E209" s="7">
        <v>44728</v>
      </c>
      <c r="F209" s="5" t="s">
        <v>5</v>
      </c>
      <c r="G209" s="5" t="s">
        <v>35</v>
      </c>
      <c r="H209" s="3" t="s">
        <v>12</v>
      </c>
      <c r="I209" s="4">
        <v>4</v>
      </c>
      <c r="J209" s="4">
        <v>4.5</v>
      </c>
      <c r="K209" s="1" t="str">
        <f>VLOOKUP(Table1[[#This Row],[Species ]],eq!$A$3:$B$13,2,)</f>
        <v>((0.0315*(X4^2.0342)*X2^0.7485)+(0.0283*(X4^2.0907)*X2^0)+(0.0225*(X4^2.4106)*X2^0)+(0.0571*(X4^1.4898)*X2^0))*1000</v>
      </c>
      <c r="L209" s="1" t="str">
        <f t="shared" si="9"/>
        <v>((0.0315*(4.5^2.0342)*4^0.7485)+(0.0283*(4.5^2.0907)*4^0)+(0.0225*(4.5^2.4106)*4^0)+(0.0571*(4.5^1.4898)*4^0))*1000</v>
      </c>
      <c r="M209" s="1" cm="1">
        <f t="array" ref="M209">eval_tr</f>
        <v>3934.0060192727697</v>
      </c>
      <c r="N209" s="1">
        <f t="shared" si="10"/>
        <v>3934.0060192727697</v>
      </c>
      <c r="O209" s="1" t="str">
        <f t="shared" si="11"/>
        <v>TN-21-EX</v>
      </c>
      <c r="P209" s="1">
        <f>VLOOKUP(O209,teams!$A$1:$B$47,2,)</f>
        <v>1</v>
      </c>
    </row>
    <row r="210" spans="1:16" ht="15.75" customHeight="1" x14ac:dyDescent="0.15">
      <c r="A210" s="5" t="s">
        <v>3</v>
      </c>
      <c r="B210" s="5">
        <v>21</v>
      </c>
      <c r="C210" s="5" t="s">
        <v>23</v>
      </c>
      <c r="D210" s="5" t="s">
        <v>30</v>
      </c>
      <c r="E210" s="7">
        <v>44728</v>
      </c>
      <c r="F210" s="5" t="s">
        <v>5</v>
      </c>
      <c r="G210" s="5" t="s">
        <v>35</v>
      </c>
      <c r="H210" s="3" t="s">
        <v>12</v>
      </c>
      <c r="I210" s="4">
        <v>5</v>
      </c>
      <c r="J210" s="4">
        <v>4.75</v>
      </c>
      <c r="K210" s="1" t="str">
        <f>VLOOKUP(Table1[[#This Row],[Species ]],eq!$A$3:$B$13,2,)</f>
        <v>((0.0315*(X4^2.0342)*X2^0.7485)+(0.0283*(X4^2.0907)*X2^0)+(0.0225*(X4^2.4106)*X2^0)+(0.0571*(X4^1.4898)*X2^0))*1000</v>
      </c>
      <c r="L210" s="1" t="str">
        <f t="shared" si="9"/>
        <v>((0.0315*(4.75^2.0342)*5^0.7485)+(0.0283*(4.75^2.0907)*5^0)+(0.0225*(4.75^2.4106)*5^0)+(0.0571*(4.75^1.4898)*5^0))*1000</v>
      </c>
      <c r="M210" s="1" cm="1">
        <f t="array" ref="M210">eval_tr</f>
        <v>4780.246989254877</v>
      </c>
      <c r="N210" s="1">
        <f t="shared" si="10"/>
        <v>4780.246989254877</v>
      </c>
      <c r="O210" s="1" t="str">
        <f t="shared" si="11"/>
        <v>TN-21-EX</v>
      </c>
      <c r="P210" s="1">
        <f>VLOOKUP(O210,teams!$A$1:$B$47,2,)</f>
        <v>1</v>
      </c>
    </row>
    <row r="211" spans="1:16" ht="15.75" customHeight="1" x14ac:dyDescent="0.15">
      <c r="A211" s="5" t="s">
        <v>3</v>
      </c>
      <c r="B211" s="5">
        <v>21</v>
      </c>
      <c r="C211" s="5" t="s">
        <v>23</v>
      </c>
      <c r="D211" s="5" t="s">
        <v>30</v>
      </c>
      <c r="E211" s="7">
        <v>44728</v>
      </c>
      <c r="F211" s="5" t="s">
        <v>6</v>
      </c>
      <c r="G211" s="5" t="s">
        <v>36</v>
      </c>
      <c r="H211" s="3" t="s">
        <v>12</v>
      </c>
      <c r="I211" s="4">
        <v>6</v>
      </c>
      <c r="J211" s="4">
        <v>4.75</v>
      </c>
      <c r="K211" s="1" t="str">
        <f>VLOOKUP(Table1[[#This Row],[Species ]],eq!$A$3:$B$13,2,)</f>
        <v>((0.0315*(X4^2.0342)*X2^0.7485)+(0.0283*(X4^2.0907)*X2^0)+(0.0225*(X4^2.4106)*X2^0)+(0.0571*(X4^1.4898)*X2^0))*1000</v>
      </c>
      <c r="L211" s="1" t="str">
        <f t="shared" si="9"/>
        <v>((0.0315*(4.75^2.0342)*6^0.7485)+(0.0283*(4.75^2.0907)*6^0)+(0.0225*(4.75^2.4106)*6^0)+(0.0571*(4.75^1.4898)*6^0))*1000</v>
      </c>
      <c r="M211" s="1" cm="1">
        <f t="array" ref="M211">eval_tr</f>
        <v>5145.8587009946632</v>
      </c>
      <c r="N211" s="1">
        <f t="shared" si="10"/>
        <v>5145.8587009946632</v>
      </c>
      <c r="O211" s="1" t="str">
        <f t="shared" si="11"/>
        <v>TN-21-EX</v>
      </c>
      <c r="P211" s="1">
        <f>VLOOKUP(O211,teams!$A$1:$B$47,2,)</f>
        <v>1</v>
      </c>
    </row>
    <row r="212" spans="1:16" ht="15.75" customHeight="1" x14ac:dyDescent="0.15">
      <c r="A212" s="5" t="s">
        <v>3</v>
      </c>
      <c r="B212" s="5">
        <v>21</v>
      </c>
      <c r="C212" s="5" t="s">
        <v>23</v>
      </c>
      <c r="D212" s="5" t="s">
        <v>30</v>
      </c>
      <c r="E212" s="7">
        <v>44728</v>
      </c>
      <c r="F212" s="5" t="s">
        <v>9</v>
      </c>
      <c r="G212" s="5" t="s">
        <v>37</v>
      </c>
      <c r="H212" s="3" t="s">
        <v>12</v>
      </c>
      <c r="I212" s="4">
        <v>8</v>
      </c>
      <c r="J212" s="4">
        <v>5</v>
      </c>
      <c r="K212" s="1" t="str">
        <f>VLOOKUP(Table1[[#This Row],[Species ]],eq!$A$3:$B$13,2,)</f>
        <v>((0.0315*(X4^2.0342)*X2^0.7485)+(0.0283*(X4^2.0907)*X2^0)+(0.0225*(X4^2.4106)*X2^0)+(0.0571*(X4^1.4898)*X2^0))*1000</v>
      </c>
      <c r="L212" s="1" t="str">
        <f t="shared" si="9"/>
        <v>((0.0315*(5^2.0342)*8^0.7485)+(0.0283*(5^2.0907)*8^0)+(0.0225*(5^2.4106)*8^0)+(0.0571*(5^1.4898)*8^0))*1000</v>
      </c>
      <c r="M212" s="1" cm="1">
        <f t="array" ref="M212">eval_tr</f>
        <v>6481.5762387474206</v>
      </c>
      <c r="N212" s="1">
        <f t="shared" si="10"/>
        <v>6481.5762387474206</v>
      </c>
      <c r="O212" s="1" t="str">
        <f t="shared" si="11"/>
        <v>TN-21-EX</v>
      </c>
      <c r="P212" s="1">
        <f>VLOOKUP(O212,teams!$A$1:$B$47,2,)</f>
        <v>1</v>
      </c>
    </row>
    <row r="213" spans="1:16" ht="15.75" customHeight="1" x14ac:dyDescent="0.15">
      <c r="A213" s="5" t="s">
        <v>3</v>
      </c>
      <c r="B213" s="5">
        <v>21</v>
      </c>
      <c r="C213" s="5" t="s">
        <v>23</v>
      </c>
      <c r="D213" s="5" t="s">
        <v>30</v>
      </c>
      <c r="E213" s="7">
        <v>44728</v>
      </c>
      <c r="F213" s="5" t="s">
        <v>9</v>
      </c>
      <c r="G213" s="5" t="s">
        <v>37</v>
      </c>
      <c r="H213" s="3" t="s">
        <v>12</v>
      </c>
      <c r="I213" s="4">
        <v>7.5</v>
      </c>
      <c r="J213" s="4">
        <v>5.5</v>
      </c>
      <c r="K213" s="1" t="str">
        <f>VLOOKUP(Table1[[#This Row],[Species ]],eq!$A$3:$B$13,2,)</f>
        <v>((0.0315*(X4^2.0342)*X2^0.7485)+(0.0283*(X4^2.0907)*X2^0)+(0.0225*(X4^2.4106)*X2^0)+(0.0571*(X4^1.4898)*X2^0))*1000</v>
      </c>
      <c r="L213" s="1" t="str">
        <f t="shared" si="9"/>
        <v>((0.0315*(5.5^2.0342)*7.5^0.7485)+(0.0283*(5.5^2.0907)*7.5^0)+(0.0225*(5.5^2.4106)*7.5^0)+(0.0571*(5.5^1.4898)*7.5^0))*1000</v>
      </c>
      <c r="M213" s="1" cm="1">
        <f t="array" ref="M213">eval_tr</f>
        <v>7657.5463705359307</v>
      </c>
      <c r="N213" s="1">
        <f t="shared" si="10"/>
        <v>7657.5463705359307</v>
      </c>
      <c r="O213" s="1" t="str">
        <f t="shared" si="11"/>
        <v>TN-21-EX</v>
      </c>
      <c r="P213" s="1">
        <f>VLOOKUP(O213,teams!$A$1:$B$47,2,)</f>
        <v>1</v>
      </c>
    </row>
    <row r="214" spans="1:16" ht="15.75" customHeight="1" x14ac:dyDescent="0.15">
      <c r="A214" s="5" t="s">
        <v>3</v>
      </c>
      <c r="B214" s="5">
        <v>21</v>
      </c>
      <c r="C214" s="5" t="s">
        <v>23</v>
      </c>
      <c r="D214" s="5" t="s">
        <v>30</v>
      </c>
      <c r="E214" s="7">
        <v>44728</v>
      </c>
      <c r="F214" s="5" t="s">
        <v>6</v>
      </c>
      <c r="G214" s="5" t="s">
        <v>36</v>
      </c>
      <c r="H214" s="3" t="s">
        <v>12</v>
      </c>
      <c r="I214" s="4">
        <v>6.5</v>
      </c>
      <c r="J214" s="4">
        <v>6.5</v>
      </c>
      <c r="K214" s="1" t="str">
        <f>VLOOKUP(Table1[[#This Row],[Species ]],eq!$A$3:$B$13,2,)</f>
        <v>((0.0315*(X4^2.0342)*X2^0.7485)+(0.0283*(X4^2.0907)*X2^0)+(0.0225*(X4^2.4106)*X2^0)+(0.0571*(X4^1.4898)*X2^0))*1000</v>
      </c>
      <c r="L214" s="1" t="str">
        <f t="shared" si="9"/>
        <v>((0.0315*(6.5^2.0342)*6.5^0.7485)+(0.0283*(6.5^2.0907)*6.5^0)+(0.0225*(6.5^2.4106)*6.5^0)+(0.0571*(6.5^1.4898)*6.5^0))*1000</v>
      </c>
      <c r="M214" s="1" cm="1">
        <f t="array" ref="M214">eval_tr</f>
        <v>10155.212311226642</v>
      </c>
      <c r="N214" s="1">
        <f t="shared" si="10"/>
        <v>10155.212311226642</v>
      </c>
      <c r="O214" s="1" t="str">
        <f t="shared" si="11"/>
        <v>TN-21-EX</v>
      </c>
      <c r="P214" s="1">
        <f>VLOOKUP(O214,teams!$A$1:$B$47,2,)</f>
        <v>1</v>
      </c>
    </row>
    <row r="215" spans="1:16" ht="15.75" customHeight="1" x14ac:dyDescent="0.15">
      <c r="A215" s="5" t="s">
        <v>3</v>
      </c>
      <c r="B215" s="5">
        <v>21</v>
      </c>
      <c r="C215" s="5" t="s">
        <v>23</v>
      </c>
      <c r="D215" s="5" t="s">
        <v>30</v>
      </c>
      <c r="E215" s="7">
        <v>44728</v>
      </c>
      <c r="F215" s="5" t="s">
        <v>5</v>
      </c>
      <c r="G215" s="5" t="s">
        <v>35</v>
      </c>
      <c r="H215" s="5" t="s">
        <v>12</v>
      </c>
      <c r="I215" s="4">
        <v>8</v>
      </c>
      <c r="J215" s="4">
        <v>6.5</v>
      </c>
      <c r="K215" s="1" t="str">
        <f>VLOOKUP(Table1[[#This Row],[Species ]],eq!$A$3:$B$13,2,)</f>
        <v>((0.0315*(X4^2.0342)*X2^0.7485)+(0.0283*(X4^2.0907)*X2^0)+(0.0225*(X4^2.4106)*X2^0)+(0.0571*(X4^1.4898)*X2^0))*1000</v>
      </c>
      <c r="L215" s="1" t="str">
        <f t="shared" si="9"/>
        <v>((0.0315*(6.5^2.0342)*8^0.7485)+(0.0283*(6.5^2.0907)*8^0)+(0.0225*(6.5^2.4106)*8^0)+(0.0571*(6.5^1.4898)*8^0))*1000</v>
      </c>
      <c r="M215" s="1" cm="1">
        <f t="array" ref="M215">eval_tr</f>
        <v>11123.694546155433</v>
      </c>
      <c r="N215" s="1">
        <f t="shared" si="10"/>
        <v>11123.694546155433</v>
      </c>
      <c r="O215" s="1" t="str">
        <f t="shared" si="11"/>
        <v>TN-21-EX</v>
      </c>
      <c r="P215" s="1">
        <f>VLOOKUP(O215,teams!$A$1:$B$47,2,)</f>
        <v>1</v>
      </c>
    </row>
    <row r="216" spans="1:16" ht="15.75" customHeight="1" x14ac:dyDescent="0.15">
      <c r="A216" s="5" t="s">
        <v>3</v>
      </c>
      <c r="B216" s="5">
        <v>21</v>
      </c>
      <c r="C216" s="5" t="s">
        <v>23</v>
      </c>
      <c r="D216" s="5" t="s">
        <v>30</v>
      </c>
      <c r="E216" s="7">
        <v>44728</v>
      </c>
      <c r="F216" s="5" t="s">
        <v>6</v>
      </c>
      <c r="G216" s="5" t="s">
        <v>36</v>
      </c>
      <c r="H216" s="3" t="s">
        <v>12</v>
      </c>
      <c r="I216" s="4">
        <v>6.5</v>
      </c>
      <c r="J216" s="4">
        <v>7</v>
      </c>
      <c r="K216" s="1" t="str">
        <f>VLOOKUP(Table1[[#This Row],[Species ]],eq!$A$3:$B$13,2,)</f>
        <v>((0.0315*(X4^2.0342)*X2^0.7485)+(0.0283*(X4^2.0907)*X2^0)+(0.0225*(X4^2.4106)*X2^0)+(0.0571*(X4^1.4898)*X2^0))*1000</v>
      </c>
      <c r="L216" s="1" t="str">
        <f t="shared" si="9"/>
        <v>((0.0315*(7^2.0342)*6.5^0.7485)+(0.0283*(7^2.0907)*6.5^0)+(0.0225*(7^2.4106)*6.5^0)+(0.0571*(7^1.4898)*6.5^0))*1000</v>
      </c>
      <c r="M216" s="1" cm="1">
        <f t="array" ref="M216">eval_tr</f>
        <v>11839.191345797255</v>
      </c>
      <c r="N216" s="1">
        <f t="shared" si="10"/>
        <v>11839.191345797255</v>
      </c>
      <c r="O216" s="1" t="str">
        <f t="shared" si="11"/>
        <v>TN-21-EX</v>
      </c>
      <c r="P216" s="1">
        <f>VLOOKUP(O216,teams!$A$1:$B$47,2,)</f>
        <v>1</v>
      </c>
    </row>
    <row r="217" spans="1:16" ht="15.75" customHeight="1" x14ac:dyDescent="0.15">
      <c r="A217" s="6" t="s">
        <v>3</v>
      </c>
      <c r="B217" s="5">
        <v>22</v>
      </c>
      <c r="C217" s="5" t="s">
        <v>22</v>
      </c>
      <c r="D217" s="5" t="s">
        <v>30</v>
      </c>
      <c r="E217" s="7">
        <v>44732</v>
      </c>
      <c r="F217" s="5" t="s">
        <v>6</v>
      </c>
      <c r="G217" s="5" t="s">
        <v>36</v>
      </c>
      <c r="H217" s="3" t="s">
        <v>8</v>
      </c>
      <c r="I217" s="4">
        <v>5.5</v>
      </c>
      <c r="J217" s="4">
        <v>4.75</v>
      </c>
      <c r="K217" s="1" t="str">
        <f>VLOOKUP(Table1[[#This Row],[Species ]],eq!$A$3:$B$13,2,)</f>
        <v>((0.0309*(X4^1.7527)*X2^1.0014)+(0.0115*(X4^1.7405)*X2^0.6589)+(0.038*(X4^3.2558)*X2^-1.4218)+(0.2048*(X4^2.5754)*X2^-1.3704))*1000</v>
      </c>
      <c r="L217" s="1" t="str">
        <f t="shared" si="9"/>
        <v>((0.0309*(4.75^1.7527)*5.5^1.0014)+(0.0115*(4.75^1.7405)*5.5^0.6589)+(0.038*(4.75^3.2558)*5.5^-1.4218)+(0.2048*(4.75^2.5754)*5.5^-1.3704))*1000</v>
      </c>
      <c r="M217" s="1" cm="1">
        <f t="array" ref="M217">eval_tr</f>
        <v>4779.6674943387188</v>
      </c>
      <c r="N217" s="1">
        <f t="shared" si="10"/>
        <v>4779.6674943387188</v>
      </c>
      <c r="O217" s="1" t="str">
        <f t="shared" si="11"/>
        <v>TN-22-CTRL</v>
      </c>
      <c r="P217" s="1">
        <f>VLOOKUP(O217,teams!$A$1:$B$47,2,)</f>
        <v>1</v>
      </c>
    </row>
    <row r="218" spans="1:16" ht="15.75" customHeight="1" x14ac:dyDescent="0.15">
      <c r="A218" s="6" t="s">
        <v>3</v>
      </c>
      <c r="B218" s="5">
        <v>22</v>
      </c>
      <c r="C218" s="5" t="s">
        <v>22</v>
      </c>
      <c r="D218" s="5" t="s">
        <v>30</v>
      </c>
      <c r="E218" s="7">
        <v>44732</v>
      </c>
      <c r="F218" s="5" t="s">
        <v>6</v>
      </c>
      <c r="G218" s="5" t="s">
        <v>36</v>
      </c>
      <c r="H218" s="3" t="s">
        <v>8</v>
      </c>
      <c r="I218" s="4">
        <v>7</v>
      </c>
      <c r="J218" s="4">
        <v>6.5</v>
      </c>
      <c r="K218" s="1" t="str">
        <f>VLOOKUP(Table1[[#This Row],[Species ]],eq!$A$3:$B$13,2,)</f>
        <v>((0.0309*(X4^1.7527)*X2^1.0014)+(0.0115*(X4^1.7405)*X2^0.6589)+(0.038*(X4^3.2558)*X2^-1.4218)+(0.2048*(X4^2.5754)*X2^-1.3704))*1000</v>
      </c>
      <c r="L218" s="1" t="str">
        <f t="shared" si="9"/>
        <v>((0.0309*(6.5^1.7527)*7^1.0014)+(0.0115*(6.5^1.7405)*7^0.6589)+(0.038*(6.5^3.2558)*7^-1.4218)+(0.2048*(6.5^2.5754)*7^-1.3704))*1000</v>
      </c>
      <c r="M218" s="1" cm="1">
        <f t="array" ref="M218">eval_tr</f>
        <v>9669.7681770652416</v>
      </c>
      <c r="N218" s="1">
        <f t="shared" si="10"/>
        <v>9669.7681770652416</v>
      </c>
      <c r="O218" s="1" t="str">
        <f t="shared" si="11"/>
        <v>TN-22-CTRL</v>
      </c>
      <c r="P218" s="1">
        <f>VLOOKUP(O218,teams!$A$1:$B$47,2,)</f>
        <v>1</v>
      </c>
    </row>
    <row r="219" spans="1:16" ht="15.75" customHeight="1" x14ac:dyDescent="0.15">
      <c r="A219" s="6" t="s">
        <v>3</v>
      </c>
      <c r="B219" s="5">
        <v>22</v>
      </c>
      <c r="C219" s="5" t="s">
        <v>22</v>
      </c>
      <c r="D219" s="5" t="s">
        <v>30</v>
      </c>
      <c r="E219" s="7">
        <v>44732</v>
      </c>
      <c r="F219" s="5" t="s">
        <v>6</v>
      </c>
      <c r="G219" s="5" t="s">
        <v>36</v>
      </c>
      <c r="H219" s="3" t="s">
        <v>8</v>
      </c>
      <c r="I219" s="4">
        <v>7</v>
      </c>
      <c r="J219" s="4">
        <v>7</v>
      </c>
      <c r="K219" s="1" t="str">
        <f>VLOOKUP(Table1[[#This Row],[Species ]],eq!$A$3:$B$13,2,)</f>
        <v>((0.0309*(X4^1.7527)*X2^1.0014)+(0.0115*(X4^1.7405)*X2^0.6589)+(0.038*(X4^3.2558)*X2^-1.4218)+(0.2048*(X4^2.5754)*X2^-1.3704))*1000</v>
      </c>
      <c r="L219" s="1" t="str">
        <f t="shared" si="9"/>
        <v>((0.0309*(7^1.7527)*7^1.0014)+(0.0115*(7^1.7405)*7^0.6589)+(0.038*(7^3.2558)*7^-1.4218)+(0.2048*(7^2.5754)*7^-1.3704))*1000</v>
      </c>
      <c r="M219" s="1" cm="1">
        <f t="array" ref="M219">eval_tr</f>
        <v>11278.331427656227</v>
      </c>
      <c r="N219" s="1">
        <f t="shared" si="10"/>
        <v>11278.331427656227</v>
      </c>
      <c r="O219" s="1" t="str">
        <f t="shared" si="11"/>
        <v>TN-22-CTRL</v>
      </c>
      <c r="P219" s="1">
        <f>VLOOKUP(O219,teams!$A$1:$B$47,2,)</f>
        <v>1</v>
      </c>
    </row>
    <row r="220" spans="1:16" ht="15.75" customHeight="1" x14ac:dyDescent="0.15">
      <c r="A220" s="6" t="s">
        <v>3</v>
      </c>
      <c r="B220" s="5">
        <v>22</v>
      </c>
      <c r="C220" s="5" t="s">
        <v>22</v>
      </c>
      <c r="D220" s="5" t="s">
        <v>30</v>
      </c>
      <c r="E220" s="7">
        <v>44732</v>
      </c>
      <c r="F220" s="5" t="s">
        <v>6</v>
      </c>
      <c r="G220" s="5" t="s">
        <v>36</v>
      </c>
      <c r="H220" s="3" t="s">
        <v>8</v>
      </c>
      <c r="I220" s="4">
        <v>8</v>
      </c>
      <c r="J220" s="4">
        <v>8</v>
      </c>
      <c r="K220" s="1" t="str">
        <f>VLOOKUP(Table1[[#This Row],[Species ]],eq!$A$3:$B$13,2,)</f>
        <v>((0.0309*(X4^1.7527)*X2^1.0014)+(0.0115*(X4^1.7405)*X2^0.6589)+(0.038*(X4^3.2558)*X2^-1.4218)+(0.2048*(X4^2.5754)*X2^-1.3704))*1000</v>
      </c>
      <c r="L220" s="1" t="str">
        <f t="shared" si="9"/>
        <v>((0.0309*(8^1.7527)*8^1.0014)+(0.0115*(8^1.7405)*8^0.6589)+(0.038*(8^3.2558)*8^-1.4218)+(0.2048*(8^2.5754)*8^-1.3704))*1000</v>
      </c>
      <c r="M220" s="1" cm="1">
        <f t="array" ref="M220">eval_tr</f>
        <v>15407.798662858504</v>
      </c>
      <c r="N220" s="1">
        <f t="shared" si="10"/>
        <v>15407.798662858504</v>
      </c>
      <c r="O220" s="1" t="str">
        <f t="shared" si="11"/>
        <v>TN-22-CTRL</v>
      </c>
      <c r="P220" s="1">
        <f>VLOOKUP(O220,teams!$A$1:$B$47,2,)</f>
        <v>1</v>
      </c>
    </row>
    <row r="221" spans="1:16" ht="15.75" customHeight="1" x14ac:dyDescent="0.15">
      <c r="A221" s="6" t="s">
        <v>3</v>
      </c>
      <c r="B221" s="5">
        <v>22</v>
      </c>
      <c r="C221" s="5" t="s">
        <v>22</v>
      </c>
      <c r="D221" s="5" t="s">
        <v>30</v>
      </c>
      <c r="E221" s="7">
        <v>44732</v>
      </c>
      <c r="F221" s="5" t="s">
        <v>6</v>
      </c>
      <c r="G221" s="5" t="s">
        <v>36</v>
      </c>
      <c r="H221" s="3" t="s">
        <v>10</v>
      </c>
      <c r="I221" s="4">
        <v>10</v>
      </c>
      <c r="J221" s="4">
        <v>16.5</v>
      </c>
      <c r="K221" s="1" t="str">
        <f>VLOOKUP(Table1[[#This Row],[Species ]],eq!$A$3:$B$13,2,)</f>
        <v>((0.0294*(X4^1.8357)*X2^0.864)+(0.0053*(X4^2.0876)*X2^0.5842)+(0.0117*(X4^3.5097)*X2^-1.3006)+(0.1245*(X4^2.523)*X2^-1.123))*1000</v>
      </c>
      <c r="L221" s="1" t="str">
        <f t="shared" si="9"/>
        <v>((0.0294*(16.5^1.8357)*10^0.864)+(0.0053*(16.5^2.0876)*10^0.5842)+(0.0117*(16.5^3.5097)*10^-1.3006)+(0.1245*(16.5^2.523)*10^-1.123))*1000</v>
      </c>
      <c r="M221" s="1" cm="1">
        <f t="array" ref="M221">eval_tr</f>
        <v>66045.674434313187</v>
      </c>
      <c r="N221" s="1">
        <f t="shared" si="10"/>
        <v>66045.674434313187</v>
      </c>
      <c r="O221" s="1" t="str">
        <f t="shared" si="11"/>
        <v>TN-22-CTRL</v>
      </c>
      <c r="P221" s="1">
        <f>VLOOKUP(O221,teams!$A$1:$B$47,2,)</f>
        <v>1</v>
      </c>
    </row>
    <row r="222" spans="1:16" ht="15.75" customHeight="1" x14ac:dyDescent="0.15">
      <c r="A222" s="6" t="s">
        <v>3</v>
      </c>
      <c r="B222" s="5">
        <v>22</v>
      </c>
      <c r="C222" s="5" t="s">
        <v>22</v>
      </c>
      <c r="D222" s="5" t="s">
        <v>30</v>
      </c>
      <c r="E222" s="7">
        <v>44732</v>
      </c>
      <c r="F222" s="5" t="s">
        <v>5</v>
      </c>
      <c r="G222" s="5" t="s">
        <v>35</v>
      </c>
      <c r="H222" s="5" t="s">
        <v>21</v>
      </c>
      <c r="I222" s="4" t="s">
        <v>4</v>
      </c>
      <c r="J222" s="4" t="s">
        <v>4</v>
      </c>
      <c r="K222" s="1" t="e">
        <f>VLOOKUP(Table1[[#This Row],[Species ]],eq!$A$3:$B$13,2,)</f>
        <v>#N/A</v>
      </c>
      <c r="L222" s="1" t="e">
        <f t="shared" si="9"/>
        <v>#N/A</v>
      </c>
      <c r="M222" s="1" t="e" cm="1">
        <f t="array" ref="M222">eval_tr</f>
        <v>#N/A</v>
      </c>
      <c r="N222" s="1">
        <f t="shared" si="10"/>
        <v>0</v>
      </c>
      <c r="O222" s="1" t="str">
        <f t="shared" si="11"/>
        <v>TN-22-CTRL</v>
      </c>
      <c r="P222" s="1">
        <f>VLOOKUP(O222,teams!$A$1:$B$47,2,)</f>
        <v>1</v>
      </c>
    </row>
    <row r="223" spans="1:16" ht="15.75" customHeight="1" x14ac:dyDescent="0.15">
      <c r="A223" s="6" t="s">
        <v>3</v>
      </c>
      <c r="B223" s="5">
        <v>22</v>
      </c>
      <c r="C223" s="5" t="s">
        <v>22</v>
      </c>
      <c r="D223" s="5" t="s">
        <v>30</v>
      </c>
      <c r="E223" s="7">
        <v>44732</v>
      </c>
      <c r="F223" s="5" t="s">
        <v>7</v>
      </c>
      <c r="G223" s="5" t="s">
        <v>34</v>
      </c>
      <c r="H223" s="5" t="s">
        <v>21</v>
      </c>
      <c r="I223" s="4" t="s">
        <v>4</v>
      </c>
      <c r="J223" s="4" t="s">
        <v>4</v>
      </c>
      <c r="K223" s="1" t="e">
        <f>VLOOKUP(Table1[[#This Row],[Species ]],eq!$A$3:$B$13,2,)</f>
        <v>#N/A</v>
      </c>
      <c r="L223" s="1" t="e">
        <f t="shared" si="9"/>
        <v>#N/A</v>
      </c>
      <c r="M223" s="1" t="e" cm="1">
        <f t="array" ref="M223">eval_tr</f>
        <v>#N/A</v>
      </c>
      <c r="N223" s="1">
        <f t="shared" si="10"/>
        <v>0</v>
      </c>
      <c r="O223" s="1" t="str">
        <f t="shared" si="11"/>
        <v>TN-22-CTRL</v>
      </c>
      <c r="P223" s="1">
        <f>VLOOKUP(O223,teams!$A$1:$B$47,2,)</f>
        <v>1</v>
      </c>
    </row>
    <row r="224" spans="1:16" ht="15.75" customHeight="1" x14ac:dyDescent="0.15">
      <c r="A224" s="6" t="s">
        <v>3</v>
      </c>
      <c r="B224" s="5">
        <v>22</v>
      </c>
      <c r="C224" s="5" t="s">
        <v>22</v>
      </c>
      <c r="D224" s="5" t="s">
        <v>30</v>
      </c>
      <c r="E224" s="7">
        <v>44732</v>
      </c>
      <c r="F224" s="5" t="s">
        <v>9</v>
      </c>
      <c r="G224" s="5" t="s">
        <v>37</v>
      </c>
      <c r="H224" s="5" t="s">
        <v>21</v>
      </c>
      <c r="I224" s="4" t="s">
        <v>4</v>
      </c>
      <c r="J224" s="4" t="s">
        <v>4</v>
      </c>
      <c r="K224" s="1" t="e">
        <f>VLOOKUP(Table1[[#This Row],[Species ]],eq!$A$3:$B$13,2,)</f>
        <v>#N/A</v>
      </c>
      <c r="L224" s="1" t="e">
        <f t="shared" si="9"/>
        <v>#N/A</v>
      </c>
      <c r="M224" s="1" t="e" cm="1">
        <f t="array" ref="M224">eval_tr</f>
        <v>#N/A</v>
      </c>
      <c r="N224" s="1">
        <f t="shared" si="10"/>
        <v>0</v>
      </c>
      <c r="O224" s="1" t="str">
        <f t="shared" si="11"/>
        <v>TN-22-CTRL</v>
      </c>
      <c r="P224" s="1">
        <f>VLOOKUP(O224,teams!$A$1:$B$47,2,)</f>
        <v>1</v>
      </c>
    </row>
    <row r="225" spans="1:16" ht="15.75" customHeight="1" x14ac:dyDescent="0.15">
      <c r="A225" s="6" t="s">
        <v>3</v>
      </c>
      <c r="B225" s="5">
        <v>22</v>
      </c>
      <c r="C225" s="5" t="s">
        <v>23</v>
      </c>
      <c r="D225" s="5" t="s">
        <v>30</v>
      </c>
      <c r="E225" s="7">
        <v>44732</v>
      </c>
      <c r="F225" s="5" t="s">
        <v>6</v>
      </c>
      <c r="G225" s="5" t="s">
        <v>36</v>
      </c>
      <c r="H225" s="3" t="s">
        <v>8</v>
      </c>
      <c r="I225" s="4">
        <v>5.5</v>
      </c>
      <c r="J225" s="4">
        <v>6</v>
      </c>
      <c r="K225" s="1" t="str">
        <f>VLOOKUP(Table1[[#This Row],[Species ]],eq!$A$3:$B$13,2,)</f>
        <v>((0.0309*(X4^1.7527)*X2^1.0014)+(0.0115*(X4^1.7405)*X2^0.6589)+(0.038*(X4^3.2558)*X2^-1.4218)+(0.2048*(X4^2.5754)*X2^-1.3704))*1000</v>
      </c>
      <c r="L225" s="1" t="str">
        <f t="shared" si="9"/>
        <v>((0.0309*(6^1.7527)*5.5^1.0014)+(0.0115*(6^1.7405)*5.5^0.6589)+(0.038*(6^3.2558)*5.5^-1.4218)+(0.2048*(6^2.5754)*5.5^-1.3704))*1000</v>
      </c>
      <c r="M225" s="1" cm="1">
        <f t="array" ref="M225">eval_tr</f>
        <v>7885.8996297155845</v>
      </c>
      <c r="N225" s="1">
        <f t="shared" si="10"/>
        <v>7885.8996297155845</v>
      </c>
      <c r="O225" s="1" t="str">
        <f t="shared" si="11"/>
        <v>TN-22-EX</v>
      </c>
      <c r="P225" s="1">
        <f>VLOOKUP(O225,teams!$A$1:$B$47,2,)</f>
        <v>1</v>
      </c>
    </row>
    <row r="226" spans="1:16" ht="15.75" customHeight="1" x14ac:dyDescent="0.15">
      <c r="A226" s="6" t="s">
        <v>3</v>
      </c>
      <c r="B226" s="5">
        <v>22</v>
      </c>
      <c r="C226" s="5" t="s">
        <v>23</v>
      </c>
      <c r="D226" s="5" t="s">
        <v>30</v>
      </c>
      <c r="E226" s="7">
        <v>44732</v>
      </c>
      <c r="F226" s="5" t="s">
        <v>9</v>
      </c>
      <c r="G226" s="5" t="s">
        <v>37</v>
      </c>
      <c r="H226" s="3" t="s">
        <v>10</v>
      </c>
      <c r="I226" s="4">
        <v>11.2</v>
      </c>
      <c r="J226" s="4">
        <v>24</v>
      </c>
      <c r="K226" s="1" t="str">
        <f>VLOOKUP(Table1[[#This Row],[Species ]],eq!$A$3:$B$13,2,)</f>
        <v>((0.0294*(X4^1.8357)*X2^0.864)+(0.0053*(X4^2.0876)*X2^0.5842)+(0.0117*(X4^3.5097)*X2^-1.3006)+(0.1245*(X4^2.523)*X2^-1.123))*1000</v>
      </c>
      <c r="L226" s="1" t="str">
        <f t="shared" si="9"/>
        <v>((0.0294*(24^1.8357)*11.2^0.864)+(0.0053*(24^2.0876)*11.2^0.5842)+(0.0117*(24^3.5097)*11.2^-1.3006)+(0.1245*(24^2.523)*11.2^-1.123))*1000</v>
      </c>
      <c r="M226" s="1" cm="1">
        <f t="array" ref="M226">eval_tr</f>
        <v>157913.28841046485</v>
      </c>
      <c r="N226" s="1">
        <f t="shared" si="10"/>
        <v>157913.28841046485</v>
      </c>
      <c r="O226" s="1" t="str">
        <f t="shared" si="11"/>
        <v>TN-22-EX</v>
      </c>
      <c r="P226" s="1">
        <f>VLOOKUP(O226,teams!$A$1:$B$47,2,)</f>
        <v>1</v>
      </c>
    </row>
    <row r="227" spans="1:16" ht="15.75" customHeight="1" x14ac:dyDescent="0.15">
      <c r="A227" s="6" t="s">
        <v>3</v>
      </c>
      <c r="B227" s="5">
        <v>22</v>
      </c>
      <c r="C227" s="5" t="s">
        <v>23</v>
      </c>
      <c r="D227" s="5" t="s">
        <v>30</v>
      </c>
      <c r="E227" s="7">
        <v>44732</v>
      </c>
      <c r="F227" s="5" t="s">
        <v>7</v>
      </c>
      <c r="G227" s="5" t="s">
        <v>34</v>
      </c>
      <c r="H227" s="3" t="s">
        <v>10</v>
      </c>
      <c r="I227" s="4">
        <v>12.4</v>
      </c>
      <c r="J227" s="4">
        <v>26.75</v>
      </c>
      <c r="K227" s="1" t="str">
        <f>VLOOKUP(Table1[[#This Row],[Species ]],eq!$A$3:$B$13,2,)</f>
        <v>((0.0294*(X4^1.8357)*X2^0.864)+(0.0053*(X4^2.0876)*X2^0.5842)+(0.0117*(X4^3.5097)*X2^-1.3006)+(0.1245*(X4^2.523)*X2^-1.123))*1000</v>
      </c>
      <c r="L227" s="1" t="str">
        <f t="shared" si="9"/>
        <v>((0.0294*(26.75^1.8357)*12.4^0.864)+(0.0053*(26.75^2.0876)*12.4^0.5842)+(0.0117*(26.75^3.5097)*12.4^-1.3006)+(0.1245*(26.75^2.523)*12.4^-1.123))*1000</v>
      </c>
      <c r="M227" s="1" cm="1">
        <f t="array" ref="M227">eval_tr</f>
        <v>204607.72216330009</v>
      </c>
      <c r="N227" s="1">
        <f t="shared" si="10"/>
        <v>204607.72216330009</v>
      </c>
      <c r="O227" s="1" t="str">
        <f t="shared" si="11"/>
        <v>TN-22-EX</v>
      </c>
      <c r="P227" s="1">
        <f>VLOOKUP(O227,teams!$A$1:$B$47,2,)</f>
        <v>1</v>
      </c>
    </row>
    <row r="228" spans="1:16" ht="15.75" customHeight="1" x14ac:dyDescent="0.15">
      <c r="A228" s="6" t="s">
        <v>3</v>
      </c>
      <c r="B228" s="5">
        <v>22</v>
      </c>
      <c r="C228" s="5" t="s">
        <v>23</v>
      </c>
      <c r="D228" s="5" t="s">
        <v>30</v>
      </c>
      <c r="E228" s="7">
        <v>44732</v>
      </c>
      <c r="F228" s="5" t="s">
        <v>6</v>
      </c>
      <c r="G228" s="5" t="s">
        <v>36</v>
      </c>
      <c r="H228" s="3" t="s">
        <v>10</v>
      </c>
      <c r="I228" s="4">
        <v>14.8</v>
      </c>
      <c r="J228" s="4">
        <v>40</v>
      </c>
      <c r="K228" s="1" t="str">
        <f>VLOOKUP(Table1[[#This Row],[Species ]],eq!$A$3:$B$13,2,)</f>
        <v>((0.0294*(X4^1.8357)*X2^0.864)+(0.0053*(X4^2.0876)*X2^0.5842)+(0.0117*(X4^3.5097)*X2^-1.3006)+(0.1245*(X4^2.523)*X2^-1.123))*1000</v>
      </c>
      <c r="L228" s="1" t="str">
        <f t="shared" si="9"/>
        <v>((0.0294*(40^1.8357)*14.8^0.864)+(0.0053*(40^2.0876)*14.8^0.5842)+(0.0117*(40^3.5097)*14.8^-1.3006)+(0.1245*(40^2.523)*14.8^-1.123))*1000</v>
      </c>
      <c r="M228" s="1" cm="1">
        <f t="array" ref="M228">eval_tr</f>
        <v>533844.11033364269</v>
      </c>
      <c r="N228" s="1">
        <f t="shared" si="10"/>
        <v>533844.11033364269</v>
      </c>
      <c r="O228" s="1" t="str">
        <f t="shared" si="11"/>
        <v>TN-22-EX</v>
      </c>
      <c r="P228" s="1">
        <f>VLOOKUP(O228,teams!$A$1:$B$47,2,)</f>
        <v>1</v>
      </c>
    </row>
    <row r="229" spans="1:16" ht="15.75" customHeight="1" x14ac:dyDescent="0.15">
      <c r="A229" s="6" t="s">
        <v>3</v>
      </c>
      <c r="B229" s="5">
        <v>22</v>
      </c>
      <c r="C229" s="5" t="s">
        <v>23</v>
      </c>
      <c r="D229" s="5" t="s">
        <v>30</v>
      </c>
      <c r="E229" s="7">
        <v>44732</v>
      </c>
      <c r="F229" s="5" t="s">
        <v>5</v>
      </c>
      <c r="G229" s="5" t="s">
        <v>35</v>
      </c>
      <c r="H229" s="5" t="s">
        <v>21</v>
      </c>
      <c r="I229" s="4" t="s">
        <v>4</v>
      </c>
      <c r="J229" s="4" t="s">
        <v>4</v>
      </c>
      <c r="K229" s="1" t="e">
        <f>VLOOKUP(Table1[[#This Row],[Species ]],eq!$A$3:$B$13,2,)</f>
        <v>#N/A</v>
      </c>
      <c r="L229" s="1" t="e">
        <f t="shared" si="9"/>
        <v>#N/A</v>
      </c>
      <c r="M229" s="1" t="e" cm="1">
        <f t="array" ref="M229">eval_tr</f>
        <v>#N/A</v>
      </c>
      <c r="N229" s="1">
        <f t="shared" si="10"/>
        <v>0</v>
      </c>
      <c r="O229" s="1" t="str">
        <f t="shared" si="11"/>
        <v>TN-22-EX</v>
      </c>
      <c r="P229" s="1">
        <f>VLOOKUP(O229,teams!$A$1:$B$47,2,)</f>
        <v>1</v>
      </c>
    </row>
    <row r="230" spans="1:16" ht="15.75" customHeight="1" x14ac:dyDescent="0.15">
      <c r="A230" s="5" t="s">
        <v>3</v>
      </c>
      <c r="B230" s="5">
        <v>23</v>
      </c>
      <c r="C230" s="5" t="s">
        <v>21</v>
      </c>
      <c r="D230" s="5" t="s">
        <v>30</v>
      </c>
      <c r="E230" s="7">
        <v>44727</v>
      </c>
      <c r="F230" s="5" t="s">
        <v>5</v>
      </c>
      <c r="G230" s="5" t="s">
        <v>35</v>
      </c>
      <c r="H230" s="5" t="s">
        <v>21</v>
      </c>
      <c r="I230" s="4" t="s">
        <v>21</v>
      </c>
      <c r="J230" s="4" t="s">
        <v>21</v>
      </c>
      <c r="K230" s="1" t="e">
        <f>VLOOKUP(Table1[[#This Row],[Species ]],eq!$A$3:$B$13,2,)</f>
        <v>#N/A</v>
      </c>
      <c r="L230" s="1" t="e">
        <f t="shared" si="9"/>
        <v>#N/A</v>
      </c>
      <c r="M230" s="1" t="e" cm="1">
        <f t="array" ref="M230">eval_tr</f>
        <v>#N/A</v>
      </c>
      <c r="N230" s="1">
        <f t="shared" si="10"/>
        <v>0</v>
      </c>
      <c r="O230" s="1" t="str">
        <f t="shared" si="11"/>
        <v>TN-23-NA</v>
      </c>
      <c r="P230" s="1">
        <f>VLOOKUP(O230,teams!$A$1:$B$47,2,)</f>
        <v>2</v>
      </c>
    </row>
    <row r="231" spans="1:16" ht="15.75" customHeight="1" x14ac:dyDescent="0.15">
      <c r="A231" s="5" t="s">
        <v>3</v>
      </c>
      <c r="B231" s="5">
        <v>23</v>
      </c>
      <c r="C231" s="5" t="s">
        <v>21</v>
      </c>
      <c r="D231" s="5" t="s">
        <v>30</v>
      </c>
      <c r="E231" s="7">
        <v>44727</v>
      </c>
      <c r="F231" s="5" t="s">
        <v>6</v>
      </c>
      <c r="G231" s="5" t="s">
        <v>36</v>
      </c>
      <c r="H231" s="5" t="s">
        <v>21</v>
      </c>
      <c r="I231" s="4" t="s">
        <v>21</v>
      </c>
      <c r="J231" s="4" t="s">
        <v>21</v>
      </c>
      <c r="K231" s="1" t="e">
        <f>VLOOKUP(Table1[[#This Row],[Species ]],eq!$A$3:$B$13,2,)</f>
        <v>#N/A</v>
      </c>
      <c r="L231" s="1" t="e">
        <f t="shared" si="9"/>
        <v>#N/A</v>
      </c>
      <c r="M231" s="1" t="e" cm="1">
        <f t="array" ref="M231">eval_tr</f>
        <v>#N/A</v>
      </c>
      <c r="N231" s="1">
        <f t="shared" si="10"/>
        <v>0</v>
      </c>
      <c r="O231" s="1" t="str">
        <f t="shared" si="11"/>
        <v>TN-23-NA</v>
      </c>
      <c r="P231" s="1">
        <f>VLOOKUP(O231,teams!$A$1:$B$47,2,)</f>
        <v>2</v>
      </c>
    </row>
    <row r="232" spans="1:16" ht="15.75" customHeight="1" x14ac:dyDescent="0.15">
      <c r="A232" s="5" t="s">
        <v>3</v>
      </c>
      <c r="B232" s="5">
        <v>23</v>
      </c>
      <c r="C232" s="5" t="s">
        <v>21</v>
      </c>
      <c r="D232" s="5" t="s">
        <v>30</v>
      </c>
      <c r="E232" s="7">
        <v>44727</v>
      </c>
      <c r="F232" s="5" t="s">
        <v>7</v>
      </c>
      <c r="G232" s="5" t="s">
        <v>34</v>
      </c>
      <c r="H232" s="5" t="s">
        <v>21</v>
      </c>
      <c r="I232" s="4" t="s">
        <v>21</v>
      </c>
      <c r="J232" s="4" t="s">
        <v>21</v>
      </c>
      <c r="K232" s="1" t="e">
        <f>VLOOKUP(Table1[[#This Row],[Species ]],eq!$A$3:$B$13,2,)</f>
        <v>#N/A</v>
      </c>
      <c r="L232" s="1" t="e">
        <f t="shared" si="9"/>
        <v>#N/A</v>
      </c>
      <c r="M232" s="1" t="e" cm="1">
        <f t="array" ref="M232">eval_tr</f>
        <v>#N/A</v>
      </c>
      <c r="N232" s="1">
        <f t="shared" si="10"/>
        <v>0</v>
      </c>
      <c r="O232" s="1" t="str">
        <f t="shared" si="11"/>
        <v>TN-23-NA</v>
      </c>
      <c r="P232" s="1">
        <f>VLOOKUP(O232,teams!$A$1:$B$47,2,)</f>
        <v>2</v>
      </c>
    </row>
    <row r="233" spans="1:16" ht="15.75" customHeight="1" x14ac:dyDescent="0.15">
      <c r="A233" s="5" t="s">
        <v>3</v>
      </c>
      <c r="B233" s="5">
        <v>23</v>
      </c>
      <c r="C233" s="5" t="s">
        <v>21</v>
      </c>
      <c r="D233" s="5" t="s">
        <v>30</v>
      </c>
      <c r="E233" s="7">
        <v>44727</v>
      </c>
      <c r="F233" s="5" t="s">
        <v>9</v>
      </c>
      <c r="G233" s="5" t="s">
        <v>37</v>
      </c>
      <c r="H233" s="5" t="s">
        <v>21</v>
      </c>
      <c r="I233" s="4" t="s">
        <v>21</v>
      </c>
      <c r="J233" s="4" t="s">
        <v>21</v>
      </c>
      <c r="K233" s="1" t="e">
        <f>VLOOKUP(Table1[[#This Row],[Species ]],eq!$A$3:$B$13,2,)</f>
        <v>#N/A</v>
      </c>
      <c r="L233" s="1" t="e">
        <f t="shared" si="9"/>
        <v>#N/A</v>
      </c>
      <c r="M233" s="1" t="e" cm="1">
        <f t="array" ref="M233">eval_tr</f>
        <v>#N/A</v>
      </c>
      <c r="N233" s="1">
        <f t="shared" si="10"/>
        <v>0</v>
      </c>
      <c r="O233" s="1" t="str">
        <f t="shared" si="11"/>
        <v>TN-23-NA</v>
      </c>
      <c r="P233" s="1">
        <f>VLOOKUP(O233,teams!$A$1:$B$47,2,)</f>
        <v>2</v>
      </c>
    </row>
    <row r="234" spans="1:16" ht="15.75" customHeight="1" x14ac:dyDescent="0.15">
      <c r="A234" s="5" t="s">
        <v>3</v>
      </c>
      <c r="B234" s="5">
        <v>24</v>
      </c>
      <c r="C234" s="5" t="s">
        <v>21</v>
      </c>
      <c r="D234" s="5" t="s">
        <v>30</v>
      </c>
      <c r="E234" s="7">
        <v>44725</v>
      </c>
      <c r="F234" s="5" t="s">
        <v>7</v>
      </c>
      <c r="G234" s="5" t="s">
        <v>34</v>
      </c>
      <c r="H234" s="5" t="s">
        <v>8</v>
      </c>
      <c r="I234" s="4">
        <v>11.4</v>
      </c>
      <c r="J234" s="4">
        <v>42.5</v>
      </c>
      <c r="K234" s="1" t="str">
        <f>VLOOKUP(Table1[[#This Row],[Species ]],eq!$A$3:$B$13,2,)</f>
        <v>((0.0309*(X4^1.7527)*X2^1.0014)+(0.0115*(X4^1.7405)*X2^0.6589)+(0.038*(X4^3.2558)*X2^-1.4218)+(0.2048*(X4^2.5754)*X2^-1.3704))*1000</v>
      </c>
      <c r="L234" s="1" t="str">
        <f t="shared" si="9"/>
        <v>((0.0309*(42.5^1.7527)*11.4^1.0014)+(0.0115*(42.5^1.7405)*11.4^0.6589)+(0.038*(42.5^3.2558)*11.4^-1.4218)+(0.2048*(42.5^2.5754)*11.4^-1.3704))*1000</v>
      </c>
      <c r="M234" s="1" cm="1">
        <f t="array" ref="M234">eval_tr</f>
        <v>644773.28831218195</v>
      </c>
      <c r="N234" s="1">
        <f t="shared" si="10"/>
        <v>644773.28831218195</v>
      </c>
      <c r="O234" s="1" t="str">
        <f t="shared" si="11"/>
        <v>TN-24-NA</v>
      </c>
      <c r="P234" s="1">
        <f>VLOOKUP(O234,teams!$A$1:$B$47,2,)</f>
        <v>1</v>
      </c>
    </row>
    <row r="235" spans="1:16" ht="15.75" customHeight="1" x14ac:dyDescent="0.15">
      <c r="A235" s="5" t="s">
        <v>3</v>
      </c>
      <c r="B235" s="5">
        <v>24</v>
      </c>
      <c r="C235" s="5" t="s">
        <v>21</v>
      </c>
      <c r="D235" s="5" t="s">
        <v>30</v>
      </c>
      <c r="E235" s="7">
        <v>44725</v>
      </c>
      <c r="F235" s="5" t="s">
        <v>5</v>
      </c>
      <c r="G235" s="5" t="s">
        <v>35</v>
      </c>
      <c r="H235" s="5" t="s">
        <v>21</v>
      </c>
      <c r="I235" s="4" t="s">
        <v>21</v>
      </c>
      <c r="J235" s="4" t="s">
        <v>21</v>
      </c>
      <c r="K235" s="1" t="e">
        <f>VLOOKUP(Table1[[#This Row],[Species ]],eq!$A$3:$B$13,2,)</f>
        <v>#N/A</v>
      </c>
      <c r="L235" s="1" t="e">
        <f t="shared" si="9"/>
        <v>#N/A</v>
      </c>
      <c r="M235" s="1" t="e" cm="1">
        <f t="array" ref="M235">eval_tr</f>
        <v>#N/A</v>
      </c>
      <c r="N235" s="1">
        <f t="shared" si="10"/>
        <v>0</v>
      </c>
      <c r="O235" s="1" t="str">
        <f t="shared" si="11"/>
        <v>TN-24-NA</v>
      </c>
      <c r="P235" s="1">
        <f>VLOOKUP(O235,teams!$A$1:$B$47,2,)</f>
        <v>1</v>
      </c>
    </row>
    <row r="236" spans="1:16" ht="15.75" customHeight="1" x14ac:dyDescent="0.15">
      <c r="A236" s="5" t="s">
        <v>3</v>
      </c>
      <c r="B236" s="5">
        <v>24</v>
      </c>
      <c r="C236" s="5" t="s">
        <v>21</v>
      </c>
      <c r="D236" s="5" t="s">
        <v>30</v>
      </c>
      <c r="E236" s="7">
        <v>44725</v>
      </c>
      <c r="F236" s="5" t="s">
        <v>6</v>
      </c>
      <c r="G236" s="5" t="s">
        <v>36</v>
      </c>
      <c r="H236" s="5" t="s">
        <v>21</v>
      </c>
      <c r="I236" s="4" t="s">
        <v>21</v>
      </c>
      <c r="J236" s="4" t="s">
        <v>21</v>
      </c>
      <c r="K236" s="1" t="e">
        <f>VLOOKUP(Table1[[#This Row],[Species ]],eq!$A$3:$B$13,2,)</f>
        <v>#N/A</v>
      </c>
      <c r="L236" s="1" t="e">
        <f t="shared" si="9"/>
        <v>#N/A</v>
      </c>
      <c r="M236" s="1" t="e" cm="1">
        <f t="array" ref="M236">eval_tr</f>
        <v>#N/A</v>
      </c>
      <c r="N236" s="1">
        <f t="shared" si="10"/>
        <v>0</v>
      </c>
      <c r="O236" s="1" t="str">
        <f t="shared" si="11"/>
        <v>TN-24-NA</v>
      </c>
      <c r="P236" s="1">
        <f>VLOOKUP(O236,teams!$A$1:$B$47,2,)</f>
        <v>1</v>
      </c>
    </row>
    <row r="237" spans="1:16" ht="15.75" customHeight="1" x14ac:dyDescent="0.15">
      <c r="A237" s="5" t="s">
        <v>3</v>
      </c>
      <c r="B237" s="5">
        <v>24</v>
      </c>
      <c r="C237" s="5" t="s">
        <v>21</v>
      </c>
      <c r="D237" s="5" t="s">
        <v>30</v>
      </c>
      <c r="E237" s="7">
        <v>44725</v>
      </c>
      <c r="F237" s="5" t="s">
        <v>9</v>
      </c>
      <c r="G237" s="5" t="s">
        <v>37</v>
      </c>
      <c r="H237" s="5" t="s">
        <v>21</v>
      </c>
      <c r="I237" s="4" t="s">
        <v>21</v>
      </c>
      <c r="J237" s="4" t="s">
        <v>21</v>
      </c>
      <c r="K237" s="1" t="e">
        <f>VLOOKUP(Table1[[#This Row],[Species ]],eq!$A$3:$B$13,2,)</f>
        <v>#N/A</v>
      </c>
      <c r="L237" s="1" t="e">
        <f t="shared" si="9"/>
        <v>#N/A</v>
      </c>
      <c r="M237" s="1" t="e" cm="1">
        <f t="array" ref="M237">eval_tr</f>
        <v>#N/A</v>
      </c>
      <c r="N237" s="1">
        <f t="shared" si="10"/>
        <v>0</v>
      </c>
      <c r="O237" s="1" t="str">
        <f t="shared" si="11"/>
        <v>TN-24-NA</v>
      </c>
      <c r="P237" s="1">
        <f>VLOOKUP(O237,teams!$A$1:$B$47,2,)</f>
        <v>1</v>
      </c>
    </row>
    <row r="238" spans="1:16" ht="15.75" customHeight="1" x14ac:dyDescent="0.15">
      <c r="A238" s="5" t="s">
        <v>3</v>
      </c>
      <c r="B238" s="5">
        <v>25</v>
      </c>
      <c r="C238" s="5" t="s">
        <v>22</v>
      </c>
      <c r="D238" s="5" t="s">
        <v>31</v>
      </c>
      <c r="E238" s="7">
        <v>44728</v>
      </c>
      <c r="F238" s="5" t="s">
        <v>5</v>
      </c>
      <c r="G238" s="5" t="s">
        <v>35</v>
      </c>
      <c r="H238" s="5" t="s">
        <v>21</v>
      </c>
      <c r="I238" s="4" t="s">
        <v>21</v>
      </c>
      <c r="J238" s="4" t="s">
        <v>21</v>
      </c>
      <c r="K238" s="1" t="e">
        <f>VLOOKUP(Table1[[#This Row],[Species ]],eq!$A$3:$B$13,2,)</f>
        <v>#N/A</v>
      </c>
      <c r="L238" s="1" t="e">
        <f t="shared" si="9"/>
        <v>#N/A</v>
      </c>
      <c r="M238" s="1" t="e" cm="1">
        <f t="array" ref="M238">eval_tr</f>
        <v>#N/A</v>
      </c>
      <c r="N238" s="1">
        <f t="shared" si="10"/>
        <v>0</v>
      </c>
      <c r="O238" s="1" t="str">
        <f t="shared" si="11"/>
        <v>TN-25-CTRL</v>
      </c>
      <c r="P238" s="1">
        <f>VLOOKUP(O238,teams!$A$1:$B$47,2,)</f>
        <v>2</v>
      </c>
    </row>
    <row r="239" spans="1:16" ht="15.75" customHeight="1" x14ac:dyDescent="0.15">
      <c r="A239" s="5" t="s">
        <v>3</v>
      </c>
      <c r="B239" s="5">
        <v>25</v>
      </c>
      <c r="C239" s="5" t="s">
        <v>22</v>
      </c>
      <c r="D239" s="5" t="s">
        <v>31</v>
      </c>
      <c r="E239" s="7">
        <v>44728</v>
      </c>
      <c r="F239" s="5" t="s">
        <v>6</v>
      </c>
      <c r="G239" s="5" t="s">
        <v>36</v>
      </c>
      <c r="H239" s="5" t="s">
        <v>21</v>
      </c>
      <c r="I239" s="4" t="s">
        <v>21</v>
      </c>
      <c r="J239" s="4" t="s">
        <v>21</v>
      </c>
      <c r="K239" s="1" t="e">
        <f>VLOOKUP(Table1[[#This Row],[Species ]],eq!$A$3:$B$13,2,)</f>
        <v>#N/A</v>
      </c>
      <c r="L239" s="1" t="e">
        <f t="shared" si="9"/>
        <v>#N/A</v>
      </c>
      <c r="M239" s="1" t="e" cm="1">
        <f t="array" ref="M239">eval_tr</f>
        <v>#N/A</v>
      </c>
      <c r="N239" s="1">
        <f t="shared" si="10"/>
        <v>0</v>
      </c>
      <c r="O239" s="1" t="str">
        <f t="shared" si="11"/>
        <v>TN-25-CTRL</v>
      </c>
      <c r="P239" s="1">
        <f>VLOOKUP(O239,teams!$A$1:$B$47,2,)</f>
        <v>2</v>
      </c>
    </row>
    <row r="240" spans="1:16" ht="15.75" customHeight="1" x14ac:dyDescent="0.15">
      <c r="A240" s="5" t="s">
        <v>3</v>
      </c>
      <c r="B240" s="5">
        <v>25</v>
      </c>
      <c r="C240" s="5" t="s">
        <v>22</v>
      </c>
      <c r="D240" s="5" t="s">
        <v>31</v>
      </c>
      <c r="E240" s="7">
        <v>44728</v>
      </c>
      <c r="F240" s="5" t="s">
        <v>7</v>
      </c>
      <c r="G240" s="5" t="s">
        <v>34</v>
      </c>
      <c r="H240" s="5" t="s">
        <v>21</v>
      </c>
      <c r="I240" s="4" t="s">
        <v>21</v>
      </c>
      <c r="J240" s="4" t="s">
        <v>21</v>
      </c>
      <c r="K240" s="1" t="e">
        <f>VLOOKUP(Table1[[#This Row],[Species ]],eq!$A$3:$B$13,2,)</f>
        <v>#N/A</v>
      </c>
      <c r="L240" s="1" t="e">
        <f t="shared" si="9"/>
        <v>#N/A</v>
      </c>
      <c r="M240" s="1" t="e" cm="1">
        <f t="array" ref="M240">eval_tr</f>
        <v>#N/A</v>
      </c>
      <c r="N240" s="1">
        <f t="shared" si="10"/>
        <v>0</v>
      </c>
      <c r="O240" s="1" t="str">
        <f t="shared" si="11"/>
        <v>TN-25-CTRL</v>
      </c>
      <c r="P240" s="1">
        <f>VLOOKUP(O240,teams!$A$1:$B$47,2,)</f>
        <v>2</v>
      </c>
    </row>
    <row r="241" spans="1:16" ht="15.75" customHeight="1" x14ac:dyDescent="0.15">
      <c r="A241" s="5" t="s">
        <v>3</v>
      </c>
      <c r="B241" s="5">
        <v>25</v>
      </c>
      <c r="C241" s="5" t="s">
        <v>22</v>
      </c>
      <c r="D241" s="5" t="s">
        <v>31</v>
      </c>
      <c r="E241" s="7">
        <v>44728</v>
      </c>
      <c r="F241" s="5" t="s">
        <v>9</v>
      </c>
      <c r="G241" s="5" t="s">
        <v>37</v>
      </c>
      <c r="H241" s="5" t="s">
        <v>21</v>
      </c>
      <c r="I241" s="4" t="s">
        <v>21</v>
      </c>
      <c r="J241" s="4" t="s">
        <v>21</v>
      </c>
      <c r="K241" s="1" t="e">
        <f>VLOOKUP(Table1[[#This Row],[Species ]],eq!$A$3:$B$13,2,)</f>
        <v>#N/A</v>
      </c>
      <c r="L241" s="1" t="e">
        <f t="shared" si="9"/>
        <v>#N/A</v>
      </c>
      <c r="M241" s="1" t="e" cm="1">
        <f t="array" ref="M241">eval_tr</f>
        <v>#N/A</v>
      </c>
      <c r="N241" s="1">
        <f t="shared" si="10"/>
        <v>0</v>
      </c>
      <c r="O241" s="1" t="str">
        <f t="shared" si="11"/>
        <v>TN-25-CTRL</v>
      </c>
      <c r="P241" s="1">
        <f>VLOOKUP(O241,teams!$A$1:$B$47,2,)</f>
        <v>2</v>
      </c>
    </row>
    <row r="242" spans="1:16" ht="15.75" customHeight="1" x14ac:dyDescent="0.15">
      <c r="A242" s="5" t="s">
        <v>3</v>
      </c>
      <c r="B242" s="5">
        <v>25</v>
      </c>
      <c r="C242" s="5" t="s">
        <v>23</v>
      </c>
      <c r="D242" s="5" t="s">
        <v>31</v>
      </c>
      <c r="E242" s="7">
        <v>44728</v>
      </c>
      <c r="F242" s="5" t="s">
        <v>5</v>
      </c>
      <c r="G242" s="5" t="s">
        <v>35</v>
      </c>
      <c r="H242" s="5" t="s">
        <v>19</v>
      </c>
      <c r="I242" s="4">
        <v>3.25</v>
      </c>
      <c r="J242" s="4">
        <v>2.2999999999999998</v>
      </c>
      <c r="K242" s="1" t="str">
        <f>VLOOKUP(Table1[[#This Row],[Species ]],eq!$A$3:$B$13,2,)</f>
        <v>((0.0117*(X4^1.7757)*X2^1.2555)+(0.018*(X4^1.8131)*X2^0.5144)+(0.0112*(X4^3.0861)*X2^-0.7164)+(0.0617*(X4^1.8615)*X2^-0.5375))*1000</v>
      </c>
      <c r="L242" s="1" t="str">
        <f t="shared" si="9"/>
        <v>((0.0117*(2.3^1.7757)*3.25^1.2555)+(0.018*(2.3^1.8131)*3.25^0.5144)+(0.0112*(2.3^3.0861)*3.25^-0.7164)+(0.0617*(2.3^1.8615)*3.25^-0.5375))*1000</v>
      </c>
      <c r="M242" s="1" cm="1">
        <f t="array" ref="M242">eval_tr</f>
        <v>592.21933276093648</v>
      </c>
      <c r="N242" s="1">
        <f t="shared" si="10"/>
        <v>592.21933276093648</v>
      </c>
      <c r="O242" s="1" t="str">
        <f t="shared" si="11"/>
        <v>TN-25-EX</v>
      </c>
      <c r="P242" s="1">
        <f>VLOOKUP(O242,teams!$A$1:$B$47,2,)</f>
        <v>2</v>
      </c>
    </row>
    <row r="243" spans="1:16" ht="15.75" customHeight="1" x14ac:dyDescent="0.15">
      <c r="A243" s="5" t="s">
        <v>3</v>
      </c>
      <c r="B243" s="5">
        <v>25</v>
      </c>
      <c r="C243" s="5" t="s">
        <v>23</v>
      </c>
      <c r="D243" s="5" t="s">
        <v>31</v>
      </c>
      <c r="E243" s="7">
        <v>44728</v>
      </c>
      <c r="F243" s="5" t="s">
        <v>9</v>
      </c>
      <c r="G243" s="5" t="s">
        <v>37</v>
      </c>
      <c r="H243" s="5" t="s">
        <v>16</v>
      </c>
      <c r="I243" s="4">
        <v>3</v>
      </c>
      <c r="J243" s="4">
        <v>3.5</v>
      </c>
      <c r="K243" s="1" t="str">
        <f>VLOOKUP(Table1[[#This Row],[Species ]],eq!$A$3:$B$13,2,)</f>
        <v>((0.0117*(X4^1.7757)*X2^1.2555)+(0.018*(X4^1.8131)*X2^0.5144)+(0.0112*(X4^3.0861)*X2^-0.7164)+(0.0617*(X4^1.8615)*X2^-0.5375))*1000</v>
      </c>
      <c r="L243" s="1" t="str">
        <f t="shared" si="9"/>
        <v>((0.0117*(3.5^1.7757)*3^1.2555)+(0.018*(3.5^1.8131)*3^0.5144)+(0.0112*(3.5^3.0861)*3^-0.7164)+(0.0617*(3.5^1.8615)*3^-0.5375))*1000</v>
      </c>
      <c r="M243" s="1" cm="1">
        <f t="array" ref="M243">eval_tr</f>
        <v>1332.3920760430981</v>
      </c>
      <c r="N243" s="1">
        <f t="shared" si="10"/>
        <v>1332.3920760430981</v>
      </c>
      <c r="O243" s="1" t="str">
        <f t="shared" si="11"/>
        <v>TN-25-EX</v>
      </c>
      <c r="P243" s="1">
        <f>VLOOKUP(O243,teams!$A$1:$B$47,2,)</f>
        <v>2</v>
      </c>
    </row>
    <row r="244" spans="1:16" ht="15.75" customHeight="1" x14ac:dyDescent="0.15">
      <c r="A244" s="5" t="s">
        <v>3</v>
      </c>
      <c r="B244" s="5">
        <v>25</v>
      </c>
      <c r="C244" s="5" t="s">
        <v>23</v>
      </c>
      <c r="D244" s="5" t="s">
        <v>31</v>
      </c>
      <c r="E244" s="7">
        <v>44728</v>
      </c>
      <c r="F244" s="5" t="s">
        <v>5</v>
      </c>
      <c r="G244" s="5" t="s">
        <v>35</v>
      </c>
      <c r="H244" s="5" t="s">
        <v>16</v>
      </c>
      <c r="I244" s="4">
        <v>4</v>
      </c>
      <c r="J244" s="4">
        <v>3.4</v>
      </c>
      <c r="K244" s="1" t="str">
        <f>VLOOKUP(Table1[[#This Row],[Species ]],eq!$A$3:$B$13,2,)</f>
        <v>((0.0117*(X4^1.7757)*X2^1.2555)+(0.018*(X4^1.8131)*X2^0.5144)+(0.0112*(X4^3.0861)*X2^-0.7164)+(0.0617*(X4^1.8615)*X2^-0.5375))*1000</v>
      </c>
      <c r="L244" s="1" t="str">
        <f t="shared" si="9"/>
        <v>((0.0117*(3.4^1.7757)*4^1.2555)+(0.018*(3.4^1.8131)*4^0.5144)+(0.0112*(3.4^3.0861)*4^-0.7164)+(0.0617*(3.4^1.8615)*4^-0.5375))*1000</v>
      </c>
      <c r="M244" s="1" cm="1">
        <f t="array" ref="M244">eval_tr</f>
        <v>1390.5968401049784</v>
      </c>
      <c r="N244" s="1">
        <f t="shared" si="10"/>
        <v>1390.5968401049784</v>
      </c>
      <c r="O244" s="1" t="str">
        <f t="shared" si="11"/>
        <v>TN-25-EX</v>
      </c>
      <c r="P244" s="1">
        <f>VLOOKUP(O244,teams!$A$1:$B$47,2,)</f>
        <v>2</v>
      </c>
    </row>
    <row r="245" spans="1:16" ht="15.75" customHeight="1" x14ac:dyDescent="0.15">
      <c r="A245" s="5" t="s">
        <v>3</v>
      </c>
      <c r="B245" s="5">
        <v>25</v>
      </c>
      <c r="C245" s="5" t="s">
        <v>23</v>
      </c>
      <c r="D245" s="5" t="s">
        <v>31</v>
      </c>
      <c r="E245" s="7">
        <v>44728</v>
      </c>
      <c r="F245" s="5" t="s">
        <v>5</v>
      </c>
      <c r="G245" s="5" t="s">
        <v>35</v>
      </c>
      <c r="H245" s="5" t="s">
        <v>16</v>
      </c>
      <c r="I245" s="4">
        <v>5.5</v>
      </c>
      <c r="J245" s="4">
        <v>3.7</v>
      </c>
      <c r="K245" s="1" t="str">
        <f>VLOOKUP(Table1[[#This Row],[Species ]],eq!$A$3:$B$13,2,)</f>
        <v>((0.0117*(X4^1.7757)*X2^1.2555)+(0.018*(X4^1.8131)*X2^0.5144)+(0.0112*(X4^3.0861)*X2^-0.7164)+(0.0617*(X4^1.8615)*X2^-0.5375))*1000</v>
      </c>
      <c r="L245" s="1" t="str">
        <f t="shared" si="9"/>
        <v>((0.0117*(3.7^1.7757)*5.5^1.2555)+(0.018*(3.7^1.8131)*5.5^0.5144)+(0.0112*(3.7^3.0861)*5.5^-0.7164)+(0.0617*(3.7^1.8615)*5.5^-0.5375))*1000</v>
      </c>
      <c r="M245" s="1" cm="1">
        <f t="array" ref="M245">eval_tr</f>
        <v>1948.3481730442991</v>
      </c>
      <c r="N245" s="1">
        <f t="shared" si="10"/>
        <v>1948.3481730442991</v>
      </c>
      <c r="O245" s="1" t="str">
        <f t="shared" si="11"/>
        <v>TN-25-EX</v>
      </c>
      <c r="P245" s="1">
        <f>VLOOKUP(O245,teams!$A$1:$B$47,2,)</f>
        <v>2</v>
      </c>
    </row>
    <row r="246" spans="1:16" ht="15.75" customHeight="1" x14ac:dyDescent="0.15">
      <c r="A246" s="5" t="s">
        <v>3</v>
      </c>
      <c r="B246" s="5">
        <v>25</v>
      </c>
      <c r="C246" s="5" t="s">
        <v>23</v>
      </c>
      <c r="D246" s="5" t="s">
        <v>31</v>
      </c>
      <c r="E246" s="7">
        <v>44728</v>
      </c>
      <c r="F246" s="5" t="s">
        <v>6</v>
      </c>
      <c r="G246" s="5" t="s">
        <v>36</v>
      </c>
      <c r="H246" s="5" t="s">
        <v>16</v>
      </c>
      <c r="I246" s="4">
        <v>4.5</v>
      </c>
      <c r="J246" s="4">
        <v>4.4000000000000004</v>
      </c>
      <c r="K246" s="1" t="str">
        <f>VLOOKUP(Table1[[#This Row],[Species ]],eq!$A$3:$B$13,2,)</f>
        <v>((0.0117*(X4^1.7757)*X2^1.2555)+(0.018*(X4^1.8131)*X2^0.5144)+(0.0112*(X4^3.0861)*X2^-0.7164)+(0.0617*(X4^1.8615)*X2^-0.5375))*1000</v>
      </c>
      <c r="L246" s="1" t="str">
        <f t="shared" si="9"/>
        <v>((0.0117*(4.4^1.7757)*4.5^1.2555)+(0.018*(4.4^1.8131)*4.5^0.5144)+(0.0112*(4.4^3.0861)*4.5^-0.7164)+(0.0617*(4.4^1.8615)*4.5^-0.5375))*1000</v>
      </c>
      <c r="M246" s="1" cm="1">
        <f t="array" ref="M246">eval_tr</f>
        <v>2448.8507254329688</v>
      </c>
      <c r="N246" s="1">
        <f t="shared" si="10"/>
        <v>2448.8507254329688</v>
      </c>
      <c r="O246" s="1" t="str">
        <f t="shared" si="11"/>
        <v>TN-25-EX</v>
      </c>
      <c r="P246" s="1">
        <f>VLOOKUP(O246,teams!$A$1:$B$47,2,)</f>
        <v>2</v>
      </c>
    </row>
    <row r="247" spans="1:16" ht="15.75" customHeight="1" x14ac:dyDescent="0.15">
      <c r="A247" s="5" t="s">
        <v>3</v>
      </c>
      <c r="B247" s="5">
        <v>25</v>
      </c>
      <c r="C247" s="5" t="s">
        <v>23</v>
      </c>
      <c r="D247" s="5" t="s">
        <v>31</v>
      </c>
      <c r="E247" s="7">
        <v>44728</v>
      </c>
      <c r="F247" s="5" t="s">
        <v>7</v>
      </c>
      <c r="G247" s="5" t="s">
        <v>34</v>
      </c>
      <c r="H247" s="5" t="s">
        <v>16</v>
      </c>
      <c r="I247" s="4">
        <v>4.3</v>
      </c>
      <c r="J247" s="4">
        <v>4.7</v>
      </c>
      <c r="K247" s="1" t="str">
        <f>VLOOKUP(Table1[[#This Row],[Species ]],eq!$A$3:$B$13,2,)</f>
        <v>((0.0117*(X4^1.7757)*X2^1.2555)+(0.018*(X4^1.8131)*X2^0.5144)+(0.0112*(X4^3.0861)*X2^-0.7164)+(0.0617*(X4^1.8615)*X2^-0.5375))*1000</v>
      </c>
      <c r="L247" s="1" t="str">
        <f t="shared" si="9"/>
        <v>((0.0117*(4.7^1.7757)*4.3^1.2555)+(0.018*(4.7^1.8131)*4.3^0.5144)+(0.0112*(4.7^3.0861)*4.3^-0.7164)+(0.0617*(4.7^1.8615)*4.3^-0.5375))*1000</v>
      </c>
      <c r="M247" s="1" cm="1">
        <f t="array" ref="M247">eval_tr</f>
        <v>2740.1508325896816</v>
      </c>
      <c r="N247" s="1">
        <f t="shared" si="10"/>
        <v>2740.1508325896816</v>
      </c>
      <c r="O247" s="1" t="str">
        <f t="shared" si="11"/>
        <v>TN-25-EX</v>
      </c>
      <c r="P247" s="1">
        <f>VLOOKUP(O247,teams!$A$1:$B$47,2,)</f>
        <v>2</v>
      </c>
    </row>
    <row r="248" spans="1:16" ht="15.75" customHeight="1" x14ac:dyDescent="0.15">
      <c r="A248" s="5" t="s">
        <v>3</v>
      </c>
      <c r="B248" s="5">
        <v>26</v>
      </c>
      <c r="C248" s="5" t="s">
        <v>21</v>
      </c>
      <c r="D248" s="5" t="s">
        <v>31</v>
      </c>
      <c r="E248" s="7">
        <v>44729</v>
      </c>
      <c r="F248" s="5" t="s">
        <v>5</v>
      </c>
      <c r="G248" s="5" t="s">
        <v>35</v>
      </c>
      <c r="H248" s="5" t="s">
        <v>21</v>
      </c>
      <c r="I248" s="4" t="s">
        <v>21</v>
      </c>
      <c r="J248" s="4" t="s">
        <v>21</v>
      </c>
      <c r="K248" s="1" t="e">
        <f>VLOOKUP(Table1[[#This Row],[Species ]],eq!$A$3:$B$13,2,)</f>
        <v>#N/A</v>
      </c>
      <c r="L248" s="1" t="e">
        <f t="shared" si="9"/>
        <v>#N/A</v>
      </c>
      <c r="M248" s="1" t="e" cm="1">
        <f t="array" ref="M248">eval_tr</f>
        <v>#N/A</v>
      </c>
      <c r="N248" s="1">
        <f t="shared" si="10"/>
        <v>0</v>
      </c>
      <c r="O248" s="1" t="str">
        <f t="shared" si="11"/>
        <v>TN-26-NA</v>
      </c>
      <c r="P248" s="1">
        <f>VLOOKUP(O248,teams!$A$1:$B$47,2,)</f>
        <v>2</v>
      </c>
    </row>
    <row r="249" spans="1:16" ht="15.75" customHeight="1" x14ac:dyDescent="0.15">
      <c r="A249" s="5" t="s">
        <v>3</v>
      </c>
      <c r="B249" s="5">
        <v>26</v>
      </c>
      <c r="C249" s="5" t="s">
        <v>21</v>
      </c>
      <c r="D249" s="5" t="s">
        <v>31</v>
      </c>
      <c r="E249" s="7">
        <v>44729</v>
      </c>
      <c r="F249" s="5" t="s">
        <v>6</v>
      </c>
      <c r="G249" s="5" t="s">
        <v>36</v>
      </c>
      <c r="H249" s="5" t="s">
        <v>21</v>
      </c>
      <c r="I249" s="4" t="s">
        <v>21</v>
      </c>
      <c r="J249" s="4" t="s">
        <v>21</v>
      </c>
      <c r="K249" s="1" t="e">
        <f>VLOOKUP(Table1[[#This Row],[Species ]],eq!$A$3:$B$13,2,)</f>
        <v>#N/A</v>
      </c>
      <c r="L249" s="1" t="e">
        <f t="shared" si="9"/>
        <v>#N/A</v>
      </c>
      <c r="M249" s="1" t="e" cm="1">
        <f t="array" ref="M249">eval_tr</f>
        <v>#N/A</v>
      </c>
      <c r="N249" s="1">
        <f t="shared" si="10"/>
        <v>0</v>
      </c>
      <c r="O249" s="1" t="str">
        <f t="shared" si="11"/>
        <v>TN-26-NA</v>
      </c>
      <c r="P249" s="1">
        <f>VLOOKUP(O249,teams!$A$1:$B$47,2,)</f>
        <v>2</v>
      </c>
    </row>
    <row r="250" spans="1:16" ht="15.75" customHeight="1" x14ac:dyDescent="0.15">
      <c r="A250" s="5" t="s">
        <v>3</v>
      </c>
      <c r="B250" s="5">
        <v>26</v>
      </c>
      <c r="C250" s="5" t="s">
        <v>21</v>
      </c>
      <c r="D250" s="5" t="s">
        <v>31</v>
      </c>
      <c r="E250" s="7">
        <v>44729</v>
      </c>
      <c r="F250" s="5" t="s">
        <v>7</v>
      </c>
      <c r="G250" s="5" t="s">
        <v>34</v>
      </c>
      <c r="H250" s="5" t="s">
        <v>21</v>
      </c>
      <c r="I250" s="4" t="s">
        <v>21</v>
      </c>
      <c r="J250" s="4" t="s">
        <v>21</v>
      </c>
      <c r="K250" s="1" t="e">
        <f>VLOOKUP(Table1[[#This Row],[Species ]],eq!$A$3:$B$13,2,)</f>
        <v>#N/A</v>
      </c>
      <c r="L250" s="1" t="e">
        <f t="shared" si="9"/>
        <v>#N/A</v>
      </c>
      <c r="M250" s="1" t="e" cm="1">
        <f t="array" ref="M250">eval_tr</f>
        <v>#N/A</v>
      </c>
      <c r="N250" s="1">
        <f t="shared" si="10"/>
        <v>0</v>
      </c>
      <c r="O250" s="1" t="str">
        <f t="shared" si="11"/>
        <v>TN-26-NA</v>
      </c>
      <c r="P250" s="1">
        <f>VLOOKUP(O250,teams!$A$1:$B$47,2,)</f>
        <v>2</v>
      </c>
    </row>
    <row r="251" spans="1:16" ht="15.75" customHeight="1" x14ac:dyDescent="0.15">
      <c r="A251" s="5" t="s">
        <v>3</v>
      </c>
      <c r="B251" s="5">
        <v>26</v>
      </c>
      <c r="C251" s="5" t="s">
        <v>21</v>
      </c>
      <c r="D251" s="5" t="s">
        <v>31</v>
      </c>
      <c r="E251" s="7">
        <v>44729</v>
      </c>
      <c r="F251" s="5" t="s">
        <v>9</v>
      </c>
      <c r="G251" s="5" t="s">
        <v>37</v>
      </c>
      <c r="H251" s="5" t="s">
        <v>21</v>
      </c>
      <c r="I251" s="4" t="s">
        <v>21</v>
      </c>
      <c r="J251" s="4" t="s">
        <v>21</v>
      </c>
      <c r="K251" s="1" t="e">
        <f>VLOOKUP(Table1[[#This Row],[Species ]],eq!$A$3:$B$13,2,)</f>
        <v>#N/A</v>
      </c>
      <c r="L251" s="1" t="e">
        <f t="shared" si="9"/>
        <v>#N/A</v>
      </c>
      <c r="M251" s="1" t="e" cm="1">
        <f t="array" ref="M251">eval_tr</f>
        <v>#N/A</v>
      </c>
      <c r="N251" s="1">
        <f t="shared" si="10"/>
        <v>0</v>
      </c>
      <c r="O251" s="1" t="str">
        <f t="shared" si="11"/>
        <v>TN-26-NA</v>
      </c>
      <c r="P251" s="1">
        <f>VLOOKUP(O251,teams!$A$1:$B$47,2,)</f>
        <v>2</v>
      </c>
    </row>
    <row r="252" spans="1:16" ht="15.75" customHeight="1" x14ac:dyDescent="0.15">
      <c r="A252" s="6" t="s">
        <v>3</v>
      </c>
      <c r="B252" s="6">
        <v>27</v>
      </c>
      <c r="C252" s="5" t="s">
        <v>21</v>
      </c>
      <c r="D252" s="5" t="s">
        <v>31</v>
      </c>
      <c r="E252" s="7">
        <v>44727</v>
      </c>
      <c r="F252" s="6" t="s">
        <v>6</v>
      </c>
      <c r="G252" s="6" t="s">
        <v>36</v>
      </c>
      <c r="H252" s="3" t="s">
        <v>8</v>
      </c>
      <c r="I252" s="2">
        <v>5</v>
      </c>
      <c r="J252" s="2">
        <v>6.25</v>
      </c>
      <c r="K252" s="1" t="str">
        <f>VLOOKUP(Table1[[#This Row],[Species ]],eq!$A$3:$B$13,2,)</f>
        <v>((0.0309*(X4^1.7527)*X2^1.0014)+(0.0115*(X4^1.7405)*X2^0.6589)+(0.038*(X4^3.2558)*X2^-1.4218)+(0.2048*(X4^2.5754)*X2^-1.3704))*1000</v>
      </c>
      <c r="L252" s="1" t="str">
        <f t="shared" si="9"/>
        <v>((0.0309*(6.25^1.7527)*5^1.0014)+(0.0115*(6.25^1.7405)*5^0.6589)+(0.038*(6.25^3.2558)*5^-1.4218)+(0.2048*(6.25^2.5754)*5^-1.3704))*1000</v>
      </c>
      <c r="M252" s="1" cm="1">
        <f t="array" ref="M252">eval_tr</f>
        <v>8684.9966238408633</v>
      </c>
      <c r="N252" s="1">
        <f t="shared" si="10"/>
        <v>8684.9966238408633</v>
      </c>
      <c r="O252" s="1" t="str">
        <f t="shared" si="11"/>
        <v>TN-27-NA</v>
      </c>
      <c r="P252" s="1">
        <f>VLOOKUP(O252,teams!$A$1:$B$47,2,)</f>
        <v>1</v>
      </c>
    </row>
    <row r="253" spans="1:16" ht="15.75" customHeight="1" x14ac:dyDescent="0.15">
      <c r="A253" s="6" t="s">
        <v>3</v>
      </c>
      <c r="B253" s="6">
        <v>27</v>
      </c>
      <c r="C253" s="5" t="s">
        <v>21</v>
      </c>
      <c r="D253" s="5" t="s">
        <v>31</v>
      </c>
      <c r="E253" s="7">
        <v>44727</v>
      </c>
      <c r="F253" s="6" t="s">
        <v>5</v>
      </c>
      <c r="G253" s="6" t="s">
        <v>35</v>
      </c>
      <c r="H253" s="6" t="s">
        <v>21</v>
      </c>
      <c r="I253" s="2" t="s">
        <v>21</v>
      </c>
      <c r="J253" s="2" t="s">
        <v>21</v>
      </c>
      <c r="K253" s="1" t="e">
        <f>VLOOKUP(Table1[[#This Row],[Species ]],eq!$A$3:$B$13,2,)</f>
        <v>#N/A</v>
      </c>
      <c r="L253" s="1" t="e">
        <f t="shared" si="9"/>
        <v>#N/A</v>
      </c>
      <c r="M253" s="1" t="e" cm="1">
        <f t="array" ref="M253">eval_tr</f>
        <v>#N/A</v>
      </c>
      <c r="N253" s="1">
        <f t="shared" si="10"/>
        <v>0</v>
      </c>
      <c r="O253" s="1" t="str">
        <f t="shared" si="11"/>
        <v>TN-27-NA</v>
      </c>
      <c r="P253" s="1">
        <f>VLOOKUP(O253,teams!$A$1:$B$47,2,)</f>
        <v>1</v>
      </c>
    </row>
    <row r="254" spans="1:16" ht="15.75" customHeight="1" x14ac:dyDescent="0.15">
      <c r="A254" s="6" t="s">
        <v>3</v>
      </c>
      <c r="B254" s="6">
        <v>27</v>
      </c>
      <c r="C254" s="5" t="s">
        <v>21</v>
      </c>
      <c r="D254" s="5" t="s">
        <v>31</v>
      </c>
      <c r="E254" s="7">
        <v>44727</v>
      </c>
      <c r="F254" s="6" t="s">
        <v>7</v>
      </c>
      <c r="G254" s="6" t="s">
        <v>34</v>
      </c>
      <c r="H254" s="6" t="s">
        <v>21</v>
      </c>
      <c r="I254" s="2" t="s">
        <v>21</v>
      </c>
      <c r="J254" s="2" t="s">
        <v>21</v>
      </c>
      <c r="K254" s="1" t="e">
        <f>VLOOKUP(Table1[[#This Row],[Species ]],eq!$A$3:$B$13,2,)</f>
        <v>#N/A</v>
      </c>
      <c r="L254" s="1" t="e">
        <f t="shared" si="9"/>
        <v>#N/A</v>
      </c>
      <c r="M254" s="1" t="e" cm="1">
        <f t="array" ref="M254">eval_tr</f>
        <v>#N/A</v>
      </c>
      <c r="N254" s="1">
        <f t="shared" si="10"/>
        <v>0</v>
      </c>
      <c r="O254" s="1" t="str">
        <f t="shared" si="11"/>
        <v>TN-27-NA</v>
      </c>
      <c r="P254" s="1">
        <f>VLOOKUP(O254,teams!$A$1:$B$47,2,)</f>
        <v>1</v>
      </c>
    </row>
    <row r="255" spans="1:16" ht="15.75" customHeight="1" x14ac:dyDescent="0.15">
      <c r="A255" s="6" t="s">
        <v>3</v>
      </c>
      <c r="B255" s="6">
        <v>27</v>
      </c>
      <c r="C255" s="5" t="s">
        <v>21</v>
      </c>
      <c r="D255" s="5" t="s">
        <v>31</v>
      </c>
      <c r="E255" s="7">
        <v>44727</v>
      </c>
      <c r="F255" s="6" t="s">
        <v>9</v>
      </c>
      <c r="G255" s="6" t="s">
        <v>37</v>
      </c>
      <c r="H255" s="6" t="s">
        <v>21</v>
      </c>
      <c r="I255" s="2" t="s">
        <v>21</v>
      </c>
      <c r="J255" s="2" t="s">
        <v>21</v>
      </c>
      <c r="K255" s="1" t="e">
        <f>VLOOKUP(Table1[[#This Row],[Species ]],eq!$A$3:$B$13,2,)</f>
        <v>#N/A</v>
      </c>
      <c r="L255" s="1" t="e">
        <f t="shared" si="9"/>
        <v>#N/A</v>
      </c>
      <c r="M255" s="1" t="e" cm="1">
        <f t="array" ref="M255">eval_tr</f>
        <v>#N/A</v>
      </c>
      <c r="N255" s="1">
        <f t="shared" si="10"/>
        <v>0</v>
      </c>
      <c r="O255" s="1" t="str">
        <f t="shared" si="11"/>
        <v>TN-27-NA</v>
      </c>
      <c r="P255" s="1">
        <f>VLOOKUP(O255,teams!$A$1:$B$47,2,)</f>
        <v>1</v>
      </c>
    </row>
    <row r="256" spans="1:16" ht="15.75" customHeight="1" x14ac:dyDescent="0.15">
      <c r="A256" s="6" t="s">
        <v>3</v>
      </c>
      <c r="B256" s="6">
        <v>28</v>
      </c>
      <c r="C256" s="5" t="s">
        <v>21</v>
      </c>
      <c r="D256" s="5" t="s">
        <v>31</v>
      </c>
      <c r="E256" s="7">
        <v>44729</v>
      </c>
      <c r="F256" s="6" t="s">
        <v>7</v>
      </c>
      <c r="G256" s="6" t="s">
        <v>34</v>
      </c>
      <c r="H256" s="3" t="s">
        <v>8</v>
      </c>
      <c r="I256" s="2">
        <v>3</v>
      </c>
      <c r="J256" s="2">
        <v>5</v>
      </c>
      <c r="K256" s="1" t="str">
        <f>VLOOKUP(Table1[[#This Row],[Species ]],eq!$A$3:$B$13,2,)</f>
        <v>((0.0309*(X4^1.7527)*X2^1.0014)+(0.0115*(X4^1.7405)*X2^0.6589)+(0.038*(X4^3.2558)*X2^-1.4218)+(0.2048*(X4^2.5754)*X2^-1.3704))*1000</v>
      </c>
      <c r="L256" s="1" t="str">
        <f t="shared" si="9"/>
        <v>((0.0309*(5^1.7527)*3^1.0014)+(0.0115*(5^1.7405)*3^0.6589)+(0.038*(5^3.2558)*3^-1.4218)+(0.2048*(5^2.5754)*3^-1.3704))*1000</v>
      </c>
      <c r="M256" s="1" cm="1">
        <f t="array" ref="M256">eval_tr</f>
        <v>6321.2195581925989</v>
      </c>
      <c r="N256" s="1">
        <f t="shared" si="10"/>
        <v>6321.2195581925989</v>
      </c>
      <c r="O256" s="1" t="str">
        <f t="shared" si="11"/>
        <v>TN-28-NA</v>
      </c>
      <c r="P256" s="1">
        <f>VLOOKUP(O256,teams!$A$1:$B$47,2,)</f>
        <v>1</v>
      </c>
    </row>
    <row r="257" spans="1:16" ht="15.75" customHeight="1" x14ac:dyDescent="0.15">
      <c r="A257" s="6" t="s">
        <v>3</v>
      </c>
      <c r="B257" s="6">
        <v>28</v>
      </c>
      <c r="C257" s="5" t="s">
        <v>21</v>
      </c>
      <c r="D257" s="5" t="s">
        <v>31</v>
      </c>
      <c r="E257" s="7">
        <v>44729</v>
      </c>
      <c r="F257" s="6" t="s">
        <v>5</v>
      </c>
      <c r="G257" s="6" t="s">
        <v>35</v>
      </c>
      <c r="H257" s="3" t="s">
        <v>8</v>
      </c>
      <c r="I257" s="2">
        <v>3.5</v>
      </c>
      <c r="J257" s="2">
        <v>6</v>
      </c>
      <c r="K257" s="1" t="str">
        <f>VLOOKUP(Table1[[#This Row],[Species ]],eq!$A$3:$B$13,2,)</f>
        <v>((0.0309*(X4^1.7527)*X2^1.0014)+(0.0115*(X4^1.7405)*X2^0.6589)+(0.038*(X4^3.2558)*X2^-1.4218)+(0.2048*(X4^2.5754)*X2^-1.3704))*1000</v>
      </c>
      <c r="L257" s="1" t="str">
        <f t="shared" si="9"/>
        <v>((0.0309*(6^1.7527)*3.5^1.0014)+(0.0115*(6^1.7405)*3.5^0.6589)+(0.038*(6^3.2558)*3.5^-1.4218)+(0.2048*(6^2.5754)*3.5^-1.3704))*1000</v>
      </c>
      <c r="M257" s="1" cm="1">
        <f t="array" ref="M257">eval_tr</f>
        <v>8997.7678177970902</v>
      </c>
      <c r="N257" s="1">
        <f t="shared" si="10"/>
        <v>8997.7678177970902</v>
      </c>
      <c r="O257" s="1" t="str">
        <f t="shared" si="11"/>
        <v>TN-28-NA</v>
      </c>
      <c r="P257" s="1">
        <f>VLOOKUP(O257,teams!$A$1:$B$47,2,)</f>
        <v>1</v>
      </c>
    </row>
    <row r="258" spans="1:16" ht="15.75" customHeight="1" x14ac:dyDescent="0.15">
      <c r="A258" s="6" t="s">
        <v>3</v>
      </c>
      <c r="B258" s="6">
        <v>28</v>
      </c>
      <c r="C258" s="5" t="s">
        <v>21</v>
      </c>
      <c r="D258" s="5" t="s">
        <v>31</v>
      </c>
      <c r="E258" s="7">
        <v>44729</v>
      </c>
      <c r="F258" s="6" t="s">
        <v>9</v>
      </c>
      <c r="G258" s="6" t="s">
        <v>37</v>
      </c>
      <c r="H258" s="3" t="s">
        <v>8</v>
      </c>
      <c r="I258" s="2">
        <v>8</v>
      </c>
      <c r="J258" s="2">
        <v>24</v>
      </c>
      <c r="K258" s="1" t="str">
        <f>VLOOKUP(Table1[[#This Row],[Species ]],eq!$A$3:$B$13,2,)</f>
        <v>((0.0309*(X4^1.7527)*X2^1.0014)+(0.0115*(X4^1.7405)*X2^0.6589)+(0.038*(X4^3.2558)*X2^-1.4218)+(0.2048*(X4^2.5754)*X2^-1.3704))*1000</v>
      </c>
      <c r="L258" s="1" t="str">
        <f t="shared" ref="L258:L316" si="12">SUBSTITUTE(SUBSTITUTE(K258, "X4",J258),"X2",I258)</f>
        <v>((0.0309*(24^1.7527)*8^1.0014)+(0.0115*(24^1.7405)*8^0.6589)+(0.038*(24^3.2558)*8^-1.4218)+(0.2048*(24^2.5754)*8^-1.3704))*1000</v>
      </c>
      <c r="M258" s="1" cm="1">
        <f t="array" ref="M258">eval_tr</f>
        <v>180580.59563940222</v>
      </c>
      <c r="N258" s="1">
        <f t="shared" ref="N258:N316" si="13">IF(ISNUMBER(M258),M258,0)</f>
        <v>180580.59563940222</v>
      </c>
      <c r="O258" s="1" t="str">
        <f t="shared" ref="O258:O316" si="14">A258&amp;"-"&amp;TEXT(B258,"0#")&amp;"-"&amp;C258</f>
        <v>TN-28-NA</v>
      </c>
      <c r="P258" s="1">
        <f>VLOOKUP(O258,teams!$A$1:$B$47,2,)</f>
        <v>1</v>
      </c>
    </row>
    <row r="259" spans="1:16" ht="15.75" customHeight="1" x14ac:dyDescent="0.15">
      <c r="A259" s="6" t="s">
        <v>3</v>
      </c>
      <c r="B259" s="6">
        <v>28</v>
      </c>
      <c r="C259" s="5" t="s">
        <v>21</v>
      </c>
      <c r="D259" s="5" t="s">
        <v>31</v>
      </c>
      <c r="E259" s="7">
        <v>44729</v>
      </c>
      <c r="F259" s="6" t="s">
        <v>6</v>
      </c>
      <c r="G259" s="6" t="s">
        <v>36</v>
      </c>
      <c r="H259" s="6" t="s">
        <v>21</v>
      </c>
      <c r="I259" s="2" t="s">
        <v>21</v>
      </c>
      <c r="J259" s="2" t="s">
        <v>21</v>
      </c>
      <c r="K259" s="1" t="e">
        <f>VLOOKUP(Table1[[#This Row],[Species ]],eq!$A$3:$B$13,2,)</f>
        <v>#N/A</v>
      </c>
      <c r="L259" s="1" t="e">
        <f t="shared" si="12"/>
        <v>#N/A</v>
      </c>
      <c r="M259" s="1" t="e" cm="1">
        <f t="array" ref="M259">eval_tr</f>
        <v>#N/A</v>
      </c>
      <c r="N259" s="1">
        <f t="shared" si="13"/>
        <v>0</v>
      </c>
      <c r="O259" s="1" t="str">
        <f t="shared" si="14"/>
        <v>TN-28-NA</v>
      </c>
      <c r="P259" s="1">
        <f>VLOOKUP(O259,teams!$A$1:$B$47,2,)</f>
        <v>1</v>
      </c>
    </row>
    <row r="260" spans="1:16" ht="15.75" customHeight="1" x14ac:dyDescent="0.15">
      <c r="A260" s="5" t="s">
        <v>3</v>
      </c>
      <c r="B260" s="5">
        <v>29</v>
      </c>
      <c r="C260" s="5" t="s">
        <v>21</v>
      </c>
      <c r="D260" s="5" t="s">
        <v>31</v>
      </c>
      <c r="E260" s="7">
        <v>44727</v>
      </c>
      <c r="F260" s="5" t="s">
        <v>5</v>
      </c>
      <c r="G260" s="5" t="s">
        <v>35</v>
      </c>
      <c r="H260" s="5" t="s">
        <v>21</v>
      </c>
      <c r="I260" s="4" t="s">
        <v>21</v>
      </c>
      <c r="J260" s="4" t="s">
        <v>21</v>
      </c>
      <c r="K260" s="1" t="e">
        <f>VLOOKUP(Table1[[#This Row],[Species ]],eq!$A$3:$B$13,2,)</f>
        <v>#N/A</v>
      </c>
      <c r="L260" s="1" t="e">
        <f t="shared" si="12"/>
        <v>#N/A</v>
      </c>
      <c r="M260" s="1" t="e" cm="1">
        <f t="array" ref="M260">eval_tr</f>
        <v>#N/A</v>
      </c>
      <c r="N260" s="1">
        <f t="shared" si="13"/>
        <v>0</v>
      </c>
      <c r="O260" s="1" t="str">
        <f t="shared" si="14"/>
        <v>TN-29-NA</v>
      </c>
      <c r="P260" s="1">
        <f>VLOOKUP(O260,teams!$A$1:$B$47,2,)</f>
        <v>2</v>
      </c>
    </row>
    <row r="261" spans="1:16" ht="15.75" customHeight="1" x14ac:dyDescent="0.15">
      <c r="A261" s="5" t="s">
        <v>3</v>
      </c>
      <c r="B261" s="5">
        <v>29</v>
      </c>
      <c r="C261" s="5" t="s">
        <v>21</v>
      </c>
      <c r="D261" s="5" t="s">
        <v>31</v>
      </c>
      <c r="E261" s="7">
        <v>44727</v>
      </c>
      <c r="F261" s="5" t="s">
        <v>6</v>
      </c>
      <c r="G261" s="5" t="s">
        <v>36</v>
      </c>
      <c r="H261" s="5" t="s">
        <v>21</v>
      </c>
      <c r="I261" s="4" t="s">
        <v>21</v>
      </c>
      <c r="J261" s="4" t="s">
        <v>21</v>
      </c>
      <c r="K261" s="1" t="e">
        <f>VLOOKUP(Table1[[#This Row],[Species ]],eq!$A$3:$B$13,2,)</f>
        <v>#N/A</v>
      </c>
      <c r="L261" s="1" t="e">
        <f t="shared" si="12"/>
        <v>#N/A</v>
      </c>
      <c r="M261" s="1" t="e" cm="1">
        <f t="array" ref="M261">eval_tr</f>
        <v>#N/A</v>
      </c>
      <c r="N261" s="1">
        <f t="shared" si="13"/>
        <v>0</v>
      </c>
      <c r="O261" s="1" t="str">
        <f t="shared" si="14"/>
        <v>TN-29-NA</v>
      </c>
      <c r="P261" s="1">
        <f>VLOOKUP(O261,teams!$A$1:$B$47,2,)</f>
        <v>2</v>
      </c>
    </row>
    <row r="262" spans="1:16" ht="15.75" customHeight="1" x14ac:dyDescent="0.15">
      <c r="A262" s="5" t="s">
        <v>3</v>
      </c>
      <c r="B262" s="5">
        <v>29</v>
      </c>
      <c r="C262" s="5" t="s">
        <v>21</v>
      </c>
      <c r="D262" s="5" t="s">
        <v>31</v>
      </c>
      <c r="E262" s="7">
        <v>44727</v>
      </c>
      <c r="F262" s="5" t="s">
        <v>7</v>
      </c>
      <c r="G262" s="5" t="s">
        <v>34</v>
      </c>
      <c r="H262" s="5" t="s">
        <v>21</v>
      </c>
      <c r="I262" s="4" t="s">
        <v>21</v>
      </c>
      <c r="J262" s="4" t="s">
        <v>21</v>
      </c>
      <c r="K262" s="1" t="e">
        <f>VLOOKUP(Table1[[#This Row],[Species ]],eq!$A$3:$B$13,2,)</f>
        <v>#N/A</v>
      </c>
      <c r="L262" s="1" t="e">
        <f t="shared" si="12"/>
        <v>#N/A</v>
      </c>
      <c r="M262" s="1" t="e" cm="1">
        <f t="array" ref="M262">eval_tr</f>
        <v>#N/A</v>
      </c>
      <c r="N262" s="1">
        <f t="shared" si="13"/>
        <v>0</v>
      </c>
      <c r="O262" s="1" t="str">
        <f t="shared" si="14"/>
        <v>TN-29-NA</v>
      </c>
      <c r="P262" s="1">
        <f>VLOOKUP(O262,teams!$A$1:$B$47,2,)</f>
        <v>2</v>
      </c>
    </row>
    <row r="263" spans="1:16" ht="15.75" customHeight="1" x14ac:dyDescent="0.15">
      <c r="A263" s="5" t="s">
        <v>3</v>
      </c>
      <c r="B263" s="5">
        <v>29</v>
      </c>
      <c r="C263" s="5" t="s">
        <v>21</v>
      </c>
      <c r="D263" s="5" t="s">
        <v>31</v>
      </c>
      <c r="E263" s="7">
        <v>44727</v>
      </c>
      <c r="F263" s="5" t="s">
        <v>9</v>
      </c>
      <c r="G263" s="5" t="s">
        <v>37</v>
      </c>
      <c r="H263" s="5" t="s">
        <v>21</v>
      </c>
      <c r="I263" s="4" t="s">
        <v>21</v>
      </c>
      <c r="J263" s="4" t="s">
        <v>21</v>
      </c>
      <c r="K263" s="1" t="e">
        <f>VLOOKUP(Table1[[#This Row],[Species ]],eq!$A$3:$B$13,2,)</f>
        <v>#N/A</v>
      </c>
      <c r="L263" s="1" t="e">
        <f t="shared" si="12"/>
        <v>#N/A</v>
      </c>
      <c r="M263" s="1" t="e" cm="1">
        <f t="array" ref="M263">eval_tr</f>
        <v>#N/A</v>
      </c>
      <c r="N263" s="1">
        <f t="shared" si="13"/>
        <v>0</v>
      </c>
      <c r="O263" s="1" t="str">
        <f t="shared" si="14"/>
        <v>TN-29-NA</v>
      </c>
      <c r="P263" s="1">
        <f>VLOOKUP(O263,teams!$A$1:$B$47,2,)</f>
        <v>2</v>
      </c>
    </row>
    <row r="264" spans="1:16" ht="15.75" customHeight="1" x14ac:dyDescent="0.15">
      <c r="A264" s="5" t="s">
        <v>3</v>
      </c>
      <c r="B264" s="5">
        <v>30</v>
      </c>
      <c r="C264" s="5" t="s">
        <v>21</v>
      </c>
      <c r="D264" s="5" t="s">
        <v>31</v>
      </c>
      <c r="E264" s="7">
        <v>44727</v>
      </c>
      <c r="F264" s="5" t="s">
        <v>5</v>
      </c>
      <c r="G264" s="5" t="s">
        <v>35</v>
      </c>
      <c r="H264" s="5" t="s">
        <v>21</v>
      </c>
      <c r="I264" s="4" t="s">
        <v>21</v>
      </c>
      <c r="J264" s="4" t="s">
        <v>21</v>
      </c>
      <c r="K264" s="1" t="e">
        <f>VLOOKUP(Table1[[#This Row],[Species ]],eq!$A$3:$B$13,2,)</f>
        <v>#N/A</v>
      </c>
      <c r="L264" s="1" t="e">
        <f t="shared" si="12"/>
        <v>#N/A</v>
      </c>
      <c r="M264" s="1" t="e" cm="1">
        <f t="array" ref="M264">eval_tr</f>
        <v>#N/A</v>
      </c>
      <c r="N264" s="1">
        <f t="shared" si="13"/>
        <v>0</v>
      </c>
      <c r="O264" s="1" t="str">
        <f t="shared" si="14"/>
        <v>TN-30-NA</v>
      </c>
      <c r="P264" s="1">
        <f>VLOOKUP(O264,teams!$A$1:$B$47,2,)</f>
        <v>1</v>
      </c>
    </row>
    <row r="265" spans="1:16" ht="15.75" customHeight="1" x14ac:dyDescent="0.15">
      <c r="A265" s="5" t="s">
        <v>3</v>
      </c>
      <c r="B265" s="5">
        <v>30</v>
      </c>
      <c r="C265" s="5" t="s">
        <v>21</v>
      </c>
      <c r="D265" s="5" t="s">
        <v>31</v>
      </c>
      <c r="E265" s="7">
        <v>44727</v>
      </c>
      <c r="F265" s="5" t="s">
        <v>6</v>
      </c>
      <c r="G265" s="5" t="s">
        <v>36</v>
      </c>
      <c r="H265" s="5" t="s">
        <v>21</v>
      </c>
      <c r="I265" s="4" t="s">
        <v>21</v>
      </c>
      <c r="J265" s="4" t="s">
        <v>21</v>
      </c>
      <c r="K265" s="1" t="e">
        <f>VLOOKUP(Table1[[#This Row],[Species ]],eq!$A$3:$B$13,2,)</f>
        <v>#N/A</v>
      </c>
      <c r="L265" s="1" t="e">
        <f t="shared" si="12"/>
        <v>#N/A</v>
      </c>
      <c r="M265" s="1" t="e" cm="1">
        <f t="array" ref="M265">eval_tr</f>
        <v>#N/A</v>
      </c>
      <c r="N265" s="1">
        <f t="shared" si="13"/>
        <v>0</v>
      </c>
      <c r="O265" s="1" t="str">
        <f t="shared" si="14"/>
        <v>TN-30-NA</v>
      </c>
      <c r="P265" s="1">
        <f>VLOOKUP(O265,teams!$A$1:$B$47,2,)</f>
        <v>1</v>
      </c>
    </row>
    <row r="266" spans="1:16" ht="15.75" customHeight="1" x14ac:dyDescent="0.15">
      <c r="A266" s="5" t="s">
        <v>3</v>
      </c>
      <c r="B266" s="5">
        <v>30</v>
      </c>
      <c r="C266" s="5" t="s">
        <v>21</v>
      </c>
      <c r="D266" s="5" t="s">
        <v>31</v>
      </c>
      <c r="E266" s="7">
        <v>44727</v>
      </c>
      <c r="F266" s="5" t="s">
        <v>7</v>
      </c>
      <c r="G266" s="5" t="s">
        <v>34</v>
      </c>
      <c r="H266" s="5" t="s">
        <v>21</v>
      </c>
      <c r="I266" s="4" t="s">
        <v>21</v>
      </c>
      <c r="J266" s="4" t="s">
        <v>21</v>
      </c>
      <c r="K266" s="1" t="e">
        <f>VLOOKUP(Table1[[#This Row],[Species ]],eq!$A$3:$B$13,2,)</f>
        <v>#N/A</v>
      </c>
      <c r="L266" s="1" t="e">
        <f t="shared" si="12"/>
        <v>#N/A</v>
      </c>
      <c r="M266" s="1" t="e" cm="1">
        <f t="array" ref="M266">eval_tr</f>
        <v>#N/A</v>
      </c>
      <c r="N266" s="1">
        <f t="shared" si="13"/>
        <v>0</v>
      </c>
      <c r="O266" s="1" t="str">
        <f t="shared" si="14"/>
        <v>TN-30-NA</v>
      </c>
      <c r="P266" s="1">
        <f>VLOOKUP(O266,teams!$A$1:$B$47,2,)</f>
        <v>1</v>
      </c>
    </row>
    <row r="267" spans="1:16" ht="15.75" customHeight="1" x14ac:dyDescent="0.15">
      <c r="A267" s="5" t="s">
        <v>3</v>
      </c>
      <c r="B267" s="5">
        <v>30</v>
      </c>
      <c r="C267" s="5" t="s">
        <v>21</v>
      </c>
      <c r="D267" s="5" t="s">
        <v>31</v>
      </c>
      <c r="E267" s="7">
        <v>44727</v>
      </c>
      <c r="F267" s="5" t="s">
        <v>9</v>
      </c>
      <c r="G267" s="5" t="s">
        <v>37</v>
      </c>
      <c r="H267" s="5" t="s">
        <v>21</v>
      </c>
      <c r="I267" s="4" t="s">
        <v>21</v>
      </c>
      <c r="J267" s="4" t="s">
        <v>21</v>
      </c>
      <c r="K267" s="1" t="e">
        <f>VLOOKUP(Table1[[#This Row],[Species ]],eq!$A$3:$B$13,2,)</f>
        <v>#N/A</v>
      </c>
      <c r="L267" s="1" t="e">
        <f t="shared" si="12"/>
        <v>#N/A</v>
      </c>
      <c r="M267" s="1" t="e" cm="1">
        <f t="array" ref="M267">eval_tr</f>
        <v>#N/A</v>
      </c>
      <c r="N267" s="1">
        <f t="shared" si="13"/>
        <v>0</v>
      </c>
      <c r="O267" s="1" t="str">
        <f t="shared" si="14"/>
        <v>TN-30-NA</v>
      </c>
      <c r="P267" s="1">
        <f>VLOOKUP(O267,teams!$A$1:$B$47,2,)</f>
        <v>1</v>
      </c>
    </row>
    <row r="268" spans="1:16" ht="15.75" customHeight="1" x14ac:dyDescent="0.15">
      <c r="A268" s="6" t="s">
        <v>3</v>
      </c>
      <c r="B268" s="6">
        <v>31</v>
      </c>
      <c r="C268" s="6" t="s">
        <v>22</v>
      </c>
      <c r="D268" s="6" t="s">
        <v>32</v>
      </c>
      <c r="E268" s="8">
        <v>44733</v>
      </c>
      <c r="F268" s="6" t="s">
        <v>9</v>
      </c>
      <c r="G268" s="6" t="s">
        <v>37</v>
      </c>
      <c r="H268" s="3" t="s">
        <v>10</v>
      </c>
      <c r="I268" s="2">
        <v>9.5</v>
      </c>
      <c r="J268" s="2">
        <v>13.5</v>
      </c>
      <c r="K268" s="1" t="str">
        <f>VLOOKUP(Table1[[#This Row],[Species ]],eq!$A$3:$B$13,2,)</f>
        <v>((0.0294*(X4^1.8357)*X2^0.864)+(0.0053*(X4^2.0876)*X2^0.5842)+(0.0117*(X4^3.5097)*X2^-1.3006)+(0.1245*(X4^2.523)*X2^-1.123))*1000</v>
      </c>
      <c r="L268" s="1" t="str">
        <f t="shared" si="12"/>
        <v>((0.0294*(13.5^1.8357)*9.5^0.864)+(0.0053*(13.5^2.0876)*9.5^0.5842)+(0.0117*(13.5^3.5097)*9.5^-1.3006)+(0.1245*(13.5^2.523)*9.5^-1.123))*1000</v>
      </c>
      <c r="M268" s="1" cm="1">
        <f t="array" ref="M268">eval_tr</f>
        <v>41824.422071263092</v>
      </c>
      <c r="N268" s="1">
        <f t="shared" si="13"/>
        <v>41824.422071263092</v>
      </c>
      <c r="O268" s="1" t="str">
        <f t="shared" si="14"/>
        <v>TN-31-CTRL</v>
      </c>
      <c r="P268" s="1">
        <f>VLOOKUP(O268,teams!$A$1:$B$47,2,)</f>
        <v>1</v>
      </c>
    </row>
    <row r="269" spans="1:16" ht="15.75" customHeight="1" x14ac:dyDescent="0.15">
      <c r="A269" s="6" t="s">
        <v>3</v>
      </c>
      <c r="B269" s="6">
        <v>31</v>
      </c>
      <c r="C269" s="6" t="s">
        <v>22</v>
      </c>
      <c r="D269" s="6" t="s">
        <v>32</v>
      </c>
      <c r="E269" s="8">
        <v>44733</v>
      </c>
      <c r="F269" s="6" t="s">
        <v>9</v>
      </c>
      <c r="G269" s="6" t="s">
        <v>37</v>
      </c>
      <c r="H269" s="3" t="s">
        <v>10</v>
      </c>
      <c r="I269" s="2">
        <v>13.5</v>
      </c>
      <c r="J269" s="2">
        <v>31</v>
      </c>
      <c r="K269" s="1" t="str">
        <f>VLOOKUP(Table1[[#This Row],[Species ]],eq!$A$3:$B$13,2,)</f>
        <v>((0.0294*(X4^1.8357)*X2^0.864)+(0.0053*(X4^2.0876)*X2^0.5842)+(0.0117*(X4^3.5097)*X2^-1.3006)+(0.1245*(X4^2.523)*X2^-1.123))*1000</v>
      </c>
      <c r="L269" s="1" t="str">
        <f t="shared" si="12"/>
        <v>((0.0294*(31^1.8357)*13.5^0.864)+(0.0053*(31^2.0876)*13.5^0.5842)+(0.0117*(31^3.5097)*13.5^-1.3006)+(0.1245*(31^2.523)*13.5^-1.123))*1000</v>
      </c>
      <c r="M269" s="1" cm="1">
        <f t="array" ref="M269">eval_tr</f>
        <v>290497.71318500646</v>
      </c>
      <c r="N269" s="1">
        <f t="shared" si="13"/>
        <v>290497.71318500646</v>
      </c>
      <c r="O269" s="1" t="str">
        <f t="shared" si="14"/>
        <v>TN-31-CTRL</v>
      </c>
      <c r="P269" s="1">
        <f>VLOOKUP(O269,teams!$A$1:$B$47,2,)</f>
        <v>1</v>
      </c>
    </row>
    <row r="270" spans="1:16" ht="15.75" customHeight="1" x14ac:dyDescent="0.15">
      <c r="A270" s="6" t="s">
        <v>3</v>
      </c>
      <c r="B270" s="6">
        <v>31</v>
      </c>
      <c r="C270" s="6" t="s">
        <v>22</v>
      </c>
      <c r="D270" s="6" t="s">
        <v>32</v>
      </c>
      <c r="E270" s="8">
        <v>44733</v>
      </c>
      <c r="F270" s="6" t="s">
        <v>5</v>
      </c>
      <c r="G270" s="6" t="s">
        <v>35</v>
      </c>
      <c r="H270" s="3" t="s">
        <v>10</v>
      </c>
      <c r="I270" s="2">
        <v>14.2</v>
      </c>
      <c r="J270" s="2">
        <v>31</v>
      </c>
      <c r="K270" s="1" t="str">
        <f>VLOOKUP(Table1[[#This Row],[Species ]],eq!$A$3:$B$13,2,)</f>
        <v>((0.0294*(X4^1.8357)*X2^0.864)+(0.0053*(X4^2.0876)*X2^0.5842)+(0.0117*(X4^3.5097)*X2^-1.3006)+(0.1245*(X4^2.523)*X2^-1.123))*1000</v>
      </c>
      <c r="L270" s="1" t="str">
        <f t="shared" si="12"/>
        <v>((0.0294*(31^1.8357)*14.2^0.864)+(0.0053*(31^2.0876)*14.2^0.5842)+(0.0117*(31^3.5097)*14.2^-1.3006)+(0.1245*(31^2.523)*14.2^-1.123))*1000</v>
      </c>
      <c r="M270" s="1" cm="1">
        <f t="array" ref="M270">eval_tr</f>
        <v>291774.99295581924</v>
      </c>
      <c r="N270" s="1">
        <f t="shared" si="13"/>
        <v>291774.99295581924</v>
      </c>
      <c r="O270" s="1" t="str">
        <f t="shared" si="14"/>
        <v>TN-31-CTRL</v>
      </c>
      <c r="P270" s="1">
        <f>VLOOKUP(O270,teams!$A$1:$B$47,2,)</f>
        <v>1</v>
      </c>
    </row>
    <row r="271" spans="1:16" ht="15.75" customHeight="1" x14ac:dyDescent="0.15">
      <c r="A271" s="6" t="s">
        <v>3</v>
      </c>
      <c r="B271" s="6">
        <v>31</v>
      </c>
      <c r="C271" s="6" t="s">
        <v>22</v>
      </c>
      <c r="D271" s="6" t="s">
        <v>32</v>
      </c>
      <c r="E271" s="8">
        <v>44733</v>
      </c>
      <c r="F271" s="6" t="s">
        <v>6</v>
      </c>
      <c r="G271" s="6" t="s">
        <v>36</v>
      </c>
      <c r="H271" s="6" t="s">
        <v>21</v>
      </c>
      <c r="I271" s="2" t="s">
        <v>21</v>
      </c>
      <c r="J271" s="2" t="s">
        <v>21</v>
      </c>
      <c r="K271" s="1" t="e">
        <f>VLOOKUP(Table1[[#This Row],[Species ]],eq!$A$3:$B$13,2,)</f>
        <v>#N/A</v>
      </c>
      <c r="L271" s="1" t="e">
        <f t="shared" si="12"/>
        <v>#N/A</v>
      </c>
      <c r="M271" s="1" t="e" cm="1">
        <f t="array" ref="M271">eval_tr</f>
        <v>#N/A</v>
      </c>
      <c r="N271" s="1">
        <f t="shared" si="13"/>
        <v>0</v>
      </c>
      <c r="O271" s="1" t="str">
        <f t="shared" si="14"/>
        <v>TN-31-CTRL</v>
      </c>
      <c r="P271" s="1">
        <f>VLOOKUP(O271,teams!$A$1:$B$47,2,)</f>
        <v>1</v>
      </c>
    </row>
    <row r="272" spans="1:16" ht="15.75" customHeight="1" x14ac:dyDescent="0.15">
      <c r="A272" s="6" t="s">
        <v>3</v>
      </c>
      <c r="B272" s="6">
        <v>31</v>
      </c>
      <c r="C272" s="6" t="s">
        <v>22</v>
      </c>
      <c r="D272" s="6" t="s">
        <v>32</v>
      </c>
      <c r="E272" s="8">
        <v>44733</v>
      </c>
      <c r="F272" s="6" t="s">
        <v>7</v>
      </c>
      <c r="G272" s="6" t="s">
        <v>34</v>
      </c>
      <c r="H272" s="6" t="s">
        <v>21</v>
      </c>
      <c r="I272" s="2" t="s">
        <v>21</v>
      </c>
      <c r="J272" s="2" t="s">
        <v>21</v>
      </c>
      <c r="K272" s="1" t="e">
        <f>VLOOKUP(Table1[[#This Row],[Species ]],eq!$A$3:$B$13,2,)</f>
        <v>#N/A</v>
      </c>
      <c r="L272" s="1" t="e">
        <f t="shared" si="12"/>
        <v>#N/A</v>
      </c>
      <c r="M272" s="1" t="e" cm="1">
        <f t="array" ref="M272">eval_tr</f>
        <v>#N/A</v>
      </c>
      <c r="N272" s="1">
        <f t="shared" si="13"/>
        <v>0</v>
      </c>
      <c r="O272" s="1" t="str">
        <f t="shared" si="14"/>
        <v>TN-31-CTRL</v>
      </c>
      <c r="P272" s="1">
        <f>VLOOKUP(O272,teams!$A$1:$B$47,2,)</f>
        <v>1</v>
      </c>
    </row>
    <row r="273" spans="1:16" ht="15.75" customHeight="1" x14ac:dyDescent="0.15">
      <c r="A273" s="6" t="s">
        <v>3</v>
      </c>
      <c r="B273" s="6">
        <v>31</v>
      </c>
      <c r="C273" s="6" t="s">
        <v>23</v>
      </c>
      <c r="D273" s="6" t="s">
        <v>32</v>
      </c>
      <c r="E273" s="8">
        <v>44733</v>
      </c>
      <c r="F273" s="6" t="s">
        <v>9</v>
      </c>
      <c r="G273" s="6" t="s">
        <v>37</v>
      </c>
      <c r="H273" s="6" t="s">
        <v>17</v>
      </c>
      <c r="I273" s="2">
        <v>3.84</v>
      </c>
      <c r="J273" s="2">
        <v>2.75</v>
      </c>
      <c r="K273" s="1" t="str">
        <f>VLOOKUP(Table1[[#This Row],[Species ]],eq!$A$3:$B$13,2,)</f>
        <v>((0.0315*(X4^2.0342)*X2^0.7485)+(0.0283*(X4^2.0907)*X2^0)+(0.0225*(X4^2.4106)*X2^0)+(0.0571*(X4^1.4898)*X2^0))*1000</v>
      </c>
      <c r="L273" s="1" t="str">
        <f t="shared" si="12"/>
        <v>((0.0315*(2.75^2.0342)*3.84^0.7485)+(0.0283*(2.75^2.0907)*3.84^0)+(0.0225*(2.75^2.4106)*3.84^0)+(0.0571*(2.75^1.4898)*3.84^0))*1000</v>
      </c>
      <c r="M273" s="1" cm="1">
        <f t="array" ref="M273">eval_tr</f>
        <v>1425.188909051451</v>
      </c>
      <c r="N273" s="1">
        <f t="shared" si="13"/>
        <v>1425.188909051451</v>
      </c>
      <c r="O273" s="1" t="str">
        <f t="shared" si="14"/>
        <v>TN-31-EX</v>
      </c>
      <c r="P273" s="1">
        <f>VLOOKUP(O273,teams!$A$1:$B$47,2,)</f>
        <v>1</v>
      </c>
    </row>
    <row r="274" spans="1:16" ht="15.75" customHeight="1" x14ac:dyDescent="0.15">
      <c r="A274" s="6" t="s">
        <v>3</v>
      </c>
      <c r="B274" s="6">
        <v>31</v>
      </c>
      <c r="C274" s="6" t="s">
        <v>23</v>
      </c>
      <c r="D274" s="6" t="s">
        <v>32</v>
      </c>
      <c r="E274" s="8">
        <v>44733</v>
      </c>
      <c r="F274" s="6" t="s">
        <v>6</v>
      </c>
      <c r="G274" s="6" t="s">
        <v>36</v>
      </c>
      <c r="H274" s="6" t="s">
        <v>15</v>
      </c>
      <c r="I274" s="2">
        <v>4.5</v>
      </c>
      <c r="J274" s="2">
        <v>2.5</v>
      </c>
      <c r="K274" s="1" t="str">
        <f>VLOOKUP(Table1[[#This Row],[Species ]],eq!$A$3:$B$13,2,)</f>
        <v>((0.0259*(X4^1.9044)*X2^0.9715)+(0.0069*(X4^2.0834)*X2^0.5371)+(0.0325*(X4^2.3851)*X2^0)+(0.1683*(X4^1.2764)*X2^0))*1000</v>
      </c>
      <c r="L274" s="1" t="str">
        <f t="shared" si="12"/>
        <v>((0.0259*(2.5^1.9044)*4.5^0.9715)+(0.0069*(2.5^2.0834)*4.5^0.5371)+(0.0325*(2.5^2.3851)*4.5^0)+(0.1683*(2.5^1.2764)*4.5^0))*1000</v>
      </c>
      <c r="M274" s="1" cm="1">
        <f t="array" ref="M274">eval_tr</f>
        <v>1574.8489206895194</v>
      </c>
      <c r="N274" s="1">
        <f t="shared" si="13"/>
        <v>1574.8489206895194</v>
      </c>
      <c r="O274" s="1" t="str">
        <f t="shared" si="14"/>
        <v>TN-31-EX</v>
      </c>
      <c r="P274" s="1">
        <f>VLOOKUP(O274,teams!$A$1:$B$47,2,)</f>
        <v>1</v>
      </c>
    </row>
    <row r="275" spans="1:16" ht="15.75" customHeight="1" x14ac:dyDescent="0.15">
      <c r="A275" s="6" t="s">
        <v>3</v>
      </c>
      <c r="B275" s="6">
        <v>31</v>
      </c>
      <c r="C275" s="6" t="s">
        <v>23</v>
      </c>
      <c r="D275" s="6" t="s">
        <v>32</v>
      </c>
      <c r="E275" s="8">
        <v>44733</v>
      </c>
      <c r="F275" s="6" t="s">
        <v>9</v>
      </c>
      <c r="G275" s="6" t="s">
        <v>37</v>
      </c>
      <c r="H275" s="6" t="s">
        <v>16</v>
      </c>
      <c r="I275" s="2">
        <v>3.34</v>
      </c>
      <c r="J275" s="2">
        <v>3.75</v>
      </c>
      <c r="K275" s="1" t="str">
        <f>VLOOKUP(Table1[[#This Row],[Species ]],eq!$A$3:$B$13,2,)</f>
        <v>((0.0117*(X4^1.7757)*X2^1.2555)+(0.018*(X4^1.8131)*X2^0.5144)+(0.0112*(X4^3.0861)*X2^-0.7164)+(0.0617*(X4^1.8615)*X2^-0.5375))*1000</v>
      </c>
      <c r="L275" s="1" t="str">
        <f t="shared" si="12"/>
        <v>((0.0117*(3.75^1.7757)*3.34^1.2555)+(0.018*(3.75^1.8131)*3.34^0.5144)+(0.0112*(3.75^3.0861)*3.34^-0.7164)+(0.0617*(3.75^1.8615)*3.34^-0.5375))*1000</v>
      </c>
      <c r="M275" s="1" cm="1">
        <f t="array" ref="M275">eval_tr</f>
        <v>1580.4599944082231</v>
      </c>
      <c r="N275" s="1">
        <f t="shared" si="13"/>
        <v>1580.4599944082231</v>
      </c>
      <c r="O275" s="1" t="str">
        <f t="shared" si="14"/>
        <v>TN-31-EX</v>
      </c>
      <c r="P275" s="1">
        <f>VLOOKUP(O275,teams!$A$1:$B$47,2,)</f>
        <v>1</v>
      </c>
    </row>
    <row r="276" spans="1:16" ht="15.75" customHeight="1" x14ac:dyDescent="0.15">
      <c r="A276" s="6" t="s">
        <v>3</v>
      </c>
      <c r="B276" s="6">
        <v>31</v>
      </c>
      <c r="C276" s="6" t="s">
        <v>23</v>
      </c>
      <c r="D276" s="6" t="s">
        <v>32</v>
      </c>
      <c r="E276" s="8">
        <v>44733</v>
      </c>
      <c r="F276" s="6" t="s">
        <v>6</v>
      </c>
      <c r="G276" s="6" t="s">
        <v>36</v>
      </c>
      <c r="H276" s="6" t="s">
        <v>16</v>
      </c>
      <c r="I276" s="2">
        <v>5.5</v>
      </c>
      <c r="J276" s="2">
        <v>3.5</v>
      </c>
      <c r="K276" s="1" t="str">
        <f>VLOOKUP(Table1[[#This Row],[Species ]],eq!$A$3:$B$13,2,)</f>
        <v>((0.0117*(X4^1.7757)*X2^1.2555)+(0.018*(X4^1.8131)*X2^0.5144)+(0.0112*(X4^3.0861)*X2^-0.7164)+(0.0617*(X4^1.8615)*X2^-0.5375))*1000</v>
      </c>
      <c r="L276" s="1" t="str">
        <f t="shared" si="12"/>
        <v>((0.0117*(3.5^1.7757)*5.5^1.2555)+(0.018*(3.5^1.8131)*5.5^0.5144)+(0.0112*(3.5^3.0861)*5.5^-0.7164)+(0.0617*(3.5^1.8615)*5.5^-0.5375))*1000</v>
      </c>
      <c r="M276" s="1" cm="1">
        <f t="array" ref="M276">eval_tr</f>
        <v>1751.2749001855593</v>
      </c>
      <c r="N276" s="1">
        <f t="shared" si="13"/>
        <v>1751.2749001855593</v>
      </c>
      <c r="O276" s="1" t="str">
        <f t="shared" si="14"/>
        <v>TN-31-EX</v>
      </c>
      <c r="P276" s="1">
        <f>VLOOKUP(O276,teams!$A$1:$B$47,2,)</f>
        <v>1</v>
      </c>
    </row>
    <row r="277" spans="1:16" ht="15.75" customHeight="1" x14ac:dyDescent="0.15">
      <c r="A277" s="6" t="s">
        <v>3</v>
      </c>
      <c r="B277" s="6">
        <v>31</v>
      </c>
      <c r="C277" s="6" t="s">
        <v>23</v>
      </c>
      <c r="D277" s="6" t="s">
        <v>32</v>
      </c>
      <c r="E277" s="8">
        <v>44733</v>
      </c>
      <c r="F277" s="6" t="s">
        <v>6</v>
      </c>
      <c r="G277" s="6" t="s">
        <v>36</v>
      </c>
      <c r="H277" s="6" t="s">
        <v>15</v>
      </c>
      <c r="I277" s="2">
        <v>5</v>
      </c>
      <c r="J277" s="2">
        <v>3</v>
      </c>
      <c r="K277" s="1" t="str">
        <f>VLOOKUP(Table1[[#This Row],[Species ]],eq!$A$3:$B$13,2,)</f>
        <v>((0.0259*(X4^1.9044)*X2^0.9715)+(0.0069*(X4^2.0834)*X2^0.5371)+(0.0325*(X4^2.3851)*X2^0)+(0.1683*(X4^1.2764)*X2^0))*1000</v>
      </c>
      <c r="L277" s="1" t="str">
        <f t="shared" si="12"/>
        <v>((0.0259*(3^1.9044)*5^0.9715)+(0.0069*(3^2.0834)*5^0.5371)+(0.0325*(3^2.3851)*5^0)+(0.1683*(3^1.2764)*5^0))*1000</v>
      </c>
      <c r="M277" s="1" cm="1">
        <f t="array" ref="M277">eval_tr</f>
        <v>2294.38925910938</v>
      </c>
      <c r="N277" s="1">
        <f t="shared" si="13"/>
        <v>2294.38925910938</v>
      </c>
      <c r="O277" s="1" t="str">
        <f t="shared" si="14"/>
        <v>TN-31-EX</v>
      </c>
      <c r="P277" s="1">
        <f>VLOOKUP(O277,teams!$A$1:$B$47,2,)</f>
        <v>1</v>
      </c>
    </row>
    <row r="278" spans="1:16" ht="15.75" customHeight="1" x14ac:dyDescent="0.15">
      <c r="A278" s="6" t="s">
        <v>3</v>
      </c>
      <c r="B278" s="6">
        <v>31</v>
      </c>
      <c r="C278" s="6" t="s">
        <v>23</v>
      </c>
      <c r="D278" s="6" t="s">
        <v>32</v>
      </c>
      <c r="E278" s="8">
        <v>44733</v>
      </c>
      <c r="F278" s="6" t="s">
        <v>6</v>
      </c>
      <c r="G278" s="6" t="s">
        <v>36</v>
      </c>
      <c r="H278" s="6" t="s">
        <v>15</v>
      </c>
      <c r="I278" s="2">
        <v>5</v>
      </c>
      <c r="J278" s="2">
        <v>3.5</v>
      </c>
      <c r="K278" s="1" t="str">
        <f>VLOOKUP(Table1[[#This Row],[Species ]],eq!$A$3:$B$13,2,)</f>
        <v>((0.0259*(X4^1.9044)*X2^0.9715)+(0.0069*(X4^2.0834)*X2^0.5371)+(0.0325*(X4^2.3851)*X2^0)+(0.1683*(X4^1.2764)*X2^0))*1000</v>
      </c>
      <c r="L278" s="1" t="str">
        <f t="shared" si="12"/>
        <v>((0.0259*(3.5^1.9044)*5^0.9715)+(0.0069*(3.5^2.0834)*5^0.5371)+(0.0325*(3.5^2.3851)*5^0)+(0.1683*(3.5^1.2764)*5^0))*1000</v>
      </c>
      <c r="M278" s="1" cm="1">
        <f t="array" ref="M278">eval_tr</f>
        <v>3044.710467821435</v>
      </c>
      <c r="N278" s="1">
        <f t="shared" si="13"/>
        <v>3044.710467821435</v>
      </c>
      <c r="O278" s="1" t="str">
        <f t="shared" si="14"/>
        <v>TN-31-EX</v>
      </c>
      <c r="P278" s="1">
        <f>VLOOKUP(O278,teams!$A$1:$B$47,2,)</f>
        <v>1</v>
      </c>
    </row>
    <row r="279" spans="1:16" ht="15.75" customHeight="1" x14ac:dyDescent="0.15">
      <c r="A279" s="6" t="s">
        <v>3</v>
      </c>
      <c r="B279" s="6">
        <v>31</v>
      </c>
      <c r="C279" s="6" t="s">
        <v>23</v>
      </c>
      <c r="D279" s="6" t="s">
        <v>32</v>
      </c>
      <c r="E279" s="8">
        <v>44733</v>
      </c>
      <c r="F279" s="6" t="s">
        <v>6</v>
      </c>
      <c r="G279" s="6" t="s">
        <v>36</v>
      </c>
      <c r="H279" s="3" t="s">
        <v>10</v>
      </c>
      <c r="I279" s="2">
        <v>7.5</v>
      </c>
      <c r="J279" s="2">
        <v>15</v>
      </c>
      <c r="K279" s="1" t="str">
        <f>VLOOKUP(Table1[[#This Row],[Species ]],eq!$A$3:$B$13,2,)</f>
        <v>((0.0294*(X4^1.8357)*X2^0.864)+(0.0053*(X4^2.0876)*X2^0.5842)+(0.0117*(X4^3.5097)*X2^-1.3006)+(0.1245*(X4^2.523)*X2^-1.123))*1000</v>
      </c>
      <c r="L279" s="1" t="str">
        <f t="shared" si="12"/>
        <v>((0.0294*(15^1.8357)*7.5^0.864)+(0.0053*(15^2.0876)*7.5^0.5842)+(0.0117*(15^3.5097)*7.5^-1.3006)+(0.1245*(15^2.523)*7.5^-1.123))*1000</v>
      </c>
      <c r="M279" s="1" cm="1">
        <f t="array" ref="M279">eval_tr</f>
        <v>52519.347454858835</v>
      </c>
      <c r="N279" s="1">
        <f t="shared" si="13"/>
        <v>52519.347454858835</v>
      </c>
      <c r="O279" s="1" t="str">
        <f t="shared" si="14"/>
        <v>TN-31-EX</v>
      </c>
      <c r="P279" s="1">
        <f>VLOOKUP(O279,teams!$A$1:$B$47,2,)</f>
        <v>1</v>
      </c>
    </row>
    <row r="280" spans="1:16" ht="15.75" customHeight="1" x14ac:dyDescent="0.15">
      <c r="A280" s="6" t="s">
        <v>3</v>
      </c>
      <c r="B280" s="6">
        <v>31</v>
      </c>
      <c r="C280" s="6" t="s">
        <v>23</v>
      </c>
      <c r="D280" s="6" t="s">
        <v>32</v>
      </c>
      <c r="E280" s="8">
        <v>44733</v>
      </c>
      <c r="F280" s="6" t="s">
        <v>6</v>
      </c>
      <c r="G280" s="6" t="s">
        <v>36</v>
      </c>
      <c r="H280" s="3" t="s">
        <v>10</v>
      </c>
      <c r="I280" s="2">
        <v>10.5</v>
      </c>
      <c r="J280" s="2">
        <v>25.5</v>
      </c>
      <c r="K280" s="1" t="str">
        <f>VLOOKUP(Table1[[#This Row],[Species ]],eq!$A$3:$B$13,2,)</f>
        <v>((0.0294*(X4^1.8357)*X2^0.864)+(0.0053*(X4^2.0876)*X2^0.5842)+(0.0117*(X4^3.5097)*X2^-1.3006)+(0.1245*(X4^2.523)*X2^-1.123))*1000</v>
      </c>
      <c r="L280" s="1" t="str">
        <f t="shared" si="12"/>
        <v>((0.0294*(25.5^1.8357)*10.5^0.864)+(0.0053*(25.5^2.0876)*10.5^0.5842)+(0.0117*(25.5^3.5097)*10.5^-1.3006)+(0.1245*(25.5^2.523)*10.5^-1.123))*1000</v>
      </c>
      <c r="M280" s="1" cm="1">
        <f t="array" ref="M280">eval_tr</f>
        <v>182606.8043364849</v>
      </c>
      <c r="N280" s="1">
        <f t="shared" si="13"/>
        <v>182606.8043364849</v>
      </c>
      <c r="O280" s="1" t="str">
        <f t="shared" si="14"/>
        <v>TN-31-EX</v>
      </c>
      <c r="P280" s="1">
        <f>VLOOKUP(O280,teams!$A$1:$B$47,2,)</f>
        <v>1</v>
      </c>
    </row>
    <row r="281" spans="1:16" ht="15.75" customHeight="1" x14ac:dyDescent="0.15">
      <c r="A281" s="6" t="s">
        <v>3</v>
      </c>
      <c r="B281" s="6">
        <v>31</v>
      </c>
      <c r="C281" s="6" t="s">
        <v>23</v>
      </c>
      <c r="D281" s="6" t="s">
        <v>32</v>
      </c>
      <c r="E281" s="8">
        <v>44733</v>
      </c>
      <c r="F281" s="6" t="s">
        <v>6</v>
      </c>
      <c r="G281" s="6" t="s">
        <v>36</v>
      </c>
      <c r="H281" s="3" t="s">
        <v>10</v>
      </c>
      <c r="I281" s="2">
        <v>9</v>
      </c>
      <c r="J281" s="2">
        <v>29.5</v>
      </c>
      <c r="K281" s="1" t="str">
        <f>VLOOKUP(Table1[[#This Row],[Species ]],eq!$A$3:$B$13,2,)</f>
        <v>((0.0294*(X4^1.8357)*X2^0.864)+(0.0053*(X4^2.0876)*X2^0.5842)+(0.0117*(X4^3.5097)*X2^-1.3006)+(0.1245*(X4^2.523)*X2^-1.123))*1000</v>
      </c>
      <c r="L281" s="1" t="str">
        <f t="shared" si="12"/>
        <v>((0.0294*(29.5^1.8357)*9^0.864)+(0.0053*(29.5^2.0876)*9^0.5842)+(0.0117*(29.5^3.5097)*9^-1.3006)+(0.1245*(29.5^2.523)*9^-1.123))*1000</v>
      </c>
      <c r="M281" s="1" cm="1">
        <f t="array" ref="M281">eval_tr</f>
        <v>271044.57214944815</v>
      </c>
      <c r="N281" s="1">
        <f t="shared" si="13"/>
        <v>271044.57214944815</v>
      </c>
      <c r="O281" s="1" t="str">
        <f t="shared" si="14"/>
        <v>TN-31-EX</v>
      </c>
      <c r="P281" s="1">
        <f>VLOOKUP(O281,teams!$A$1:$B$47,2,)</f>
        <v>1</v>
      </c>
    </row>
    <row r="282" spans="1:16" ht="15.75" customHeight="1" x14ac:dyDescent="0.15">
      <c r="A282" s="6" t="s">
        <v>3</v>
      </c>
      <c r="B282" s="6">
        <v>31</v>
      </c>
      <c r="C282" s="6" t="s">
        <v>23</v>
      </c>
      <c r="D282" s="6" t="s">
        <v>32</v>
      </c>
      <c r="E282" s="8">
        <v>44733</v>
      </c>
      <c r="F282" s="6" t="s">
        <v>9</v>
      </c>
      <c r="G282" s="6" t="s">
        <v>37</v>
      </c>
      <c r="H282" s="3" t="s">
        <v>10</v>
      </c>
      <c r="I282" s="2">
        <v>15</v>
      </c>
      <c r="J282" s="2">
        <v>30</v>
      </c>
      <c r="K282" s="1" t="str">
        <f>VLOOKUP(Table1[[#This Row],[Species ]],eq!$A$3:$B$13,2,)</f>
        <v>((0.0294*(X4^1.8357)*X2^0.864)+(0.0053*(X4^2.0876)*X2^0.5842)+(0.0117*(X4^3.5097)*X2^-1.3006)+(0.1245*(X4^2.523)*X2^-1.123))*1000</v>
      </c>
      <c r="L282" s="1" t="str">
        <f t="shared" si="12"/>
        <v>((0.0294*(30^1.8357)*15^0.864)+(0.0053*(30^2.0876)*15^0.5842)+(0.0117*(30^3.5097)*15^-1.3006)+(0.1245*(30^2.523)*15^-1.123))*1000</v>
      </c>
      <c r="M282" s="1" cm="1">
        <f t="array" ref="M282">eval_tr</f>
        <v>272843.05391861731</v>
      </c>
      <c r="N282" s="1">
        <f t="shared" si="13"/>
        <v>272843.05391861731</v>
      </c>
      <c r="O282" s="1" t="str">
        <f t="shared" si="14"/>
        <v>TN-31-EX</v>
      </c>
      <c r="P282" s="1">
        <f>VLOOKUP(O282,teams!$A$1:$B$47,2,)</f>
        <v>1</v>
      </c>
    </row>
    <row r="283" spans="1:16" ht="15.75" customHeight="1" x14ac:dyDescent="0.15">
      <c r="A283" s="6" t="s">
        <v>3</v>
      </c>
      <c r="B283" s="6">
        <v>31</v>
      </c>
      <c r="C283" s="6" t="s">
        <v>23</v>
      </c>
      <c r="D283" s="6" t="s">
        <v>32</v>
      </c>
      <c r="E283" s="8">
        <v>44733</v>
      </c>
      <c r="F283" s="6" t="s">
        <v>7</v>
      </c>
      <c r="G283" s="6" t="s">
        <v>34</v>
      </c>
      <c r="H283" s="3" t="s">
        <v>8</v>
      </c>
      <c r="I283" s="2">
        <v>10</v>
      </c>
      <c r="J283" s="2">
        <v>33.75</v>
      </c>
      <c r="K283" s="1" t="str">
        <f>VLOOKUP(Table1[[#This Row],[Species ]],eq!$A$3:$B$13,2,)</f>
        <v>((0.0309*(X4^1.7527)*X2^1.0014)+(0.0115*(X4^1.7405)*X2^0.6589)+(0.038*(X4^3.2558)*X2^-1.4218)+(0.2048*(X4^2.5754)*X2^-1.3704))*1000</v>
      </c>
      <c r="L283" s="1" t="str">
        <f t="shared" si="12"/>
        <v>((0.0309*(33.75^1.7527)*10^1.0014)+(0.0115*(33.75^1.7405)*10^0.6589)+(0.038*(33.75^3.2558)*10^-1.4218)+(0.2048*(33.75^2.5754)*10^-1.3704))*1000</v>
      </c>
      <c r="M283" s="1" cm="1">
        <f t="array" ref="M283">eval_tr</f>
        <v>383233.5494778452</v>
      </c>
      <c r="N283" s="1">
        <f t="shared" si="13"/>
        <v>383233.5494778452</v>
      </c>
      <c r="O283" s="1" t="str">
        <f t="shared" si="14"/>
        <v>TN-31-EX</v>
      </c>
      <c r="P283" s="1">
        <f>VLOOKUP(O283,teams!$A$1:$B$47,2,)</f>
        <v>1</v>
      </c>
    </row>
    <row r="284" spans="1:16" ht="15.75" customHeight="1" x14ac:dyDescent="0.15">
      <c r="A284" s="6" t="s">
        <v>3</v>
      </c>
      <c r="B284" s="6">
        <v>31</v>
      </c>
      <c r="C284" s="6" t="s">
        <v>23</v>
      </c>
      <c r="D284" s="6" t="s">
        <v>32</v>
      </c>
      <c r="E284" s="8">
        <v>44733</v>
      </c>
      <c r="F284" s="6" t="s">
        <v>5</v>
      </c>
      <c r="G284" s="6" t="s">
        <v>35</v>
      </c>
      <c r="H284" s="3" t="s">
        <v>10</v>
      </c>
      <c r="I284" s="2">
        <v>12</v>
      </c>
      <c r="J284" s="2">
        <v>36</v>
      </c>
      <c r="K284" s="1" t="str">
        <f>VLOOKUP(Table1[[#This Row],[Species ]],eq!$A$3:$B$13,2,)</f>
        <v>((0.0294*(X4^1.8357)*X2^0.864)+(0.0053*(X4^2.0876)*X2^0.5842)+(0.0117*(X4^3.5097)*X2^-1.3006)+(0.1245*(X4^2.523)*X2^-1.123))*1000</v>
      </c>
      <c r="L284" s="1" t="str">
        <f t="shared" si="12"/>
        <v>((0.0294*(36^1.8357)*12^0.864)+(0.0053*(36^2.0876)*12^0.5842)+(0.0117*(36^3.5097)*12^-1.3006)+(0.1245*(36^2.523)*12^-1.123))*1000</v>
      </c>
      <c r="M284" s="1" cm="1">
        <f t="array" ref="M284">eval_tr</f>
        <v>419571.34861705452</v>
      </c>
      <c r="N284" s="1">
        <f t="shared" si="13"/>
        <v>419571.34861705452</v>
      </c>
      <c r="O284" s="1" t="str">
        <f t="shared" si="14"/>
        <v>TN-31-EX</v>
      </c>
      <c r="P284" s="1">
        <f>VLOOKUP(O284,teams!$A$1:$B$47,2,)</f>
        <v>1</v>
      </c>
    </row>
    <row r="285" spans="1:16" ht="15.75" customHeight="1" x14ac:dyDescent="0.15">
      <c r="A285" s="5" t="s">
        <v>3</v>
      </c>
      <c r="B285" s="5">
        <v>32</v>
      </c>
      <c r="C285" s="5" t="s">
        <v>21</v>
      </c>
      <c r="D285" s="6" t="s">
        <v>32</v>
      </c>
      <c r="E285" s="7">
        <v>44725</v>
      </c>
      <c r="F285" s="5" t="s">
        <v>6</v>
      </c>
      <c r="G285" s="5" t="s">
        <v>36</v>
      </c>
      <c r="H285" s="3" t="s">
        <v>8</v>
      </c>
      <c r="I285" s="4">
        <v>8.5</v>
      </c>
      <c r="J285" s="4">
        <v>28</v>
      </c>
      <c r="K285" s="1" t="str">
        <f>VLOOKUP(Table1[[#This Row],[Species ]],eq!$A$3:$B$13,2,)</f>
        <v>((0.0309*(X4^1.7527)*X2^1.0014)+(0.0115*(X4^1.7405)*X2^0.6589)+(0.038*(X4^3.2558)*X2^-1.4218)+(0.2048*(X4^2.5754)*X2^-1.3704))*1000</v>
      </c>
      <c r="L285" s="1" t="str">
        <f t="shared" si="12"/>
        <v>((0.0309*(28^1.7527)*8.5^1.0014)+(0.0115*(28^1.7405)*8.5^0.6589)+(0.038*(28^3.2558)*8.5^-1.4218)+(0.2048*(28^2.5754)*8.5^-1.3704))*1000</v>
      </c>
      <c r="M285" s="1" cm="1">
        <f t="array" ref="M285">eval_tr</f>
        <v>257641.08377040664</v>
      </c>
      <c r="N285" s="1">
        <f t="shared" si="13"/>
        <v>257641.08377040664</v>
      </c>
      <c r="O285" s="1" t="str">
        <f t="shared" si="14"/>
        <v>TN-32-NA</v>
      </c>
      <c r="P285" s="1">
        <f>VLOOKUP(O285,teams!$A$1:$B$47,2,)</f>
        <v>2</v>
      </c>
    </row>
    <row r="286" spans="1:16" ht="15.75" customHeight="1" x14ac:dyDescent="0.15">
      <c r="A286" s="5" t="s">
        <v>3</v>
      </c>
      <c r="B286" s="5">
        <v>32</v>
      </c>
      <c r="C286" s="5" t="s">
        <v>21</v>
      </c>
      <c r="D286" s="6" t="s">
        <v>32</v>
      </c>
      <c r="E286" s="7">
        <v>44725</v>
      </c>
      <c r="F286" s="5" t="s">
        <v>6</v>
      </c>
      <c r="G286" s="5" t="s">
        <v>36</v>
      </c>
      <c r="H286" s="3" t="s">
        <v>8</v>
      </c>
      <c r="I286" s="4">
        <v>8.6</v>
      </c>
      <c r="J286" s="4">
        <v>29.5</v>
      </c>
      <c r="K286" s="1" t="str">
        <f>VLOOKUP(Table1[[#This Row],[Species ]],eq!$A$3:$B$13,2,)</f>
        <v>((0.0309*(X4^1.7527)*X2^1.0014)+(0.0115*(X4^1.7405)*X2^0.6589)+(0.038*(X4^3.2558)*X2^-1.4218)+(0.2048*(X4^2.5754)*X2^-1.3704))*1000</v>
      </c>
      <c r="L286" s="1" t="str">
        <f t="shared" si="12"/>
        <v>((0.0309*(29.5^1.7527)*8.6^1.0014)+(0.0115*(29.5^1.7405)*8.6^0.6589)+(0.038*(29.5^3.2558)*8.6^-1.4218)+(0.2048*(29.5^2.5754)*8.6^-1.3704))*1000</v>
      </c>
      <c r="M286" s="1" cm="1">
        <f t="array" ref="M286">eval_tr</f>
        <v>291866.80542808276</v>
      </c>
      <c r="N286" s="1">
        <f t="shared" si="13"/>
        <v>291866.80542808276</v>
      </c>
      <c r="O286" s="1" t="str">
        <f t="shared" si="14"/>
        <v>TN-32-NA</v>
      </c>
      <c r="P286" s="1">
        <f>VLOOKUP(O286,teams!$A$1:$B$47,2,)</f>
        <v>2</v>
      </c>
    </row>
    <row r="287" spans="1:16" ht="15.75" customHeight="1" x14ac:dyDescent="0.15">
      <c r="A287" s="5" t="s">
        <v>3</v>
      </c>
      <c r="B287" s="5">
        <v>32</v>
      </c>
      <c r="C287" s="5" t="s">
        <v>21</v>
      </c>
      <c r="D287" s="6" t="s">
        <v>32</v>
      </c>
      <c r="E287" s="7">
        <v>44725</v>
      </c>
      <c r="F287" s="5" t="s">
        <v>5</v>
      </c>
      <c r="G287" s="5" t="s">
        <v>35</v>
      </c>
      <c r="H287" s="3" t="s">
        <v>8</v>
      </c>
      <c r="I287" s="4">
        <v>11.4</v>
      </c>
      <c r="J287" s="4">
        <v>31.75</v>
      </c>
      <c r="K287" s="1" t="str">
        <f>VLOOKUP(Table1[[#This Row],[Species ]],eq!$A$3:$B$13,2,)</f>
        <v>((0.0309*(X4^1.7527)*X2^1.0014)+(0.0115*(X4^1.7405)*X2^0.6589)+(0.038*(X4^3.2558)*X2^-1.4218)+(0.2048*(X4^2.5754)*X2^-1.3704))*1000</v>
      </c>
      <c r="L287" s="1" t="str">
        <f t="shared" si="12"/>
        <v>((0.0309*(31.75^1.7527)*11.4^1.0014)+(0.0115*(31.75^1.7405)*11.4^0.6589)+(0.038*(31.75^3.2558)*11.4^-1.4218)+(0.2048*(31.75^2.5754)*11.4^-1.3704))*1000</v>
      </c>
      <c r="M287" s="1" cm="1">
        <f t="array" ref="M287">eval_tr</f>
        <v>321338.68512488797</v>
      </c>
      <c r="N287" s="1">
        <f t="shared" si="13"/>
        <v>321338.68512488797</v>
      </c>
      <c r="O287" s="1" t="str">
        <f t="shared" si="14"/>
        <v>TN-32-NA</v>
      </c>
      <c r="P287" s="1">
        <f>VLOOKUP(O287,teams!$A$1:$B$47,2,)</f>
        <v>2</v>
      </c>
    </row>
    <row r="288" spans="1:16" ht="15.75" customHeight="1" x14ac:dyDescent="0.15">
      <c r="A288" s="5" t="s">
        <v>3</v>
      </c>
      <c r="B288" s="5">
        <v>32</v>
      </c>
      <c r="C288" s="5" t="s">
        <v>21</v>
      </c>
      <c r="D288" s="6" t="s">
        <v>32</v>
      </c>
      <c r="E288" s="7">
        <v>44725</v>
      </c>
      <c r="F288" s="5" t="s">
        <v>5</v>
      </c>
      <c r="G288" s="5" t="s">
        <v>35</v>
      </c>
      <c r="H288" s="5" t="s">
        <v>8</v>
      </c>
      <c r="I288" s="4">
        <v>14.4</v>
      </c>
      <c r="J288" s="4">
        <v>33.5</v>
      </c>
      <c r="K288" s="1" t="str">
        <f>VLOOKUP(Table1[[#This Row],[Species ]],eq!$A$3:$B$13,2,)</f>
        <v>((0.0309*(X4^1.7527)*X2^1.0014)+(0.0115*(X4^1.7405)*X2^0.6589)+(0.038*(X4^3.2558)*X2^-1.4218)+(0.2048*(X4^2.5754)*X2^-1.3704))*1000</v>
      </c>
      <c r="L288" s="1" t="str">
        <f t="shared" si="12"/>
        <v>((0.0309*(33.5^1.7527)*14.4^1.0014)+(0.0115*(33.5^1.7405)*14.4^0.6589)+(0.038*(33.5^3.2558)*14.4^-1.4218)+(0.2048*(33.5^2.5754)*14.4^-1.3704))*1000</v>
      </c>
      <c r="M288" s="1" cm="1">
        <f t="array" ref="M288">eval_tr</f>
        <v>364307.94356826058</v>
      </c>
      <c r="N288" s="1">
        <f t="shared" si="13"/>
        <v>364307.94356826058</v>
      </c>
      <c r="O288" s="1" t="str">
        <f t="shared" si="14"/>
        <v>TN-32-NA</v>
      </c>
      <c r="P288" s="1">
        <f>VLOOKUP(O288,teams!$A$1:$B$47,2,)</f>
        <v>2</v>
      </c>
    </row>
    <row r="289" spans="1:16" ht="15.75" customHeight="1" x14ac:dyDescent="0.15">
      <c r="A289" s="5" t="s">
        <v>3</v>
      </c>
      <c r="B289" s="5">
        <v>32</v>
      </c>
      <c r="C289" s="5" t="s">
        <v>21</v>
      </c>
      <c r="D289" s="6" t="s">
        <v>32</v>
      </c>
      <c r="E289" s="7">
        <v>44725</v>
      </c>
      <c r="F289" s="5" t="s">
        <v>7</v>
      </c>
      <c r="G289" s="5" t="s">
        <v>34</v>
      </c>
      <c r="H289" s="3" t="s">
        <v>8</v>
      </c>
      <c r="I289" s="4">
        <v>9.1999999999999993</v>
      </c>
      <c r="J289" s="4">
        <v>46</v>
      </c>
      <c r="K289" s="1" t="str">
        <f>VLOOKUP(Table1[[#This Row],[Species ]],eq!$A$3:$B$13,2,)</f>
        <v>((0.0309*(X4^1.7527)*X2^1.0014)+(0.0115*(X4^1.7405)*X2^0.6589)+(0.038*(X4^3.2558)*X2^-1.4218)+(0.2048*(X4^2.5754)*X2^-1.3704))*1000</v>
      </c>
      <c r="L289" s="1" t="str">
        <f t="shared" si="12"/>
        <v>((0.0309*(46^1.7527)*9.2^1.0014)+(0.0115*(46^1.7405)*9.2^0.6589)+(0.038*(46^3.2558)*9.2^-1.4218)+(0.2048*(46^2.5754)*9.2^-1.3704))*1000</v>
      </c>
      <c r="M289" s="1" cm="1">
        <f t="array" ref="M289">eval_tr</f>
        <v>880244.89877627161</v>
      </c>
      <c r="N289" s="1">
        <f t="shared" si="13"/>
        <v>880244.89877627161</v>
      </c>
      <c r="O289" s="1" t="str">
        <f t="shared" si="14"/>
        <v>TN-32-NA</v>
      </c>
      <c r="P289" s="1">
        <f>VLOOKUP(O289,teams!$A$1:$B$47,2,)</f>
        <v>2</v>
      </c>
    </row>
    <row r="290" spans="1:16" ht="15.75" customHeight="1" x14ac:dyDescent="0.15">
      <c r="A290" s="5" t="s">
        <v>3</v>
      </c>
      <c r="B290" s="5">
        <v>32</v>
      </c>
      <c r="C290" s="5" t="s">
        <v>21</v>
      </c>
      <c r="D290" s="6" t="s">
        <v>32</v>
      </c>
      <c r="E290" s="7">
        <v>44725</v>
      </c>
      <c r="F290" s="5" t="s">
        <v>6</v>
      </c>
      <c r="G290" s="5" t="s">
        <v>36</v>
      </c>
      <c r="H290" s="3" t="s">
        <v>8</v>
      </c>
      <c r="I290" s="4">
        <v>9.9</v>
      </c>
      <c r="J290" s="4">
        <v>48.1</v>
      </c>
      <c r="K290" s="1" t="str">
        <f>VLOOKUP(Table1[[#This Row],[Species ]],eq!$A$3:$B$13,2,)</f>
        <v>((0.0309*(X4^1.7527)*X2^1.0014)+(0.0115*(X4^1.7405)*X2^0.6589)+(0.038*(X4^3.2558)*X2^-1.4218)+(0.2048*(X4^2.5754)*X2^-1.3704))*1000</v>
      </c>
      <c r="L290" s="1" t="str">
        <f t="shared" si="12"/>
        <v>((0.0309*(48.1^1.7527)*9.9^1.0014)+(0.0115*(48.1^1.7405)*9.9^0.6589)+(0.038*(48.1^3.2558)*9.9^-1.4218)+(0.2048*(48.1^2.5754)*9.9^-1.3704))*1000</v>
      </c>
      <c r="M290" s="1" cm="1">
        <f t="array" ref="M290">eval_tr</f>
        <v>944147.51163495728</v>
      </c>
      <c r="N290" s="1">
        <f t="shared" si="13"/>
        <v>944147.51163495728</v>
      </c>
      <c r="O290" s="1" t="str">
        <f t="shared" si="14"/>
        <v>TN-32-NA</v>
      </c>
      <c r="P290" s="1">
        <f>VLOOKUP(O290,teams!$A$1:$B$47,2,)</f>
        <v>2</v>
      </c>
    </row>
    <row r="291" spans="1:16" ht="15.75" customHeight="1" x14ac:dyDescent="0.15">
      <c r="A291" s="5" t="s">
        <v>3</v>
      </c>
      <c r="B291" s="5">
        <v>32</v>
      </c>
      <c r="C291" s="5" t="s">
        <v>21</v>
      </c>
      <c r="D291" s="6" t="s">
        <v>32</v>
      </c>
      <c r="E291" s="7">
        <v>44725</v>
      </c>
      <c r="F291" s="5" t="s">
        <v>9</v>
      </c>
      <c r="G291" s="5" t="s">
        <v>37</v>
      </c>
      <c r="H291" s="5" t="s">
        <v>21</v>
      </c>
      <c r="I291" s="4" t="s">
        <v>21</v>
      </c>
      <c r="J291" s="4" t="s">
        <v>21</v>
      </c>
      <c r="K291" s="1" t="e">
        <f>VLOOKUP(Table1[[#This Row],[Species ]],eq!$A$3:$B$13,2,)</f>
        <v>#N/A</v>
      </c>
      <c r="L291" s="1" t="e">
        <f t="shared" si="12"/>
        <v>#N/A</v>
      </c>
      <c r="M291" s="1" t="e" cm="1">
        <f t="array" ref="M291">eval_tr</f>
        <v>#N/A</v>
      </c>
      <c r="N291" s="1">
        <f t="shared" si="13"/>
        <v>0</v>
      </c>
      <c r="O291" s="1" t="str">
        <f t="shared" si="14"/>
        <v>TN-32-NA</v>
      </c>
      <c r="P291" s="1">
        <f>VLOOKUP(O291,teams!$A$1:$B$47,2,)</f>
        <v>2</v>
      </c>
    </row>
    <row r="292" spans="1:16" ht="15.75" customHeight="1" x14ac:dyDescent="0.15">
      <c r="A292" s="5" t="s">
        <v>3</v>
      </c>
      <c r="B292" s="5">
        <v>33</v>
      </c>
      <c r="C292" s="5" t="s">
        <v>21</v>
      </c>
      <c r="D292" s="6" t="s">
        <v>32</v>
      </c>
      <c r="E292" s="7">
        <v>44725</v>
      </c>
      <c r="F292" s="5" t="s">
        <v>6</v>
      </c>
      <c r="G292" s="5" t="s">
        <v>36</v>
      </c>
      <c r="H292" s="3" t="s">
        <v>10</v>
      </c>
      <c r="I292" s="4">
        <v>8.3000000000000007</v>
      </c>
      <c r="J292" s="4">
        <v>13.5</v>
      </c>
      <c r="K292" s="1" t="str">
        <f>VLOOKUP(Table1[[#This Row],[Species ]],eq!$A$3:$B$13,2,)</f>
        <v>((0.0294*(X4^1.8357)*X2^0.864)+(0.0053*(X4^2.0876)*X2^0.5842)+(0.0117*(X4^3.5097)*X2^-1.3006)+(0.1245*(X4^2.523)*X2^-1.123))*1000</v>
      </c>
      <c r="L292" s="1" t="str">
        <f t="shared" si="12"/>
        <v>((0.0294*(13.5^1.8357)*8.3^0.864)+(0.0053*(13.5^2.0876)*8.3^0.5842)+(0.0117*(13.5^3.5097)*8.3^-1.3006)+(0.1245*(13.5^2.523)*8.3^-1.123))*1000</v>
      </c>
      <c r="M292" s="1" cm="1">
        <f t="array" ref="M292">eval_tr</f>
        <v>41061.314604189152</v>
      </c>
      <c r="N292" s="1">
        <f t="shared" si="13"/>
        <v>41061.314604189152</v>
      </c>
      <c r="O292" s="1" t="str">
        <f t="shared" si="14"/>
        <v>TN-33-NA</v>
      </c>
      <c r="P292" s="1">
        <f>VLOOKUP(O292,teams!$A$1:$B$47,2,)</f>
        <v>1</v>
      </c>
    </row>
    <row r="293" spans="1:16" ht="15.75" customHeight="1" x14ac:dyDescent="0.15">
      <c r="A293" s="5" t="s">
        <v>3</v>
      </c>
      <c r="B293" s="5">
        <v>33</v>
      </c>
      <c r="C293" s="5" t="s">
        <v>21</v>
      </c>
      <c r="D293" s="6" t="s">
        <v>32</v>
      </c>
      <c r="E293" s="7">
        <v>44725</v>
      </c>
      <c r="F293" s="5" t="s">
        <v>6</v>
      </c>
      <c r="G293" s="5" t="s">
        <v>36</v>
      </c>
      <c r="H293" s="3" t="s">
        <v>8</v>
      </c>
      <c r="I293" s="4">
        <v>11.4</v>
      </c>
      <c r="J293" s="4">
        <v>21</v>
      </c>
      <c r="K293" s="1" t="str">
        <f>VLOOKUP(Table1[[#This Row],[Species ]],eq!$A$3:$B$13,2,)</f>
        <v>((0.0309*(X4^1.7527)*X2^1.0014)+(0.0115*(X4^1.7405)*X2^0.6589)+(0.038*(X4^3.2558)*X2^-1.4218)+(0.2048*(X4^2.5754)*X2^-1.3704))*1000</v>
      </c>
      <c r="L293" s="1" t="str">
        <f t="shared" si="12"/>
        <v>((0.0309*(21^1.7527)*11.4^1.0014)+(0.0115*(21^1.7405)*11.4^0.6589)+(0.038*(21^3.2558)*11.4^-1.4218)+(0.2048*(21^2.5754)*11.4^-1.3704))*1000</v>
      </c>
      <c r="M293" s="1" cm="1">
        <f t="array" ref="M293">eval_tr</f>
        <v>127496.92416896607</v>
      </c>
      <c r="N293" s="1">
        <f t="shared" si="13"/>
        <v>127496.92416896607</v>
      </c>
      <c r="O293" s="1" t="str">
        <f t="shared" si="14"/>
        <v>TN-33-NA</v>
      </c>
      <c r="P293" s="1">
        <f>VLOOKUP(O293,teams!$A$1:$B$47,2,)</f>
        <v>1</v>
      </c>
    </row>
    <row r="294" spans="1:16" ht="15.75" customHeight="1" x14ac:dyDescent="0.15">
      <c r="A294" s="5" t="s">
        <v>3</v>
      </c>
      <c r="B294" s="5">
        <v>33</v>
      </c>
      <c r="C294" s="5" t="s">
        <v>21</v>
      </c>
      <c r="D294" s="6" t="s">
        <v>32</v>
      </c>
      <c r="E294" s="7">
        <v>44725</v>
      </c>
      <c r="F294" s="5" t="s">
        <v>9</v>
      </c>
      <c r="G294" s="5" t="s">
        <v>37</v>
      </c>
      <c r="H294" s="3" t="s">
        <v>10</v>
      </c>
      <c r="I294" s="4">
        <v>11</v>
      </c>
      <c r="J294" s="4">
        <v>28.5</v>
      </c>
      <c r="K294" s="1" t="str">
        <f>VLOOKUP(Table1[[#This Row],[Species ]],eq!$A$3:$B$13,2,)</f>
        <v>((0.0294*(X4^1.8357)*X2^0.864)+(0.0053*(X4^2.0876)*X2^0.5842)+(0.0117*(X4^3.5097)*X2^-1.3006)+(0.1245*(X4^2.523)*X2^-1.123))*1000</v>
      </c>
      <c r="L294" s="1" t="str">
        <f t="shared" si="12"/>
        <v>((0.0294*(28.5^1.8357)*11^0.864)+(0.0053*(28.5^2.0876)*11^0.5842)+(0.0117*(28.5^3.5097)*11^-1.3006)+(0.1245*(28.5^2.523)*11^-1.123))*1000</v>
      </c>
      <c r="M294" s="1" cm="1">
        <f t="array" ref="M294">eval_tr</f>
        <v>238279.74147537648</v>
      </c>
      <c r="N294" s="1">
        <f t="shared" si="13"/>
        <v>238279.74147537648</v>
      </c>
      <c r="O294" s="1" t="str">
        <f t="shared" si="14"/>
        <v>TN-33-NA</v>
      </c>
      <c r="P294" s="1">
        <f>VLOOKUP(O294,teams!$A$1:$B$47,2,)</f>
        <v>1</v>
      </c>
    </row>
    <row r="295" spans="1:16" ht="15.75" customHeight="1" x14ac:dyDescent="0.15">
      <c r="A295" s="5" t="s">
        <v>3</v>
      </c>
      <c r="B295" s="5">
        <v>33</v>
      </c>
      <c r="C295" s="5" t="s">
        <v>21</v>
      </c>
      <c r="D295" s="6" t="s">
        <v>32</v>
      </c>
      <c r="E295" s="7">
        <v>44725</v>
      </c>
      <c r="F295" s="5" t="s">
        <v>5</v>
      </c>
      <c r="G295" s="5" t="s">
        <v>35</v>
      </c>
      <c r="H295" s="5" t="s">
        <v>21</v>
      </c>
      <c r="I295" s="4" t="s">
        <v>21</v>
      </c>
      <c r="J295" s="4" t="s">
        <v>21</v>
      </c>
      <c r="K295" s="1" t="e">
        <f>VLOOKUP(Table1[[#This Row],[Species ]],eq!$A$3:$B$13,2,)</f>
        <v>#N/A</v>
      </c>
      <c r="L295" s="1" t="e">
        <f t="shared" si="12"/>
        <v>#N/A</v>
      </c>
      <c r="M295" s="1" t="e" cm="1">
        <f t="array" ref="M295">eval_tr</f>
        <v>#N/A</v>
      </c>
      <c r="N295" s="1">
        <f t="shared" si="13"/>
        <v>0</v>
      </c>
      <c r="O295" s="1" t="str">
        <f t="shared" si="14"/>
        <v>TN-33-NA</v>
      </c>
      <c r="P295" s="1">
        <f>VLOOKUP(O295,teams!$A$1:$B$47,2,)</f>
        <v>1</v>
      </c>
    </row>
    <row r="296" spans="1:16" ht="15.75" customHeight="1" x14ac:dyDescent="0.15">
      <c r="A296" s="5" t="s">
        <v>3</v>
      </c>
      <c r="B296" s="5">
        <v>33</v>
      </c>
      <c r="C296" s="5" t="s">
        <v>21</v>
      </c>
      <c r="D296" s="6" t="s">
        <v>32</v>
      </c>
      <c r="E296" s="7">
        <v>44725</v>
      </c>
      <c r="F296" s="5" t="s">
        <v>7</v>
      </c>
      <c r="G296" s="5" t="s">
        <v>34</v>
      </c>
      <c r="H296" s="5" t="s">
        <v>21</v>
      </c>
      <c r="I296" s="4" t="s">
        <v>21</v>
      </c>
      <c r="J296" s="4" t="s">
        <v>21</v>
      </c>
      <c r="K296" s="1" t="e">
        <f>VLOOKUP(Table1[[#This Row],[Species ]],eq!$A$3:$B$13,2,)</f>
        <v>#N/A</v>
      </c>
      <c r="L296" s="1" t="e">
        <f t="shared" si="12"/>
        <v>#N/A</v>
      </c>
      <c r="M296" s="1" t="e" cm="1">
        <f t="array" ref="M296">eval_tr</f>
        <v>#N/A</v>
      </c>
      <c r="N296" s="1">
        <f t="shared" si="13"/>
        <v>0</v>
      </c>
      <c r="O296" s="1" t="str">
        <f t="shared" si="14"/>
        <v>TN-33-NA</v>
      </c>
      <c r="P296" s="1">
        <f>VLOOKUP(O296,teams!$A$1:$B$47,2,)</f>
        <v>1</v>
      </c>
    </row>
    <row r="297" spans="1:16" ht="15.75" customHeight="1" x14ac:dyDescent="0.15">
      <c r="A297" s="5" t="s">
        <v>3</v>
      </c>
      <c r="B297" s="5">
        <v>34</v>
      </c>
      <c r="C297" s="5" t="s">
        <v>22</v>
      </c>
      <c r="D297" s="6" t="s">
        <v>32</v>
      </c>
      <c r="E297" s="7">
        <v>44732</v>
      </c>
      <c r="F297" s="5" t="s">
        <v>7</v>
      </c>
      <c r="G297" s="5" t="s">
        <v>34</v>
      </c>
      <c r="H297" s="3" t="s">
        <v>10</v>
      </c>
      <c r="I297" s="4">
        <v>3.3</v>
      </c>
      <c r="J297" s="4">
        <v>3.8</v>
      </c>
      <c r="K297" s="1" t="str">
        <f>VLOOKUP(Table1[[#This Row],[Species ]],eq!$A$3:$B$13,2,)</f>
        <v>((0.0294*(X4^1.8357)*X2^0.864)+(0.0053*(X4^2.0876)*X2^0.5842)+(0.0117*(X4^3.5097)*X2^-1.3006)+(0.1245*(X4^2.523)*X2^-1.123))*1000</v>
      </c>
      <c r="L297" s="1" t="str">
        <f t="shared" si="12"/>
        <v>((0.0294*(3.8^1.8357)*3.3^0.864)+(0.0053*(3.8^2.0876)*3.3^0.5842)+(0.0117*(3.8^3.5097)*3.3^-1.3006)+(0.1245*(3.8^2.523)*3.3^-1.123))*1000</v>
      </c>
      <c r="M297" s="1" cm="1">
        <f t="array" ref="M297">eval_tr</f>
        <v>2343.0849761226855</v>
      </c>
      <c r="N297" s="1">
        <f t="shared" si="13"/>
        <v>2343.0849761226855</v>
      </c>
      <c r="O297" s="1" t="str">
        <f t="shared" si="14"/>
        <v>TN-34-CTRL</v>
      </c>
      <c r="P297" s="1">
        <f>VLOOKUP(O297,teams!$A$1:$B$47,2,)</f>
        <v>2</v>
      </c>
    </row>
    <row r="298" spans="1:16" ht="15.75" customHeight="1" x14ac:dyDescent="0.15">
      <c r="A298" s="5" t="s">
        <v>3</v>
      </c>
      <c r="B298" s="5">
        <v>34</v>
      </c>
      <c r="C298" s="5" t="s">
        <v>22</v>
      </c>
      <c r="D298" s="6" t="s">
        <v>32</v>
      </c>
      <c r="E298" s="7">
        <v>44732</v>
      </c>
      <c r="F298" s="5" t="s">
        <v>7</v>
      </c>
      <c r="G298" s="5" t="s">
        <v>34</v>
      </c>
      <c r="H298" s="5" t="s">
        <v>16</v>
      </c>
      <c r="I298" s="4">
        <v>14.2</v>
      </c>
      <c r="J298" s="4">
        <v>33.200000000000003</v>
      </c>
      <c r="K298" s="1" t="str">
        <f>VLOOKUP(Table1[[#This Row],[Species ]],eq!$A$3:$B$13,2,)</f>
        <v>((0.0117*(X4^1.7757)*X2^1.2555)+(0.018*(X4^1.8131)*X2^0.5144)+(0.0112*(X4^3.0861)*X2^-0.7164)+(0.0617*(X4^1.8615)*X2^-0.5375))*1000</v>
      </c>
      <c r="L298" s="1" t="str">
        <f t="shared" si="12"/>
        <v>((0.0117*(33.2^1.7757)*14.2^1.2555)+(0.018*(33.2^1.8131)*14.2^0.5144)+(0.0112*(33.2^3.0861)*14.2^-0.7164)+(0.0617*(33.2^1.8615)*14.2^-0.5375))*1000</v>
      </c>
      <c r="M298" s="1" cm="1">
        <f t="array" ref="M298">eval_tr</f>
        <v>297660.73291499924</v>
      </c>
      <c r="N298" s="1">
        <f t="shared" si="13"/>
        <v>297660.73291499924</v>
      </c>
      <c r="O298" s="1" t="str">
        <f t="shared" si="14"/>
        <v>TN-34-CTRL</v>
      </c>
      <c r="P298" s="1">
        <f>VLOOKUP(O298,teams!$A$1:$B$47,2,)</f>
        <v>2</v>
      </c>
    </row>
    <row r="299" spans="1:16" ht="15.75" customHeight="1" x14ac:dyDescent="0.15">
      <c r="A299" s="5" t="s">
        <v>3</v>
      </c>
      <c r="B299" s="5">
        <v>34</v>
      </c>
      <c r="C299" s="5" t="s">
        <v>22</v>
      </c>
      <c r="D299" s="6" t="s">
        <v>32</v>
      </c>
      <c r="E299" s="7">
        <v>44732</v>
      </c>
      <c r="F299" s="5" t="s">
        <v>5</v>
      </c>
      <c r="G299" s="5" t="s">
        <v>35</v>
      </c>
      <c r="H299" s="5" t="s">
        <v>21</v>
      </c>
      <c r="I299" s="4" t="s">
        <v>21</v>
      </c>
      <c r="J299" s="4" t="s">
        <v>21</v>
      </c>
      <c r="K299" s="1" t="e">
        <f>VLOOKUP(Table1[[#This Row],[Species ]],eq!$A$3:$B$13,2,)</f>
        <v>#N/A</v>
      </c>
      <c r="L299" s="1" t="e">
        <f t="shared" si="12"/>
        <v>#N/A</v>
      </c>
      <c r="M299" s="1" t="e" cm="1">
        <f t="array" ref="M299">eval_tr</f>
        <v>#N/A</v>
      </c>
      <c r="N299" s="1">
        <f t="shared" si="13"/>
        <v>0</v>
      </c>
      <c r="O299" s="1" t="str">
        <f t="shared" si="14"/>
        <v>TN-34-CTRL</v>
      </c>
      <c r="P299" s="1">
        <f>VLOOKUP(O299,teams!$A$1:$B$47,2,)</f>
        <v>2</v>
      </c>
    </row>
    <row r="300" spans="1:16" ht="15.75" customHeight="1" x14ac:dyDescent="0.15">
      <c r="A300" s="5" t="s">
        <v>3</v>
      </c>
      <c r="B300" s="5">
        <v>34</v>
      </c>
      <c r="C300" s="5" t="s">
        <v>22</v>
      </c>
      <c r="D300" s="6" t="s">
        <v>32</v>
      </c>
      <c r="E300" s="7">
        <v>44732</v>
      </c>
      <c r="F300" s="5" t="s">
        <v>6</v>
      </c>
      <c r="G300" s="5" t="s">
        <v>36</v>
      </c>
      <c r="H300" s="5" t="s">
        <v>21</v>
      </c>
      <c r="I300" s="4" t="s">
        <v>21</v>
      </c>
      <c r="J300" s="4" t="s">
        <v>21</v>
      </c>
      <c r="K300" s="1" t="e">
        <f>VLOOKUP(Table1[[#This Row],[Species ]],eq!$A$3:$B$13,2,)</f>
        <v>#N/A</v>
      </c>
      <c r="L300" s="1" t="e">
        <f t="shared" si="12"/>
        <v>#N/A</v>
      </c>
      <c r="M300" s="1" t="e" cm="1">
        <f t="array" ref="M300">eval_tr</f>
        <v>#N/A</v>
      </c>
      <c r="N300" s="1">
        <f t="shared" si="13"/>
        <v>0</v>
      </c>
      <c r="O300" s="1" t="str">
        <f t="shared" si="14"/>
        <v>TN-34-CTRL</v>
      </c>
      <c r="P300" s="1">
        <f>VLOOKUP(O300,teams!$A$1:$B$47,2,)</f>
        <v>2</v>
      </c>
    </row>
    <row r="301" spans="1:16" ht="15.75" customHeight="1" x14ac:dyDescent="0.15">
      <c r="A301" s="5" t="s">
        <v>3</v>
      </c>
      <c r="B301" s="5">
        <v>34</v>
      </c>
      <c r="C301" s="5" t="s">
        <v>22</v>
      </c>
      <c r="D301" s="6" t="s">
        <v>32</v>
      </c>
      <c r="E301" s="7">
        <v>44732</v>
      </c>
      <c r="F301" s="5" t="s">
        <v>9</v>
      </c>
      <c r="G301" s="5" t="s">
        <v>37</v>
      </c>
      <c r="H301" s="5" t="s">
        <v>21</v>
      </c>
      <c r="I301" s="4" t="s">
        <v>21</v>
      </c>
      <c r="J301" s="4" t="s">
        <v>21</v>
      </c>
      <c r="K301" s="1" t="e">
        <f>VLOOKUP(Table1[[#This Row],[Species ]],eq!$A$3:$B$13,2,)</f>
        <v>#N/A</v>
      </c>
      <c r="L301" s="1" t="e">
        <f t="shared" si="12"/>
        <v>#N/A</v>
      </c>
      <c r="M301" s="1" t="e" cm="1">
        <f t="array" ref="M301">eval_tr</f>
        <v>#N/A</v>
      </c>
      <c r="N301" s="1">
        <f t="shared" si="13"/>
        <v>0</v>
      </c>
      <c r="O301" s="1" t="str">
        <f t="shared" si="14"/>
        <v>TN-34-CTRL</v>
      </c>
      <c r="P301" s="1">
        <f>VLOOKUP(O301,teams!$A$1:$B$47,2,)</f>
        <v>2</v>
      </c>
    </row>
    <row r="302" spans="1:16" ht="15.75" customHeight="1" x14ac:dyDescent="0.15">
      <c r="A302" s="5" t="s">
        <v>3</v>
      </c>
      <c r="B302" s="5">
        <v>34</v>
      </c>
      <c r="C302" s="5" t="s">
        <v>23</v>
      </c>
      <c r="D302" s="6" t="s">
        <v>32</v>
      </c>
      <c r="E302" s="7">
        <v>44732</v>
      </c>
      <c r="F302" s="5" t="s">
        <v>7</v>
      </c>
      <c r="G302" s="5" t="s">
        <v>34</v>
      </c>
      <c r="H302" s="5" t="s">
        <v>10</v>
      </c>
      <c r="I302" s="4">
        <v>3.9</v>
      </c>
      <c r="J302" s="4">
        <v>6.8</v>
      </c>
      <c r="K302" s="1" t="str">
        <f>VLOOKUP(Table1[[#This Row],[Species ]],eq!$A$3:$B$13,2,)</f>
        <v>((0.0294*(X4^1.8357)*X2^0.864)+(0.0053*(X4^2.0876)*X2^0.5842)+(0.0117*(X4^3.5097)*X2^-1.3006)+(0.1245*(X4^2.523)*X2^-1.123))*1000</v>
      </c>
      <c r="L302" s="1" t="str">
        <f t="shared" si="12"/>
        <v>((0.0294*(6.8^1.8357)*3.9^0.864)+(0.0053*(6.8^2.0876)*3.9^0.5842)+(0.0117*(6.8^3.5097)*3.9^-1.3006)+(0.1245*(6.8^2.523)*3.9^-1.123))*1000</v>
      </c>
      <c r="M302" s="1" cm="1">
        <f t="array" ref="M302">eval_tr</f>
        <v>8924.8702692673069</v>
      </c>
      <c r="N302" s="1">
        <f t="shared" si="13"/>
        <v>8924.8702692673069</v>
      </c>
      <c r="O302" s="1" t="str">
        <f t="shared" si="14"/>
        <v>TN-34-EX</v>
      </c>
      <c r="P302" s="1">
        <f>VLOOKUP(O302,teams!$A$1:$B$47,2,)</f>
        <v>2</v>
      </c>
    </row>
    <row r="303" spans="1:16" ht="15.75" customHeight="1" x14ac:dyDescent="0.15">
      <c r="A303" s="5" t="s">
        <v>3</v>
      </c>
      <c r="B303" s="5">
        <v>34</v>
      </c>
      <c r="C303" s="5" t="s">
        <v>23</v>
      </c>
      <c r="D303" s="6" t="s">
        <v>32</v>
      </c>
      <c r="E303" s="7">
        <v>44732</v>
      </c>
      <c r="F303" s="5" t="s">
        <v>7</v>
      </c>
      <c r="G303" s="5" t="s">
        <v>34</v>
      </c>
      <c r="H303" s="5" t="s">
        <v>16</v>
      </c>
      <c r="I303" s="4">
        <v>6.8</v>
      </c>
      <c r="J303" s="4">
        <v>33.299999999999997</v>
      </c>
      <c r="K303" s="1" t="str">
        <f>VLOOKUP(Table1[[#This Row],[Species ]],eq!$A$3:$B$13,2,)</f>
        <v>((0.0117*(X4^1.7757)*X2^1.2555)+(0.018*(X4^1.8131)*X2^0.5144)+(0.0112*(X4^3.0861)*X2^-0.7164)+(0.0617*(X4^1.8615)*X2^-0.5375))*1000</v>
      </c>
      <c r="L303" s="1" t="str">
        <f t="shared" si="12"/>
        <v>((0.0117*(33.3^1.7757)*6.8^1.2555)+(0.018*(33.3^1.8131)*6.8^0.5144)+(0.0112*(33.3^3.0861)*6.8^-0.7164)+(0.0617*(33.3^1.8615)*6.8^-0.5375))*1000</v>
      </c>
      <c r="M303" s="1" cm="1">
        <f t="array" ref="M303">eval_tr</f>
        <v>250051.45617310613</v>
      </c>
      <c r="N303" s="1">
        <f t="shared" si="13"/>
        <v>250051.45617310613</v>
      </c>
      <c r="O303" s="1" t="str">
        <f t="shared" si="14"/>
        <v>TN-34-EX</v>
      </c>
      <c r="P303" s="1">
        <f>VLOOKUP(O303,teams!$A$1:$B$47,2,)</f>
        <v>2</v>
      </c>
    </row>
    <row r="304" spans="1:16" ht="15.75" customHeight="1" x14ac:dyDescent="0.15">
      <c r="A304" s="5" t="s">
        <v>3</v>
      </c>
      <c r="B304" s="5">
        <v>34</v>
      </c>
      <c r="C304" s="5" t="s">
        <v>23</v>
      </c>
      <c r="D304" s="6" t="s">
        <v>32</v>
      </c>
      <c r="E304" s="7">
        <v>44732</v>
      </c>
      <c r="F304" s="5" t="s">
        <v>5</v>
      </c>
      <c r="G304" s="5" t="s">
        <v>35</v>
      </c>
      <c r="H304" s="5" t="s">
        <v>21</v>
      </c>
      <c r="I304" s="4" t="s">
        <v>4</v>
      </c>
      <c r="J304" s="4" t="s">
        <v>4</v>
      </c>
      <c r="K304" s="1" t="e">
        <f>VLOOKUP(Table1[[#This Row],[Species ]],eq!$A$3:$B$13,2,)</f>
        <v>#N/A</v>
      </c>
      <c r="L304" s="1" t="e">
        <f t="shared" si="12"/>
        <v>#N/A</v>
      </c>
      <c r="M304" s="1" t="e" cm="1">
        <f t="array" ref="M304">eval_tr</f>
        <v>#N/A</v>
      </c>
      <c r="N304" s="1">
        <f t="shared" si="13"/>
        <v>0</v>
      </c>
      <c r="O304" s="1" t="str">
        <f t="shared" si="14"/>
        <v>TN-34-EX</v>
      </c>
      <c r="P304" s="1">
        <f>VLOOKUP(O304,teams!$A$1:$B$47,2,)</f>
        <v>2</v>
      </c>
    </row>
    <row r="305" spans="1:16" ht="15.75" customHeight="1" x14ac:dyDescent="0.15">
      <c r="A305" s="5" t="s">
        <v>3</v>
      </c>
      <c r="B305" s="5">
        <v>34</v>
      </c>
      <c r="C305" s="5" t="s">
        <v>23</v>
      </c>
      <c r="D305" s="6" t="s">
        <v>32</v>
      </c>
      <c r="E305" s="7">
        <v>44732</v>
      </c>
      <c r="F305" s="5" t="s">
        <v>6</v>
      </c>
      <c r="G305" s="5" t="s">
        <v>36</v>
      </c>
      <c r="H305" s="5" t="s">
        <v>21</v>
      </c>
      <c r="I305" s="4" t="s">
        <v>4</v>
      </c>
      <c r="J305" s="4" t="s">
        <v>4</v>
      </c>
      <c r="K305" s="1" t="e">
        <f>VLOOKUP(Table1[[#This Row],[Species ]],eq!$A$3:$B$13,2,)</f>
        <v>#N/A</v>
      </c>
      <c r="L305" s="1" t="e">
        <f t="shared" si="12"/>
        <v>#N/A</v>
      </c>
      <c r="M305" s="1" t="e" cm="1">
        <f t="array" ref="M305">eval_tr</f>
        <v>#N/A</v>
      </c>
      <c r="N305" s="1">
        <f t="shared" si="13"/>
        <v>0</v>
      </c>
      <c r="O305" s="1" t="str">
        <f t="shared" si="14"/>
        <v>TN-34-EX</v>
      </c>
      <c r="P305" s="1">
        <f>VLOOKUP(O305,teams!$A$1:$B$47,2,)</f>
        <v>2</v>
      </c>
    </row>
    <row r="306" spans="1:16" ht="15.75" customHeight="1" x14ac:dyDescent="0.15">
      <c r="A306" s="5" t="s">
        <v>3</v>
      </c>
      <c r="B306" s="5">
        <v>34</v>
      </c>
      <c r="C306" s="5" t="s">
        <v>23</v>
      </c>
      <c r="D306" s="6" t="s">
        <v>32</v>
      </c>
      <c r="E306" s="7">
        <v>44732</v>
      </c>
      <c r="F306" s="5" t="s">
        <v>9</v>
      </c>
      <c r="G306" s="5" t="s">
        <v>37</v>
      </c>
      <c r="H306" s="5" t="s">
        <v>21</v>
      </c>
      <c r="I306" s="4" t="s">
        <v>4</v>
      </c>
      <c r="J306" s="4" t="s">
        <v>4</v>
      </c>
      <c r="K306" s="1" t="e">
        <f>VLOOKUP(Table1[[#This Row],[Species ]],eq!$A$3:$B$13,2,)</f>
        <v>#N/A</v>
      </c>
      <c r="L306" s="1" t="e">
        <f t="shared" si="12"/>
        <v>#N/A</v>
      </c>
      <c r="M306" s="1" t="e" cm="1">
        <f t="array" ref="M306">eval_tr</f>
        <v>#N/A</v>
      </c>
      <c r="N306" s="1">
        <f t="shared" si="13"/>
        <v>0</v>
      </c>
      <c r="O306" s="1" t="str">
        <f t="shared" si="14"/>
        <v>TN-34-EX</v>
      </c>
      <c r="P306" s="1">
        <f>VLOOKUP(O306,teams!$A$1:$B$47,2,)</f>
        <v>2</v>
      </c>
    </row>
    <row r="307" spans="1:16" ht="15.75" customHeight="1" x14ac:dyDescent="0.15">
      <c r="A307" s="5" t="s">
        <v>18</v>
      </c>
      <c r="B307" s="5">
        <v>35</v>
      </c>
      <c r="C307" s="5" t="s">
        <v>21</v>
      </c>
      <c r="D307" s="5" t="s">
        <v>32</v>
      </c>
      <c r="E307" s="7">
        <v>44746</v>
      </c>
      <c r="F307" s="5" t="s">
        <v>5</v>
      </c>
      <c r="G307" s="5" t="s">
        <v>35</v>
      </c>
      <c r="H307" s="3" t="s">
        <v>10</v>
      </c>
      <c r="I307" s="4">
        <v>4</v>
      </c>
      <c r="J307" s="4">
        <v>3.5</v>
      </c>
      <c r="K307" s="1" t="str">
        <f>VLOOKUP(Table1[[#This Row],[Species ]],eq!$A$3:$B$13,2,)</f>
        <v>((0.0294*(X4^1.8357)*X2^0.864)+(0.0053*(X4^2.0876)*X2^0.5842)+(0.0117*(X4^3.5097)*X2^-1.3006)+(0.1245*(X4^2.523)*X2^-1.123))*1000</v>
      </c>
      <c r="L307" s="1" t="str">
        <f t="shared" si="12"/>
        <v>((0.0294*(3.5^1.8357)*4^0.864)+(0.0053*(3.5^2.0876)*4^0.5842)+(0.0117*(3.5^3.5097)*4^-1.3006)+(0.1245*(3.5^2.523)*4^-1.123))*1000</v>
      </c>
      <c r="M307" s="1" cm="1">
        <f t="array" ref="M307">eval_tr</f>
        <v>1909.596106141111</v>
      </c>
      <c r="N307" s="1">
        <f t="shared" si="13"/>
        <v>1909.596106141111</v>
      </c>
      <c r="O307" s="1" t="str">
        <f t="shared" si="14"/>
        <v>GM-35-NA</v>
      </c>
      <c r="P307" s="1">
        <f>VLOOKUP(O307,teams!$A$1:$B$47,2,)</f>
        <v>2</v>
      </c>
    </row>
    <row r="308" spans="1:16" ht="15.75" customHeight="1" x14ac:dyDescent="0.15">
      <c r="A308" s="5" t="s">
        <v>18</v>
      </c>
      <c r="B308" s="5">
        <v>35</v>
      </c>
      <c r="C308" s="5" t="s">
        <v>21</v>
      </c>
      <c r="D308" s="5" t="s">
        <v>32</v>
      </c>
      <c r="E308" s="7">
        <v>44746</v>
      </c>
      <c r="F308" s="5" t="s">
        <v>7</v>
      </c>
      <c r="G308" s="5" t="s">
        <v>34</v>
      </c>
      <c r="H308" s="5" t="s">
        <v>20</v>
      </c>
      <c r="I308" s="4">
        <v>8</v>
      </c>
      <c r="J308" s="4">
        <v>4.5999999999999996</v>
      </c>
      <c r="K308" s="1" t="str">
        <f>VLOOKUP(Table1[[#This Row],[Species ]],eq!$A$3:$B$13,2,)</f>
        <v>((0.0315*(X4^2.0342)*X2^0.7485)+(0.0283*(X4^2.0907)*X2^0)+(0.0225*(X4^2.4106)*X2^0)+(0.0571*(X4^1.4898)*X2^0))*1000</v>
      </c>
      <c r="L308" s="1" t="str">
        <f t="shared" si="12"/>
        <v>((0.0315*(4.6^2.0342)*8^0.7485)+(0.0283*(4.6^2.0907)*8^0)+(0.0225*(4.6^2.4106)*8^0)+(0.0571*(4.6^1.4898)*8^0))*1000</v>
      </c>
      <c r="M308" s="1" cm="1">
        <f t="array" ref="M308">eval_tr</f>
        <v>5463.3466494413788</v>
      </c>
      <c r="N308" s="1">
        <f t="shared" si="13"/>
        <v>5463.3466494413788</v>
      </c>
      <c r="O308" s="1" t="str">
        <f t="shared" si="14"/>
        <v>GM-35-NA</v>
      </c>
      <c r="P308" s="1">
        <f>VLOOKUP(O308,teams!$A$1:$B$47,2,)</f>
        <v>2</v>
      </c>
    </row>
    <row r="309" spans="1:16" ht="15.75" customHeight="1" x14ac:dyDescent="0.15">
      <c r="A309" s="5" t="s">
        <v>18</v>
      </c>
      <c r="B309" s="5">
        <v>35</v>
      </c>
      <c r="C309" s="5" t="s">
        <v>21</v>
      </c>
      <c r="D309" s="5" t="s">
        <v>32</v>
      </c>
      <c r="E309" s="7">
        <v>44746</v>
      </c>
      <c r="F309" s="5" t="s">
        <v>6</v>
      </c>
      <c r="G309" s="5" t="s">
        <v>36</v>
      </c>
      <c r="H309" s="3" t="s">
        <v>10</v>
      </c>
      <c r="I309" s="4">
        <v>4</v>
      </c>
      <c r="J309" s="4">
        <v>6</v>
      </c>
      <c r="K309" s="1" t="str">
        <f>VLOOKUP(Table1[[#This Row],[Species ]],eq!$A$3:$B$13,2,)</f>
        <v>((0.0294*(X4^1.8357)*X2^0.864)+(0.0053*(X4^2.0876)*X2^0.5842)+(0.0117*(X4^3.5097)*X2^-1.3006)+(0.1245*(X4^2.523)*X2^-1.123))*1000</v>
      </c>
      <c r="L309" s="1" t="str">
        <f t="shared" si="12"/>
        <v>((0.0294*(6^1.8357)*4^0.864)+(0.0053*(6^2.0876)*4^0.5842)+(0.0117*(6^3.5097)*4^-1.3006)+(0.1245*(6^2.523)*4^-1.123))*1000</v>
      </c>
      <c r="M309" s="1" cm="1">
        <f t="array" ref="M309">eval_tr</f>
        <v>6563.5749760315484</v>
      </c>
      <c r="N309" s="1">
        <f t="shared" si="13"/>
        <v>6563.5749760315484</v>
      </c>
      <c r="O309" s="1" t="str">
        <f t="shared" si="14"/>
        <v>GM-35-NA</v>
      </c>
      <c r="P309" s="1">
        <f>VLOOKUP(O309,teams!$A$1:$B$47,2,)</f>
        <v>2</v>
      </c>
    </row>
    <row r="310" spans="1:16" ht="15.75" customHeight="1" x14ac:dyDescent="0.15">
      <c r="A310" s="5" t="s">
        <v>18</v>
      </c>
      <c r="B310" s="5">
        <v>35</v>
      </c>
      <c r="C310" s="5" t="s">
        <v>21</v>
      </c>
      <c r="D310" s="5" t="s">
        <v>32</v>
      </c>
      <c r="E310" s="7">
        <v>44746</v>
      </c>
      <c r="F310" s="5" t="s">
        <v>5</v>
      </c>
      <c r="G310" s="5" t="s">
        <v>35</v>
      </c>
      <c r="H310" s="3" t="s">
        <v>10</v>
      </c>
      <c r="I310" s="4">
        <v>5</v>
      </c>
      <c r="J310" s="4">
        <v>7.3</v>
      </c>
      <c r="K310" s="1" t="str">
        <f>VLOOKUP(Table1[[#This Row],[Species ]],eq!$A$3:$B$13,2,)</f>
        <v>((0.0294*(X4^1.8357)*X2^0.864)+(0.0053*(X4^2.0876)*X2^0.5842)+(0.0117*(X4^3.5097)*X2^-1.3006)+(0.1245*(X4^2.523)*X2^-1.123))*1000</v>
      </c>
      <c r="L310" s="1" t="str">
        <f t="shared" si="12"/>
        <v>((0.0294*(7.3^1.8357)*5^0.864)+(0.0053*(7.3^2.0876)*5^0.5842)+(0.0117*(7.3^3.5097)*5^-1.3006)+(0.1245*(7.3^2.523)*5^-1.123))*1000</v>
      </c>
      <c r="M310" s="1" cm="1">
        <f t="array" ref="M310">eval_tr</f>
        <v>10025.307063747499</v>
      </c>
      <c r="N310" s="1">
        <f t="shared" si="13"/>
        <v>10025.307063747499</v>
      </c>
      <c r="O310" s="1" t="str">
        <f t="shared" si="14"/>
        <v>GM-35-NA</v>
      </c>
      <c r="P310" s="1">
        <f>VLOOKUP(O310,teams!$A$1:$B$47,2,)</f>
        <v>2</v>
      </c>
    </row>
    <row r="311" spans="1:16" ht="15.75" customHeight="1" x14ac:dyDescent="0.15">
      <c r="A311" s="5" t="s">
        <v>18</v>
      </c>
      <c r="B311" s="5">
        <v>35</v>
      </c>
      <c r="C311" s="5" t="s">
        <v>21</v>
      </c>
      <c r="D311" s="5" t="s">
        <v>32</v>
      </c>
      <c r="E311" s="7">
        <v>44746</v>
      </c>
      <c r="F311" s="5" t="s">
        <v>6</v>
      </c>
      <c r="G311" s="5" t="s">
        <v>36</v>
      </c>
      <c r="H311" s="3" t="s">
        <v>10</v>
      </c>
      <c r="I311" s="4">
        <v>7.5</v>
      </c>
      <c r="J311" s="4">
        <v>19.100000000000001</v>
      </c>
      <c r="K311" s="1" t="str">
        <f>VLOOKUP(Table1[[#This Row],[Species ]],eq!$A$3:$B$13,2,)</f>
        <v>((0.0294*(X4^1.8357)*X2^0.864)+(0.0053*(X4^2.0876)*X2^0.5842)+(0.0117*(X4^3.5097)*X2^-1.3006)+(0.1245*(X4^2.523)*X2^-1.123))*1000</v>
      </c>
      <c r="L311" s="1" t="str">
        <f t="shared" si="12"/>
        <v>((0.0294*(19.1^1.8357)*7.5^0.864)+(0.0053*(19.1^2.0876)*7.5^0.5842)+(0.0117*(19.1^3.5097)*7.5^-1.3006)+(0.1245*(19.1^2.523)*7.5^-1.123))*1000</v>
      </c>
      <c r="M311" s="1" cm="1">
        <f t="array" ref="M311">eval_tr</f>
        <v>94576.67037769864</v>
      </c>
      <c r="N311" s="1">
        <f t="shared" si="13"/>
        <v>94576.67037769864</v>
      </c>
      <c r="O311" s="1" t="str">
        <f t="shared" si="14"/>
        <v>GM-35-NA</v>
      </c>
      <c r="P311" s="1">
        <f>VLOOKUP(O311,teams!$A$1:$B$47,2,)</f>
        <v>2</v>
      </c>
    </row>
    <row r="312" spans="1:16" ht="15.75" customHeight="1" x14ac:dyDescent="0.15">
      <c r="A312" s="5" t="s">
        <v>18</v>
      </c>
      <c r="B312" s="5">
        <v>35</v>
      </c>
      <c r="C312" s="5" t="s">
        <v>21</v>
      </c>
      <c r="D312" s="5" t="s">
        <v>32</v>
      </c>
      <c r="E312" s="7">
        <v>44746</v>
      </c>
      <c r="F312" s="5" t="s">
        <v>9</v>
      </c>
      <c r="G312" s="5" t="s">
        <v>37</v>
      </c>
      <c r="H312" s="5" t="s">
        <v>21</v>
      </c>
      <c r="I312" s="4" t="s">
        <v>21</v>
      </c>
      <c r="J312" s="4" t="s">
        <v>21</v>
      </c>
      <c r="K312" s="1" t="e">
        <f>VLOOKUP(Table1[[#This Row],[Species ]],eq!$A$3:$B$13,2,)</f>
        <v>#N/A</v>
      </c>
      <c r="L312" s="1" t="e">
        <f t="shared" si="12"/>
        <v>#N/A</v>
      </c>
      <c r="M312" s="1" t="e" cm="1">
        <f t="array" ref="M312">eval_tr</f>
        <v>#N/A</v>
      </c>
      <c r="N312" s="1">
        <f t="shared" si="13"/>
        <v>0</v>
      </c>
      <c r="O312" s="1" t="str">
        <f t="shared" si="14"/>
        <v>GM-35-NA</v>
      </c>
      <c r="P312" s="1">
        <f>VLOOKUP(O312,teams!$A$1:$B$47,2,)</f>
        <v>2</v>
      </c>
    </row>
    <row r="313" spans="1:16" ht="15.75" customHeight="1" x14ac:dyDescent="0.15">
      <c r="A313" s="5" t="s">
        <v>18</v>
      </c>
      <c r="B313" s="5">
        <v>36</v>
      </c>
      <c r="C313" s="5" t="s">
        <v>21</v>
      </c>
      <c r="D313" s="5" t="s">
        <v>32</v>
      </c>
      <c r="E313" s="7">
        <v>44749</v>
      </c>
      <c r="F313" s="5" t="s">
        <v>5</v>
      </c>
      <c r="G313" s="5" t="s">
        <v>35</v>
      </c>
      <c r="H313" s="5" t="s">
        <v>15</v>
      </c>
      <c r="I313" s="4">
        <v>7</v>
      </c>
      <c r="J313" s="4">
        <v>15</v>
      </c>
      <c r="K313" s="1" t="str">
        <f>VLOOKUP(Table1[[#This Row],[Species ]],eq!$A$3:$B$13,2,)</f>
        <v>((0.0259*(X4^1.9044)*X2^0.9715)+(0.0069*(X4^2.0834)*X2^0.5371)+(0.0325*(X4^2.3851)*X2^0)+(0.1683*(X4^1.2764)*X2^0))*1000</v>
      </c>
      <c r="L313" s="1" t="str">
        <f t="shared" si="12"/>
        <v>((0.0259*(15^1.9044)*7^0.9715)+(0.0069*(15^2.0834)*7^0.5371)+(0.0325*(15^2.3851)*7^0)+(0.1683*(15^1.2764)*7^0))*1000</v>
      </c>
      <c r="M313" s="1" cm="1">
        <f t="array" ref="M313">eval_tr</f>
        <v>61407.577867885935</v>
      </c>
      <c r="N313" s="1">
        <f t="shared" si="13"/>
        <v>61407.577867885935</v>
      </c>
      <c r="O313" s="1" t="str">
        <f t="shared" si="14"/>
        <v>GM-36-NA</v>
      </c>
      <c r="P313" s="1">
        <f>VLOOKUP(O313,teams!$A$1:$B$47,2,)</f>
        <v>1</v>
      </c>
    </row>
    <row r="314" spans="1:16" ht="15.75" customHeight="1" x14ac:dyDescent="0.15">
      <c r="A314" s="5" t="s">
        <v>18</v>
      </c>
      <c r="B314" s="5">
        <v>36</v>
      </c>
      <c r="C314" s="5" t="s">
        <v>21</v>
      </c>
      <c r="D314" s="5" t="s">
        <v>32</v>
      </c>
      <c r="E314" s="7">
        <v>44749</v>
      </c>
      <c r="F314" s="5" t="s">
        <v>7</v>
      </c>
      <c r="G314" s="5" t="s">
        <v>34</v>
      </c>
      <c r="H314" s="3" t="s">
        <v>8</v>
      </c>
      <c r="I314" s="4">
        <v>6</v>
      </c>
      <c r="J314" s="4">
        <v>16</v>
      </c>
      <c r="K314" s="1" t="str">
        <f>VLOOKUP(Table1[[#This Row],[Species ]],eq!$A$3:$B$13,2,)</f>
        <v>((0.0309*(X4^1.7527)*X2^1.0014)+(0.0115*(X4^1.7405)*X2^0.6589)+(0.038*(X4^3.2558)*X2^-1.4218)+(0.2048*(X4^2.5754)*X2^-1.3704))*1000</v>
      </c>
      <c r="L314" s="1" t="str">
        <f t="shared" si="12"/>
        <v>((0.0309*(16^1.7527)*6^1.0014)+(0.0115*(16^1.7405)*6^0.6589)+(0.038*(16^3.2558)*6^-1.4218)+(0.2048*(16^2.5754)*6^-1.3704))*1000</v>
      </c>
      <c r="M314" s="1" cm="1">
        <f t="array" ref="M314">eval_tr</f>
        <v>75584.13355066537</v>
      </c>
      <c r="N314" s="1">
        <f t="shared" si="13"/>
        <v>75584.13355066537</v>
      </c>
      <c r="O314" s="1" t="str">
        <f t="shared" si="14"/>
        <v>GM-36-NA</v>
      </c>
      <c r="P314" s="1">
        <f>VLOOKUP(O314,teams!$A$1:$B$47,2,)</f>
        <v>1</v>
      </c>
    </row>
    <row r="315" spans="1:16" ht="15.75" customHeight="1" x14ac:dyDescent="0.15">
      <c r="A315" s="5" t="s">
        <v>18</v>
      </c>
      <c r="B315" s="5">
        <v>36</v>
      </c>
      <c r="C315" s="5" t="s">
        <v>21</v>
      </c>
      <c r="D315" s="5" t="s">
        <v>32</v>
      </c>
      <c r="E315" s="7">
        <v>44749</v>
      </c>
      <c r="F315" s="5" t="s">
        <v>6</v>
      </c>
      <c r="G315" s="5" t="s">
        <v>36</v>
      </c>
      <c r="H315" s="5" t="s">
        <v>21</v>
      </c>
      <c r="I315" s="4" t="s">
        <v>21</v>
      </c>
      <c r="J315" s="4" t="s">
        <v>21</v>
      </c>
      <c r="K315" s="1" t="e">
        <f>VLOOKUP(Table1[[#This Row],[Species ]],eq!$A$3:$B$13,2,)</f>
        <v>#N/A</v>
      </c>
      <c r="L315" s="1" t="e">
        <f t="shared" si="12"/>
        <v>#N/A</v>
      </c>
      <c r="M315" s="1" t="e" cm="1">
        <f t="array" ref="M315">eval_tr</f>
        <v>#N/A</v>
      </c>
      <c r="N315" s="1">
        <f t="shared" si="13"/>
        <v>0</v>
      </c>
      <c r="O315" s="1" t="str">
        <f t="shared" si="14"/>
        <v>GM-36-NA</v>
      </c>
      <c r="P315" s="1">
        <f>VLOOKUP(O315,teams!$A$1:$B$47,2,)</f>
        <v>1</v>
      </c>
    </row>
    <row r="316" spans="1:16" ht="15.75" customHeight="1" x14ac:dyDescent="0.15">
      <c r="A316" s="5" t="s">
        <v>18</v>
      </c>
      <c r="B316" s="5">
        <v>36</v>
      </c>
      <c r="C316" s="5" t="s">
        <v>21</v>
      </c>
      <c r="D316" s="5" t="s">
        <v>32</v>
      </c>
      <c r="E316" s="7">
        <v>44749</v>
      </c>
      <c r="F316" s="5" t="s">
        <v>9</v>
      </c>
      <c r="G316" s="5" t="s">
        <v>37</v>
      </c>
      <c r="H316" s="5" t="s">
        <v>21</v>
      </c>
      <c r="I316" s="4" t="s">
        <v>21</v>
      </c>
      <c r="J316" s="4" t="s">
        <v>21</v>
      </c>
      <c r="K316" s="1" t="e">
        <f>VLOOKUP(Table1[[#This Row],[Species ]],eq!$A$3:$B$13,2,)</f>
        <v>#N/A</v>
      </c>
      <c r="L316" s="1" t="e">
        <f t="shared" si="12"/>
        <v>#N/A</v>
      </c>
      <c r="M316" s="1" t="e" cm="1">
        <f t="array" ref="M316">eval_tr</f>
        <v>#N/A</v>
      </c>
      <c r="N316" s="1">
        <f t="shared" si="13"/>
        <v>0</v>
      </c>
      <c r="O316" s="1" t="str">
        <f t="shared" si="14"/>
        <v>GM-36-NA</v>
      </c>
      <c r="P316" s="1">
        <f>VLOOKUP(O316,teams!$A$1:$B$47,2,)</f>
        <v>1</v>
      </c>
    </row>
    <row r="319" spans="1:16" ht="15.75" customHeight="1" x14ac:dyDescent="0.15">
      <c r="P319">
        <f>COUNTIF($P$2:$P$316,1)</f>
        <v>210</v>
      </c>
    </row>
    <row r="320" spans="1:16" ht="15.75" customHeight="1" x14ac:dyDescent="0.15">
      <c r="P320">
        <f>COUNTIF($P$2:$P$316,2)</f>
        <v>105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FC7D0-9BFA-6143-9FF3-410567E0DCE8}">
  <dimension ref="A1:M115"/>
  <sheetViews>
    <sheetView workbookViewId="0">
      <selection activeCell="D5" sqref="D5"/>
    </sheetView>
  </sheetViews>
  <sheetFormatPr baseColWidth="10" defaultRowHeight="13" x14ac:dyDescent="0.15"/>
  <cols>
    <col min="4" max="7" width="8.83203125"/>
    <col min="11" max="11" width="116.5" bestFit="1" customWidth="1"/>
    <col min="12" max="12" width="139.83203125" bestFit="1" customWidth="1"/>
  </cols>
  <sheetData>
    <row r="1" spans="1:13" ht="14" x14ac:dyDescent="0.15">
      <c r="A1" s="24" t="s">
        <v>181</v>
      </c>
      <c r="B1" s="24" t="s">
        <v>182</v>
      </c>
      <c r="C1" s="24" t="s">
        <v>183</v>
      </c>
      <c r="D1" s="24" t="s">
        <v>184</v>
      </c>
      <c r="E1" s="24" t="s">
        <v>185</v>
      </c>
      <c r="F1" s="24" t="s">
        <v>38</v>
      </c>
      <c r="G1" s="24" t="s">
        <v>133</v>
      </c>
      <c r="H1" s="24" t="s">
        <v>132</v>
      </c>
      <c r="I1" s="24" t="s">
        <v>98</v>
      </c>
      <c r="J1" s="24" t="s">
        <v>97</v>
      </c>
      <c r="K1" s="9" t="s">
        <v>178</v>
      </c>
      <c r="L1" s="9" t="s">
        <v>179</v>
      </c>
      <c r="M1" s="9" t="s">
        <v>180</v>
      </c>
    </row>
    <row r="2" spans="1:13" x14ac:dyDescent="0.15">
      <c r="A2" t="s">
        <v>18</v>
      </c>
      <c r="B2">
        <v>18</v>
      </c>
      <c r="C2" t="s">
        <v>32</v>
      </c>
      <c r="D2" t="s">
        <v>5</v>
      </c>
      <c r="E2" t="s">
        <v>35</v>
      </c>
      <c r="F2" t="s">
        <v>10</v>
      </c>
      <c r="G2">
        <v>1</v>
      </c>
      <c r="H2" t="s">
        <v>147</v>
      </c>
      <c r="I2">
        <v>3.25</v>
      </c>
      <c r="J2">
        <v>5</v>
      </c>
      <c r="K2" t="str">
        <f>INDEX('DBH height biomass'!K:K,MATCH('scaled dbh t2'!H2,'DBH height biomass'!O:O,0))</f>
        <v>((0.0294*(X4^1.8357)*X2^0.864)+(0.0053*(X4^2.0876)*X2^0.5842)+(0.0117*(X4^3.5097)*X2^-1.3006)+(0.1245*(X4^2.523)*X2^-1.123))*1000</v>
      </c>
      <c r="L2" t="str">
        <f>SUBSTITUTE(SUBSTITUTE(K2, "X4",I2),"X2",J2)</f>
        <v>((0.0294*(3.25^1.8357)*5^0.864)+(0.0053*(3.25^2.0876)*5^0.5842)+(0.0117*(3.25^3.5097)*5^-1.3006)+(0.1245*(3.25^2.523)*5^-1.123))*1000</v>
      </c>
      <c r="M2" cm="1">
        <f t="array" ref="M2">eval_dbh2</f>
        <v>1676.737276731347</v>
      </c>
    </row>
    <row r="3" spans="1:13" x14ac:dyDescent="0.15">
      <c r="A3" t="s">
        <v>18</v>
      </c>
      <c r="B3">
        <v>14</v>
      </c>
      <c r="C3" t="s">
        <v>32</v>
      </c>
      <c r="D3" t="s">
        <v>9</v>
      </c>
      <c r="E3" t="s">
        <v>37</v>
      </c>
      <c r="F3" t="s">
        <v>10</v>
      </c>
      <c r="G3">
        <v>1</v>
      </c>
      <c r="H3" t="s">
        <v>146</v>
      </c>
      <c r="I3">
        <v>3.5</v>
      </c>
      <c r="J3">
        <v>4.5</v>
      </c>
      <c r="K3" t="str">
        <f>INDEX('DBH height biomass'!K:K,MATCH('scaled dbh t2'!H3,'DBH height biomass'!O:O,0))</f>
        <v>((0.0294*(X4^1.8357)*X2^0.864)+(0.0053*(X4^2.0876)*X2^0.5842)+(0.0117*(X4^3.5097)*X2^-1.3006)+(0.1245*(X4^2.523)*X2^-1.123))*1000</v>
      </c>
      <c r="L3" t="str">
        <f t="shared" ref="L3:L66" si="0">SUBSTITUTE(SUBSTITUTE(K3, "X4",I3),"X2",J3)</f>
        <v>((0.0294*(3.5^1.8357)*4.5^0.864)+(0.0053*(3.5^2.0876)*4.5^0.5842)+(0.0117*(3.5^3.5097)*4.5^-1.3006)+(0.1245*(3.5^2.523)*4.5^-1.123))*1000</v>
      </c>
      <c r="M3" cm="1">
        <f t="array" ref="M3">eval_dbh2</f>
        <v>1926.2895968752548</v>
      </c>
    </row>
    <row r="4" spans="1:13" x14ac:dyDescent="0.15">
      <c r="A4" t="s">
        <v>18</v>
      </c>
      <c r="B4">
        <v>15</v>
      </c>
      <c r="C4" t="s">
        <v>32</v>
      </c>
      <c r="D4" t="s">
        <v>6</v>
      </c>
      <c r="E4" t="s">
        <v>36</v>
      </c>
      <c r="F4" t="s">
        <v>10</v>
      </c>
      <c r="G4">
        <v>1</v>
      </c>
      <c r="H4" t="s">
        <v>150</v>
      </c>
      <c r="I4">
        <v>4</v>
      </c>
      <c r="J4">
        <v>3.5</v>
      </c>
      <c r="K4" t="str">
        <f>INDEX('DBH height biomass'!K:K,MATCH('scaled dbh t2'!H4,'DBH height biomass'!O:O,0))</f>
        <v>((0.0294*(X4^1.8357)*X2^0.864)+(0.0053*(X4^2.0876)*X2^0.5842)+(0.0117*(X4^3.5097)*X2^-1.3006)+(0.1245*(X4^2.523)*X2^-1.123))*1000</v>
      </c>
      <c r="L4" t="str">
        <f t="shared" si="0"/>
        <v>((0.0294*(4^1.8357)*3.5^0.864)+(0.0053*(4^2.0876)*3.5^0.5842)+(0.0117*(4^3.5097)*3.5^-1.3006)+(0.1245*(4^2.523)*3.5^-1.123))*1000</v>
      </c>
      <c r="M4" cm="1">
        <f t="array" ref="M4">eval_dbh2</f>
        <v>2609.6606854351999</v>
      </c>
    </row>
    <row r="5" spans="1:13" x14ac:dyDescent="0.15">
      <c r="A5" t="s">
        <v>3</v>
      </c>
      <c r="B5">
        <v>21</v>
      </c>
      <c r="C5" t="s">
        <v>30</v>
      </c>
      <c r="D5" t="s">
        <v>9</v>
      </c>
      <c r="E5" t="s">
        <v>37</v>
      </c>
      <c r="F5" t="s">
        <v>8</v>
      </c>
      <c r="G5">
        <v>1</v>
      </c>
      <c r="H5" t="s">
        <v>172</v>
      </c>
      <c r="I5">
        <v>4</v>
      </c>
      <c r="J5">
        <v>4</v>
      </c>
      <c r="K5" t="str">
        <f>INDEX('DBH height biomass'!K:K,MATCH('scaled dbh t2'!H5,'DBH height biomass'!O:O,0))</f>
        <v>((0.0309*(X4^1.7527)*X2^1.0014)+(0.0115*(X4^1.7405)*X2^0.6589)+(0.038*(X4^3.2558)*X2^-1.4218)+(0.2048*(X4^2.5754)*X2^-1.3704))*1000</v>
      </c>
      <c r="L5" t="str">
        <f t="shared" si="0"/>
        <v>((0.0309*(4^1.7527)*4^1.0014)+(0.0115*(4^1.7405)*4^0.6589)+(0.038*(4^3.2558)*4^-1.4218)+(0.2048*(4^2.5754)*4^-1.3704))*1000</v>
      </c>
      <c r="M5" cm="1">
        <f t="array" ref="M5">eval_dbh2</f>
        <v>3297.9168730273523</v>
      </c>
    </row>
    <row r="6" spans="1:13" x14ac:dyDescent="0.15">
      <c r="A6" t="s">
        <v>18</v>
      </c>
      <c r="B6">
        <v>15</v>
      </c>
      <c r="C6" t="s">
        <v>32</v>
      </c>
      <c r="D6" t="s">
        <v>7</v>
      </c>
      <c r="E6" t="s">
        <v>34</v>
      </c>
      <c r="F6" t="s">
        <v>10</v>
      </c>
      <c r="G6">
        <v>1</v>
      </c>
      <c r="H6" t="s">
        <v>150</v>
      </c>
      <c r="I6">
        <v>5</v>
      </c>
      <c r="J6">
        <v>5</v>
      </c>
      <c r="K6" t="str">
        <f>INDEX('DBH height biomass'!K:K,MATCH('scaled dbh t2'!H6,'DBH height biomass'!O:O,0))</f>
        <v>((0.0294*(X4^1.8357)*X2^0.864)+(0.0053*(X4^2.0876)*X2^0.5842)+(0.0117*(X4^3.5097)*X2^-1.3006)+(0.1245*(X4^2.523)*X2^-1.123))*1000</v>
      </c>
      <c r="L6" t="str">
        <f t="shared" si="0"/>
        <v>((0.0294*(5^1.8357)*5^0.864)+(0.0053*(5^2.0876)*5^0.5842)+(0.0117*(5^3.5097)*5^-1.3006)+(0.1245*(5^2.523)*5^-1.123))*1000</v>
      </c>
      <c r="M6" cm="1">
        <f t="array" ref="M6">eval_dbh2</f>
        <v>4251.700983909227</v>
      </c>
    </row>
    <row r="7" spans="1:13" x14ac:dyDescent="0.15">
      <c r="A7" t="s">
        <v>18</v>
      </c>
      <c r="B7">
        <v>15</v>
      </c>
      <c r="C7" t="s">
        <v>32</v>
      </c>
      <c r="D7" t="s">
        <v>6</v>
      </c>
      <c r="E7" t="s">
        <v>36</v>
      </c>
      <c r="F7" t="s">
        <v>10</v>
      </c>
      <c r="G7">
        <v>1</v>
      </c>
      <c r="H7" t="s">
        <v>150</v>
      </c>
      <c r="I7">
        <v>5</v>
      </c>
      <c r="J7">
        <v>4</v>
      </c>
      <c r="K7" t="str">
        <f>INDEX('DBH height biomass'!K:K,MATCH('scaled dbh t2'!H7,'DBH height biomass'!O:O,0))</f>
        <v>((0.0294*(X4^1.8357)*X2^0.864)+(0.0053*(X4^2.0876)*X2^0.5842)+(0.0117*(X4^3.5097)*X2^-1.3006)+(0.1245*(X4^2.523)*X2^-1.123))*1000</v>
      </c>
      <c r="L7" t="str">
        <f t="shared" si="0"/>
        <v>((0.0294*(5^1.8357)*4^0.864)+(0.0053*(5^2.0876)*4^0.5842)+(0.0117*(5^3.5097)*4^-1.3006)+(0.1245*(5^2.523)*4^-1.123))*1000</v>
      </c>
      <c r="M7" cm="1">
        <f t="array" ref="M7">eval_dbh2</f>
        <v>4281.8961229916004</v>
      </c>
    </row>
    <row r="8" spans="1:13" x14ac:dyDescent="0.15">
      <c r="A8" t="s">
        <v>3</v>
      </c>
      <c r="B8">
        <v>22</v>
      </c>
      <c r="C8" t="s">
        <v>30</v>
      </c>
      <c r="D8" t="s">
        <v>6</v>
      </c>
      <c r="E8" t="s">
        <v>36</v>
      </c>
      <c r="F8" t="s">
        <v>8</v>
      </c>
      <c r="G8">
        <v>1</v>
      </c>
      <c r="H8" t="s">
        <v>173</v>
      </c>
      <c r="I8">
        <v>4.75</v>
      </c>
      <c r="J8">
        <v>5.5</v>
      </c>
      <c r="K8" t="str">
        <f>INDEX('DBH height biomass'!K:K,MATCH('scaled dbh t2'!H8,'DBH height biomass'!O:O,0))</f>
        <v>((0.0309*(X4^1.7527)*X2^1.0014)+(0.0115*(X4^1.7405)*X2^0.6589)+(0.038*(X4^3.2558)*X2^-1.4218)+(0.2048*(X4^2.5754)*X2^-1.3704))*1000</v>
      </c>
      <c r="L8" t="str">
        <f t="shared" si="0"/>
        <v>((0.0309*(4.75^1.7527)*5.5^1.0014)+(0.0115*(4.75^1.7405)*5.5^0.6589)+(0.038*(4.75^3.2558)*5.5^-1.4218)+(0.2048*(4.75^2.5754)*5.5^-1.3704))*1000</v>
      </c>
      <c r="M8" cm="1">
        <f t="array" ref="M8">eval_dbh2</f>
        <v>4779.6674943387188</v>
      </c>
    </row>
    <row r="9" spans="1:13" x14ac:dyDescent="0.15">
      <c r="A9" t="s">
        <v>18</v>
      </c>
      <c r="B9">
        <v>15</v>
      </c>
      <c r="C9" t="s">
        <v>32</v>
      </c>
      <c r="D9" t="s">
        <v>5</v>
      </c>
      <c r="E9" t="s">
        <v>35</v>
      </c>
      <c r="F9" t="s">
        <v>10</v>
      </c>
      <c r="G9">
        <v>1</v>
      </c>
      <c r="H9" t="s">
        <v>150</v>
      </c>
      <c r="I9">
        <v>5.25</v>
      </c>
      <c r="J9">
        <v>5.5</v>
      </c>
      <c r="K9" t="str">
        <f>INDEX('DBH height biomass'!K:K,MATCH('scaled dbh t2'!H9,'DBH height biomass'!O:O,0))</f>
        <v>((0.0294*(X4^1.8357)*X2^0.864)+(0.0053*(X4^2.0876)*X2^0.5842)+(0.0117*(X4^3.5097)*X2^-1.3006)+(0.1245*(X4^2.523)*X2^-1.123))*1000</v>
      </c>
      <c r="L9" t="str">
        <f t="shared" si="0"/>
        <v>((0.0294*(5.25^1.8357)*5.5^0.864)+(0.0053*(5.25^2.0876)*5.5^0.5842)+(0.0117*(5.25^3.5097)*5.5^-1.3006)+(0.1245*(5.25^2.523)*5.5^-1.123))*1000</v>
      </c>
      <c r="M9" cm="1">
        <f t="array" ref="M9">eval_dbh2</f>
        <v>4782.5066229787008</v>
      </c>
    </row>
    <row r="10" spans="1:13" x14ac:dyDescent="0.15">
      <c r="A10" t="s">
        <v>18</v>
      </c>
      <c r="B10">
        <v>16</v>
      </c>
      <c r="C10" t="s">
        <v>32</v>
      </c>
      <c r="D10" t="s">
        <v>5</v>
      </c>
      <c r="E10" t="s">
        <v>35</v>
      </c>
      <c r="F10" t="s">
        <v>10</v>
      </c>
      <c r="G10">
        <v>1</v>
      </c>
      <c r="H10" t="s">
        <v>153</v>
      </c>
      <c r="I10">
        <v>5.5</v>
      </c>
      <c r="J10">
        <v>5</v>
      </c>
      <c r="K10" t="str">
        <f>INDEX('DBH height biomass'!K:K,MATCH('scaled dbh t2'!H10,'DBH height biomass'!O:O,0))</f>
        <v>((0.0294*(X4^1.8357)*X2^0.864)+(0.0053*(X4^2.0876)*X2^0.5842)+(0.0117*(X4^3.5097)*X2^-1.3006)+(0.1245*(X4^2.523)*X2^-1.123))*1000</v>
      </c>
      <c r="L10" t="str">
        <f t="shared" si="0"/>
        <v>((0.0294*(5.5^1.8357)*5^0.864)+(0.0053*(5.5^2.0876)*5^0.5842)+(0.0117*(5.5^3.5097)*5^-1.3006)+(0.1245*(5.5^2.523)*5^-1.123))*1000</v>
      </c>
      <c r="M10" cm="1">
        <f t="array" ref="M10">eval_dbh2</f>
        <v>5255.8823385097548</v>
      </c>
    </row>
    <row r="11" spans="1:13" x14ac:dyDescent="0.15">
      <c r="A11" t="s">
        <v>18</v>
      </c>
      <c r="B11">
        <v>18</v>
      </c>
      <c r="C11" t="s">
        <v>32</v>
      </c>
      <c r="D11" t="s">
        <v>9</v>
      </c>
      <c r="E11" t="s">
        <v>37</v>
      </c>
      <c r="F11" t="s">
        <v>10</v>
      </c>
      <c r="G11">
        <v>1</v>
      </c>
      <c r="H11" t="s">
        <v>147</v>
      </c>
      <c r="I11">
        <v>5.5</v>
      </c>
      <c r="J11">
        <v>5.5</v>
      </c>
      <c r="K11" t="str">
        <f>INDEX('DBH height biomass'!K:K,MATCH('scaled dbh t2'!H11,'DBH height biomass'!O:O,0))</f>
        <v>((0.0294*(X4^1.8357)*X2^0.864)+(0.0053*(X4^2.0876)*X2^0.5842)+(0.0117*(X4^3.5097)*X2^-1.3006)+(0.1245*(X4^2.523)*X2^-1.123))*1000</v>
      </c>
      <c r="L11" t="str">
        <f t="shared" si="0"/>
        <v>((0.0294*(5.5^1.8357)*5.5^0.864)+(0.0053*(5.5^2.0876)*5.5^0.5842)+(0.0117*(5.5^3.5097)*5.5^-1.3006)+(0.1245*(5.5^2.523)*5.5^-1.123))*1000</v>
      </c>
      <c r="M11" cm="1">
        <f t="array" ref="M11">eval_dbh2</f>
        <v>5295.2183666215424</v>
      </c>
    </row>
    <row r="12" spans="1:13" x14ac:dyDescent="0.15">
      <c r="A12" t="s">
        <v>18</v>
      </c>
      <c r="B12">
        <v>18</v>
      </c>
      <c r="C12" t="s">
        <v>32</v>
      </c>
      <c r="D12" t="s">
        <v>5</v>
      </c>
      <c r="E12" t="s">
        <v>35</v>
      </c>
      <c r="F12" t="s">
        <v>10</v>
      </c>
      <c r="G12">
        <v>1</v>
      </c>
      <c r="H12" t="s">
        <v>147</v>
      </c>
      <c r="I12">
        <v>5.5</v>
      </c>
      <c r="J12">
        <v>8.5</v>
      </c>
      <c r="K12" t="str">
        <f>INDEX('DBH height biomass'!K:K,MATCH('scaled dbh t2'!H12,'DBH height biomass'!O:O,0))</f>
        <v>((0.0294*(X4^1.8357)*X2^0.864)+(0.0053*(X4^2.0876)*X2^0.5842)+(0.0117*(X4^3.5097)*X2^-1.3006)+(0.1245*(X4^2.523)*X2^-1.123))*1000</v>
      </c>
      <c r="L12" t="str">
        <f t="shared" si="0"/>
        <v>((0.0294*(5.5^1.8357)*8.5^0.864)+(0.0053*(5.5^2.0876)*8.5^0.5842)+(0.0117*(5.5^3.5097)*8.5^-1.3006)+(0.1245*(5.5^2.523)*8.5^-1.123))*1000</v>
      </c>
      <c r="M12" cm="1">
        <f t="array" ref="M12">eval_dbh2</f>
        <v>6037.5949835213123</v>
      </c>
    </row>
    <row r="13" spans="1:13" x14ac:dyDescent="0.15">
      <c r="A13" t="s">
        <v>3</v>
      </c>
      <c r="B13">
        <v>28</v>
      </c>
      <c r="C13" t="s">
        <v>31</v>
      </c>
      <c r="D13" t="s">
        <v>7</v>
      </c>
      <c r="E13" t="s">
        <v>34</v>
      </c>
      <c r="F13" t="s">
        <v>8</v>
      </c>
      <c r="G13">
        <v>1</v>
      </c>
      <c r="H13" t="s">
        <v>143</v>
      </c>
      <c r="I13">
        <v>5</v>
      </c>
      <c r="J13">
        <v>3</v>
      </c>
      <c r="K13" t="str">
        <f>INDEX('DBH height biomass'!K:K,MATCH('scaled dbh t2'!H13,'DBH height biomass'!O:O,0))</f>
        <v>((0.0309*(X4^1.7527)*X2^1.0014)+(0.0115*(X4^1.7405)*X2^0.6589)+(0.038*(X4^3.2558)*X2^-1.4218)+(0.2048*(X4^2.5754)*X2^-1.3704))*1000</v>
      </c>
      <c r="L13" t="str">
        <f t="shared" si="0"/>
        <v>((0.0309*(5^1.7527)*3^1.0014)+(0.0115*(5^1.7405)*3^0.6589)+(0.038*(5^3.2558)*3^-1.4218)+(0.2048*(5^2.5754)*3^-1.3704))*1000</v>
      </c>
      <c r="M13" cm="1">
        <f t="array" ref="M13">eval_dbh2</f>
        <v>6321.2195581925989</v>
      </c>
    </row>
    <row r="14" spans="1:13" x14ac:dyDescent="0.15">
      <c r="A14" t="s">
        <v>18</v>
      </c>
      <c r="B14">
        <v>14</v>
      </c>
      <c r="C14" t="s">
        <v>32</v>
      </c>
      <c r="D14" t="s">
        <v>6</v>
      </c>
      <c r="E14" t="s">
        <v>36</v>
      </c>
      <c r="F14" t="s">
        <v>10</v>
      </c>
      <c r="G14">
        <v>1</v>
      </c>
      <c r="H14" t="s">
        <v>146</v>
      </c>
      <c r="I14">
        <v>6</v>
      </c>
      <c r="J14">
        <v>6</v>
      </c>
      <c r="K14" t="str">
        <f>INDEX('DBH height biomass'!K:K,MATCH('scaled dbh t2'!H14,'DBH height biomass'!O:O,0))</f>
        <v>((0.0294*(X4^1.8357)*X2^0.864)+(0.0053*(X4^2.0876)*X2^0.5842)+(0.0117*(X4^3.5097)*X2^-1.3006)+(0.1245*(X4^2.523)*X2^-1.123))*1000</v>
      </c>
      <c r="L14" t="str">
        <f t="shared" si="0"/>
        <v>((0.0294*(6^1.8357)*6^0.864)+(0.0053*(6^2.0876)*6^0.5842)+(0.0117*(6^3.5097)*6^-1.3006)+(0.1245*(6^2.523)*6^-1.123))*1000</v>
      </c>
      <c r="M14" cm="1">
        <f t="array" ref="M14">eval_dbh2</f>
        <v>6485.9234854283468</v>
      </c>
    </row>
    <row r="15" spans="1:13" x14ac:dyDescent="0.15">
      <c r="A15" t="s">
        <v>18</v>
      </c>
      <c r="B15">
        <v>15</v>
      </c>
      <c r="C15" t="s">
        <v>32</v>
      </c>
      <c r="D15" t="s">
        <v>6</v>
      </c>
      <c r="E15" t="s">
        <v>36</v>
      </c>
      <c r="F15" t="s">
        <v>10</v>
      </c>
      <c r="G15">
        <v>1</v>
      </c>
      <c r="H15" t="s">
        <v>150</v>
      </c>
      <c r="I15">
        <v>6.5</v>
      </c>
      <c r="J15">
        <v>5</v>
      </c>
      <c r="K15" t="str">
        <f>INDEX('DBH height biomass'!K:K,MATCH('scaled dbh t2'!H15,'DBH height biomass'!O:O,0))</f>
        <v>((0.0294*(X4^1.8357)*X2^0.864)+(0.0053*(X4^2.0876)*X2^0.5842)+(0.0117*(X4^3.5097)*X2^-1.3006)+(0.1245*(X4^2.523)*X2^-1.123))*1000</v>
      </c>
      <c r="L15" t="str">
        <f t="shared" si="0"/>
        <v>((0.0294*(6.5^1.8357)*5^0.864)+(0.0053*(6.5^2.0876)*5^0.5842)+(0.0117*(6.5^3.5097)*5^-1.3006)+(0.1245*(6.5^2.523)*5^-1.123))*1000</v>
      </c>
      <c r="M15" cm="1">
        <f t="array" ref="M15">eval_dbh2</f>
        <v>7670.0287838434824</v>
      </c>
    </row>
    <row r="16" spans="1:13" x14ac:dyDescent="0.15">
      <c r="A16" t="s">
        <v>18</v>
      </c>
      <c r="B16">
        <v>18</v>
      </c>
      <c r="C16" t="s">
        <v>32</v>
      </c>
      <c r="D16" t="s">
        <v>9</v>
      </c>
      <c r="E16" t="s">
        <v>37</v>
      </c>
      <c r="F16" t="s">
        <v>10</v>
      </c>
      <c r="G16">
        <v>1</v>
      </c>
      <c r="H16" t="s">
        <v>147</v>
      </c>
      <c r="I16">
        <v>6.5</v>
      </c>
      <c r="J16">
        <v>5</v>
      </c>
      <c r="K16" t="str">
        <f>INDEX('DBH height biomass'!K:K,MATCH('scaled dbh t2'!H16,'DBH height biomass'!O:O,0))</f>
        <v>((0.0294*(X4^1.8357)*X2^0.864)+(0.0053*(X4^2.0876)*X2^0.5842)+(0.0117*(X4^3.5097)*X2^-1.3006)+(0.1245*(X4^2.523)*X2^-1.123))*1000</v>
      </c>
      <c r="L16" t="str">
        <f t="shared" si="0"/>
        <v>((0.0294*(6.5^1.8357)*5^0.864)+(0.0053*(6.5^2.0876)*5^0.5842)+(0.0117*(6.5^3.5097)*5^-1.3006)+(0.1245*(6.5^2.523)*5^-1.123))*1000</v>
      </c>
      <c r="M16" cm="1">
        <f t="array" ref="M16">eval_dbh2</f>
        <v>7670.0287838434824</v>
      </c>
    </row>
    <row r="17" spans="1:13" x14ac:dyDescent="0.15">
      <c r="A17" t="s">
        <v>18</v>
      </c>
      <c r="B17">
        <v>16</v>
      </c>
      <c r="C17" t="s">
        <v>32</v>
      </c>
      <c r="D17" t="s">
        <v>5</v>
      </c>
      <c r="E17" t="s">
        <v>35</v>
      </c>
      <c r="F17" t="s">
        <v>10</v>
      </c>
      <c r="G17">
        <v>1</v>
      </c>
      <c r="H17" t="s">
        <v>153</v>
      </c>
      <c r="I17">
        <v>6.5</v>
      </c>
      <c r="J17">
        <v>4</v>
      </c>
      <c r="K17" t="str">
        <f>INDEX('DBH height biomass'!K:K,MATCH('scaled dbh t2'!H17,'DBH height biomass'!O:O,0))</f>
        <v>((0.0294*(X4^1.8357)*X2^0.864)+(0.0053*(X4^2.0876)*X2^0.5842)+(0.0117*(X4^3.5097)*X2^-1.3006)+(0.1245*(X4^2.523)*X2^-1.123))*1000</v>
      </c>
      <c r="L17" t="str">
        <f t="shared" si="0"/>
        <v>((0.0294*(6.5^1.8357)*4^0.864)+(0.0053*(6.5^2.0876)*4^0.5842)+(0.0117*(6.5^3.5097)*4^-1.3006)+(0.1245*(6.5^2.523)*4^-1.123))*1000</v>
      </c>
      <c r="M17" cm="1">
        <f t="array" ref="M17">eval_dbh2</f>
        <v>7944.6637330096082</v>
      </c>
    </row>
    <row r="18" spans="1:13" x14ac:dyDescent="0.15">
      <c r="A18" t="s">
        <v>18</v>
      </c>
      <c r="B18">
        <v>14</v>
      </c>
      <c r="C18" t="s">
        <v>32</v>
      </c>
      <c r="D18" t="s">
        <v>5</v>
      </c>
      <c r="E18" t="s">
        <v>35</v>
      </c>
      <c r="F18" t="s">
        <v>10</v>
      </c>
      <c r="G18">
        <v>1</v>
      </c>
      <c r="H18" t="s">
        <v>146</v>
      </c>
      <c r="I18">
        <v>6.25</v>
      </c>
      <c r="J18">
        <v>9</v>
      </c>
      <c r="K18" t="str">
        <f>INDEX('DBH height biomass'!K:K,MATCH('scaled dbh t2'!H18,'DBH height biomass'!O:O,0))</f>
        <v>((0.0294*(X4^1.8357)*X2^0.864)+(0.0053*(X4^2.0876)*X2^0.5842)+(0.0117*(X4^3.5097)*X2^-1.3006)+(0.1245*(X4^2.523)*X2^-1.123))*1000</v>
      </c>
      <c r="L18" t="str">
        <f t="shared" si="0"/>
        <v>((0.0294*(6.25^1.8357)*9^0.864)+(0.0053*(6.25^2.0876)*9^0.5842)+(0.0117*(6.25^3.5097)*9^-1.3006)+(0.1245*(6.25^2.523)*9^-1.123))*1000</v>
      </c>
      <c r="M18" cm="1">
        <f t="array" ref="M18">eval_dbh2</f>
        <v>8043.0409410407929</v>
      </c>
    </row>
    <row r="19" spans="1:13" x14ac:dyDescent="0.15">
      <c r="A19" t="s">
        <v>3</v>
      </c>
      <c r="B19">
        <v>27</v>
      </c>
      <c r="C19" t="s">
        <v>31</v>
      </c>
      <c r="D19" t="s">
        <v>6</v>
      </c>
      <c r="E19" t="s">
        <v>36</v>
      </c>
      <c r="F19" t="s">
        <v>8</v>
      </c>
      <c r="G19">
        <v>1</v>
      </c>
      <c r="H19" t="s">
        <v>142</v>
      </c>
      <c r="I19">
        <v>6.25</v>
      </c>
      <c r="J19">
        <v>5</v>
      </c>
      <c r="K19" t="str">
        <f>INDEX('DBH height biomass'!K:K,MATCH('scaled dbh t2'!H19,'DBH height biomass'!O:O,0))</f>
        <v>((0.0309*(X4^1.7527)*X2^1.0014)+(0.0115*(X4^1.7405)*X2^0.6589)+(0.038*(X4^3.2558)*X2^-1.4218)+(0.2048*(X4^2.5754)*X2^-1.3704))*1000</v>
      </c>
      <c r="L19" t="str">
        <f t="shared" si="0"/>
        <v>((0.0309*(6.25^1.7527)*5^1.0014)+(0.0115*(6.25^1.7405)*5^0.6589)+(0.038*(6.25^3.2558)*5^-1.4218)+(0.2048*(6.25^2.5754)*5^-1.3704))*1000</v>
      </c>
      <c r="M19" cm="1">
        <f t="array" ref="M19">eval_dbh2</f>
        <v>8684.9966238408633</v>
      </c>
    </row>
    <row r="20" spans="1:13" x14ac:dyDescent="0.15">
      <c r="A20" t="s">
        <v>3</v>
      </c>
      <c r="B20">
        <v>28</v>
      </c>
      <c r="C20" t="s">
        <v>31</v>
      </c>
      <c r="D20" t="s">
        <v>5</v>
      </c>
      <c r="E20" t="s">
        <v>35</v>
      </c>
      <c r="F20" t="s">
        <v>8</v>
      </c>
      <c r="G20">
        <v>1</v>
      </c>
      <c r="H20" t="s">
        <v>143</v>
      </c>
      <c r="I20">
        <v>6</v>
      </c>
      <c r="J20">
        <v>3.5</v>
      </c>
      <c r="K20" t="str">
        <f>INDEX('DBH height biomass'!K:K,MATCH('scaled dbh t2'!H20,'DBH height biomass'!O:O,0))</f>
        <v>((0.0309*(X4^1.7527)*X2^1.0014)+(0.0115*(X4^1.7405)*X2^0.6589)+(0.038*(X4^3.2558)*X2^-1.4218)+(0.2048*(X4^2.5754)*X2^-1.3704))*1000</v>
      </c>
      <c r="L20" t="str">
        <f t="shared" si="0"/>
        <v>((0.0309*(6^1.7527)*3.5^1.0014)+(0.0115*(6^1.7405)*3.5^0.6589)+(0.038*(6^3.2558)*3.5^-1.4218)+(0.2048*(6^2.5754)*3.5^-1.3704))*1000</v>
      </c>
      <c r="M20" cm="1">
        <f t="array" ref="M20">eval_dbh2</f>
        <v>8997.7678177970902</v>
      </c>
    </row>
    <row r="21" spans="1:13" x14ac:dyDescent="0.15">
      <c r="A21" t="s">
        <v>3</v>
      </c>
      <c r="B21">
        <v>22</v>
      </c>
      <c r="C21" t="s">
        <v>30</v>
      </c>
      <c r="D21" t="s">
        <v>6</v>
      </c>
      <c r="E21" t="s">
        <v>36</v>
      </c>
      <c r="F21" t="s">
        <v>8</v>
      </c>
      <c r="G21">
        <v>1</v>
      </c>
      <c r="H21" t="s">
        <v>173</v>
      </c>
      <c r="I21">
        <v>6.5</v>
      </c>
      <c r="J21">
        <v>7</v>
      </c>
      <c r="K21" t="str">
        <f>INDEX('DBH height biomass'!K:K,MATCH('scaled dbh t2'!H21,'DBH height biomass'!O:O,0))</f>
        <v>((0.0309*(X4^1.7527)*X2^1.0014)+(0.0115*(X4^1.7405)*X2^0.6589)+(0.038*(X4^3.2558)*X2^-1.4218)+(0.2048*(X4^2.5754)*X2^-1.3704))*1000</v>
      </c>
      <c r="L21" t="str">
        <f t="shared" si="0"/>
        <v>((0.0309*(6.5^1.7527)*7^1.0014)+(0.0115*(6.5^1.7405)*7^0.6589)+(0.038*(6.5^3.2558)*7^-1.4218)+(0.2048*(6.5^2.5754)*7^-1.3704))*1000</v>
      </c>
      <c r="M21" cm="1">
        <f t="array" ref="M21">eval_dbh2</f>
        <v>9669.7681770652416</v>
      </c>
    </row>
    <row r="22" spans="1:13" x14ac:dyDescent="0.15">
      <c r="A22" t="s">
        <v>18</v>
      </c>
      <c r="B22">
        <v>14</v>
      </c>
      <c r="C22" t="s">
        <v>32</v>
      </c>
      <c r="D22" t="s">
        <v>5</v>
      </c>
      <c r="E22" t="s">
        <v>35</v>
      </c>
      <c r="F22" t="s">
        <v>15</v>
      </c>
      <c r="G22">
        <v>1</v>
      </c>
      <c r="H22" t="s">
        <v>146</v>
      </c>
      <c r="I22">
        <v>6</v>
      </c>
      <c r="J22">
        <v>7</v>
      </c>
      <c r="K22" t="str">
        <f>INDEX('DBH height biomass'!K:K,MATCH('scaled dbh t2'!H22,'DBH height biomass'!O:O,0))</f>
        <v>((0.0294*(X4^1.8357)*X2^0.864)+(0.0053*(X4^2.0876)*X2^0.5842)+(0.0117*(X4^3.5097)*X2^-1.3006)+(0.1245*(X4^2.523)*X2^-1.123))*1000</v>
      </c>
      <c r="L22" t="str">
        <f t="shared" si="0"/>
        <v>((0.0294*(6^1.8357)*7^0.864)+(0.0053*(6^2.0876)*7^0.5842)+(0.0117*(6^3.5097)*7^-1.3006)+(0.1245*(6^2.523)*7^-1.123))*1000</v>
      </c>
      <c r="M22" cm="1">
        <f t="array" ref="M22">eval_dbh2</f>
        <v>6719.6337323889675</v>
      </c>
    </row>
    <row r="23" spans="1:13" x14ac:dyDescent="0.15">
      <c r="A23" t="s">
        <v>18</v>
      </c>
      <c r="B23">
        <v>14</v>
      </c>
      <c r="C23" t="s">
        <v>32</v>
      </c>
      <c r="D23" t="s">
        <v>7</v>
      </c>
      <c r="E23" t="s">
        <v>34</v>
      </c>
      <c r="F23" t="s">
        <v>10</v>
      </c>
      <c r="G23">
        <v>1</v>
      </c>
      <c r="H23" t="s">
        <v>146</v>
      </c>
      <c r="I23">
        <v>7</v>
      </c>
      <c r="J23">
        <v>9</v>
      </c>
      <c r="K23" t="str">
        <f>INDEX('DBH height biomass'!K:K,MATCH('scaled dbh t2'!H23,'DBH height biomass'!O:O,0))</f>
        <v>((0.0294*(X4^1.8357)*X2^0.864)+(0.0053*(X4^2.0876)*X2^0.5842)+(0.0117*(X4^3.5097)*X2^-1.3006)+(0.1245*(X4^2.523)*X2^-1.123))*1000</v>
      </c>
      <c r="L23" t="str">
        <f t="shared" si="0"/>
        <v>((0.0294*(7^1.8357)*9^0.864)+(0.0053*(7^2.0876)*9^0.5842)+(0.0117*(7^3.5097)*9^-1.3006)+(0.1245*(7^2.523)*9^-1.123))*1000</v>
      </c>
      <c r="M23" cm="1">
        <f t="array" ref="M23">eval_dbh2</f>
        <v>10148.93300133658</v>
      </c>
    </row>
    <row r="24" spans="1:13" x14ac:dyDescent="0.15">
      <c r="A24" t="s">
        <v>18</v>
      </c>
      <c r="B24">
        <v>16</v>
      </c>
      <c r="C24" t="s">
        <v>32</v>
      </c>
      <c r="D24" t="s">
        <v>5</v>
      </c>
      <c r="E24" t="s">
        <v>35</v>
      </c>
      <c r="F24" t="s">
        <v>14</v>
      </c>
      <c r="G24">
        <v>1</v>
      </c>
      <c r="H24" t="s">
        <v>153</v>
      </c>
      <c r="I24">
        <v>6.5</v>
      </c>
      <c r="J24">
        <v>7</v>
      </c>
      <c r="K24" t="str">
        <f>INDEX('DBH height biomass'!K:K,MATCH('scaled dbh t2'!H24,'DBH height biomass'!O:O,0))</f>
        <v>((0.0294*(X4^1.8357)*X2^0.864)+(0.0053*(X4^2.0876)*X2^0.5842)+(0.0117*(X4^3.5097)*X2^-1.3006)+(0.1245*(X4^2.523)*X2^-1.123))*1000</v>
      </c>
      <c r="L24" t="str">
        <f t="shared" si="0"/>
        <v>((0.0294*(6.5^1.8357)*7^0.864)+(0.0053*(6.5^2.0876)*7^0.5842)+(0.0117*(6.5^3.5097)*7^-1.3006)+(0.1245*(6.5^2.523)*7^-1.123))*1000</v>
      </c>
      <c r="M24" cm="1">
        <f t="array" ref="M24">eval_dbh2</f>
        <v>7967.1494338803332</v>
      </c>
    </row>
    <row r="25" spans="1:13" x14ac:dyDescent="0.15">
      <c r="A25" t="s">
        <v>18</v>
      </c>
      <c r="B25">
        <v>14</v>
      </c>
      <c r="C25" t="s">
        <v>32</v>
      </c>
      <c r="D25" t="s">
        <v>6</v>
      </c>
      <c r="E25" t="s">
        <v>36</v>
      </c>
      <c r="F25" t="s">
        <v>10</v>
      </c>
      <c r="G25">
        <v>1</v>
      </c>
      <c r="H25" t="s">
        <v>146</v>
      </c>
      <c r="I25">
        <v>7.25</v>
      </c>
      <c r="J25">
        <v>8</v>
      </c>
      <c r="K25" t="str">
        <f>INDEX('DBH height biomass'!K:K,MATCH('scaled dbh t2'!H25,'DBH height biomass'!O:O,0))</f>
        <v>((0.0294*(X4^1.8357)*X2^0.864)+(0.0053*(X4^2.0876)*X2^0.5842)+(0.0117*(X4^3.5097)*X2^-1.3006)+(0.1245*(X4^2.523)*X2^-1.123))*1000</v>
      </c>
      <c r="L25" t="str">
        <f t="shared" si="0"/>
        <v>((0.0294*(7.25^1.8357)*8^0.864)+(0.0053*(7.25^2.0876)*8^0.5842)+(0.0117*(7.25^3.5097)*8^-1.3006)+(0.1245*(7.25^2.523)*8^-1.123))*1000</v>
      </c>
      <c r="M25" cm="1">
        <f t="array" ref="M25">eval_dbh2</f>
        <v>10449.175335939703</v>
      </c>
    </row>
    <row r="26" spans="1:13" x14ac:dyDescent="0.15">
      <c r="A26" t="s">
        <v>18</v>
      </c>
      <c r="B26">
        <v>16</v>
      </c>
      <c r="C26" t="s">
        <v>32</v>
      </c>
      <c r="D26" t="s">
        <v>7</v>
      </c>
      <c r="E26" t="s">
        <v>34</v>
      </c>
      <c r="F26" t="s">
        <v>10</v>
      </c>
      <c r="G26">
        <v>1</v>
      </c>
      <c r="H26" t="s">
        <v>153</v>
      </c>
      <c r="I26">
        <v>7.5</v>
      </c>
      <c r="J26">
        <v>8</v>
      </c>
      <c r="K26" t="str">
        <f>INDEX('DBH height biomass'!K:K,MATCH('scaled dbh t2'!H26,'DBH height biomass'!O:O,0))</f>
        <v>((0.0294*(X4^1.8357)*X2^0.864)+(0.0053*(X4^2.0876)*X2^0.5842)+(0.0117*(X4^3.5097)*X2^-1.3006)+(0.1245*(X4^2.523)*X2^-1.123))*1000</v>
      </c>
      <c r="L26" t="str">
        <f t="shared" si="0"/>
        <v>((0.0294*(7.5^1.8357)*8^0.864)+(0.0053*(7.5^2.0876)*8^0.5842)+(0.0117*(7.5^3.5097)*8^-1.3006)+(0.1245*(7.5^2.523)*8^-1.123))*1000</v>
      </c>
      <c r="M26" cm="1">
        <f t="array" ref="M26">eval_dbh2</f>
        <v>11225.972271585522</v>
      </c>
    </row>
    <row r="27" spans="1:13" x14ac:dyDescent="0.15">
      <c r="A27" t="s">
        <v>3</v>
      </c>
      <c r="B27">
        <v>22</v>
      </c>
      <c r="C27" t="s">
        <v>30</v>
      </c>
      <c r="D27" t="s">
        <v>6</v>
      </c>
      <c r="E27" t="s">
        <v>36</v>
      </c>
      <c r="F27" t="s">
        <v>8</v>
      </c>
      <c r="G27">
        <v>1</v>
      </c>
      <c r="H27" t="s">
        <v>173</v>
      </c>
      <c r="I27">
        <v>7</v>
      </c>
      <c r="J27">
        <v>7</v>
      </c>
      <c r="K27" t="str">
        <f>INDEX('DBH height biomass'!K:K,MATCH('scaled dbh t2'!H27,'DBH height biomass'!O:O,0))</f>
        <v>((0.0309*(X4^1.7527)*X2^1.0014)+(0.0115*(X4^1.7405)*X2^0.6589)+(0.038*(X4^3.2558)*X2^-1.4218)+(0.2048*(X4^2.5754)*X2^-1.3704))*1000</v>
      </c>
      <c r="L27" t="str">
        <f t="shared" si="0"/>
        <v>((0.0309*(7^1.7527)*7^1.0014)+(0.0115*(7^1.7405)*7^0.6589)+(0.038*(7^3.2558)*7^-1.4218)+(0.2048*(7^2.5754)*7^-1.3704))*1000</v>
      </c>
      <c r="M27" cm="1">
        <f t="array" ref="M27">eval_dbh2</f>
        <v>11278.331427656227</v>
      </c>
    </row>
    <row r="28" spans="1:13" x14ac:dyDescent="0.15">
      <c r="A28" t="s">
        <v>18</v>
      </c>
      <c r="B28">
        <v>18</v>
      </c>
      <c r="C28" t="s">
        <v>32</v>
      </c>
      <c r="D28" t="s">
        <v>7</v>
      </c>
      <c r="E28" t="s">
        <v>34</v>
      </c>
      <c r="F28" t="s">
        <v>10</v>
      </c>
      <c r="G28">
        <v>1</v>
      </c>
      <c r="H28" t="s">
        <v>147</v>
      </c>
      <c r="I28">
        <v>7.75</v>
      </c>
      <c r="J28">
        <v>6</v>
      </c>
      <c r="K28" t="str">
        <f>INDEX('DBH height biomass'!K:K,MATCH('scaled dbh t2'!H28,'DBH height biomass'!O:O,0))</f>
        <v>((0.0294*(X4^1.8357)*X2^0.864)+(0.0053*(X4^2.0876)*X2^0.5842)+(0.0117*(X4^3.5097)*X2^-1.3006)+(0.1245*(X4^2.523)*X2^-1.123))*1000</v>
      </c>
      <c r="L28" t="str">
        <f t="shared" si="0"/>
        <v>((0.0294*(7.75^1.8357)*6^0.864)+(0.0053*(7.75^2.0876)*6^0.5842)+(0.0117*(7.75^3.5097)*6^-1.3006)+(0.1245*(7.75^2.523)*6^-1.123))*1000</v>
      </c>
      <c r="M28" cm="1">
        <f t="array" ref="M28">eval_dbh2</f>
        <v>11438.039977028815</v>
      </c>
    </row>
    <row r="29" spans="1:13" x14ac:dyDescent="0.15">
      <c r="A29" t="s">
        <v>18</v>
      </c>
      <c r="B29">
        <v>18</v>
      </c>
      <c r="C29" t="s">
        <v>32</v>
      </c>
      <c r="D29" t="s">
        <v>7</v>
      </c>
      <c r="E29" t="s">
        <v>34</v>
      </c>
      <c r="F29" t="s">
        <v>10</v>
      </c>
      <c r="G29">
        <v>1</v>
      </c>
      <c r="H29" t="s">
        <v>147</v>
      </c>
      <c r="I29">
        <v>7.75</v>
      </c>
      <c r="J29">
        <v>6.5</v>
      </c>
      <c r="K29" t="str">
        <f>INDEX('DBH height biomass'!K:K,MATCH('scaled dbh t2'!H29,'DBH height biomass'!O:O,0))</f>
        <v>((0.0294*(X4^1.8357)*X2^0.864)+(0.0053*(X4^2.0876)*X2^0.5842)+(0.0117*(X4^3.5097)*X2^-1.3006)+(0.1245*(X4^2.523)*X2^-1.123))*1000</v>
      </c>
      <c r="L29" t="str">
        <f t="shared" si="0"/>
        <v>((0.0294*(7.75^1.8357)*6.5^0.864)+(0.0053*(7.75^2.0876)*6.5^0.5842)+(0.0117*(7.75^3.5097)*6.5^-1.3006)+(0.1245*(7.75^2.523)*6.5^-1.123))*1000</v>
      </c>
      <c r="M29" cm="1">
        <f t="array" ref="M29">eval_dbh2</f>
        <v>11515.166577755828</v>
      </c>
    </row>
    <row r="30" spans="1:13" x14ac:dyDescent="0.15">
      <c r="A30" t="s">
        <v>18</v>
      </c>
      <c r="B30">
        <v>15</v>
      </c>
      <c r="C30" t="s">
        <v>32</v>
      </c>
      <c r="D30" t="s">
        <v>5</v>
      </c>
      <c r="E30" t="s">
        <v>35</v>
      </c>
      <c r="F30" t="s">
        <v>10</v>
      </c>
      <c r="G30">
        <v>1</v>
      </c>
      <c r="H30" t="s">
        <v>150</v>
      </c>
      <c r="I30">
        <v>8</v>
      </c>
      <c r="J30">
        <v>7</v>
      </c>
      <c r="K30" t="str">
        <f>INDEX('DBH height biomass'!K:K,MATCH('scaled dbh t2'!H30,'DBH height biomass'!O:O,0))</f>
        <v>((0.0294*(X4^1.8357)*X2^0.864)+(0.0053*(X4^2.0876)*X2^0.5842)+(0.0117*(X4^3.5097)*X2^-1.3006)+(0.1245*(X4^2.523)*X2^-1.123))*1000</v>
      </c>
      <c r="L30" t="str">
        <f t="shared" si="0"/>
        <v>((0.0294*(8^1.8357)*7^0.864)+(0.0053*(8^2.0876)*7^0.5842)+(0.0117*(8^3.5097)*7^-1.3006)+(0.1245*(8^2.523)*7^-1.123))*1000</v>
      </c>
      <c r="M30" cm="1">
        <f t="array" ref="M30">eval_dbh2</f>
        <v>12486.012927130998</v>
      </c>
    </row>
    <row r="31" spans="1:13" x14ac:dyDescent="0.15">
      <c r="A31" t="s">
        <v>18</v>
      </c>
      <c r="B31">
        <v>14</v>
      </c>
      <c r="C31" t="s">
        <v>32</v>
      </c>
      <c r="D31" t="s">
        <v>7</v>
      </c>
      <c r="E31" t="s">
        <v>34</v>
      </c>
      <c r="F31" t="s">
        <v>15</v>
      </c>
      <c r="G31">
        <v>1</v>
      </c>
      <c r="H31" t="s">
        <v>146</v>
      </c>
      <c r="I31">
        <v>7</v>
      </c>
      <c r="J31">
        <v>7.5</v>
      </c>
      <c r="K31" t="str">
        <f>INDEX('DBH height biomass'!K:K,MATCH('scaled dbh t2'!H31,'DBH height biomass'!O:O,0))</f>
        <v>((0.0294*(X4^1.8357)*X2^0.864)+(0.0053*(X4^2.0876)*X2^0.5842)+(0.0117*(X4^3.5097)*X2^-1.3006)+(0.1245*(X4^2.523)*X2^-1.123))*1000</v>
      </c>
      <c r="L31" t="str">
        <f t="shared" si="0"/>
        <v>((0.0294*(7^1.8357)*7.5^0.864)+(0.0053*(7^2.0876)*7.5^0.5842)+(0.0117*(7^3.5097)*7.5^-1.3006)+(0.1245*(7^2.523)*7.5^-1.123))*1000</v>
      </c>
      <c r="M31" cm="1">
        <f t="array" ref="M31">eval_dbh2</f>
        <v>9510.0182545371517</v>
      </c>
    </row>
    <row r="32" spans="1:13" x14ac:dyDescent="0.15">
      <c r="A32" t="s">
        <v>18</v>
      </c>
      <c r="B32">
        <v>18</v>
      </c>
      <c r="C32" t="s">
        <v>32</v>
      </c>
      <c r="D32" t="s">
        <v>5</v>
      </c>
      <c r="E32" t="s">
        <v>35</v>
      </c>
      <c r="F32" t="s">
        <v>10</v>
      </c>
      <c r="G32">
        <v>1</v>
      </c>
      <c r="H32" t="s">
        <v>147</v>
      </c>
      <c r="I32">
        <v>8.25</v>
      </c>
      <c r="J32">
        <v>10</v>
      </c>
      <c r="K32" t="str">
        <f>INDEX('DBH height biomass'!K:K,MATCH('scaled dbh t2'!H32,'DBH height biomass'!O:O,0))</f>
        <v>((0.0294*(X4^1.8357)*X2^0.864)+(0.0053*(X4^2.0876)*X2^0.5842)+(0.0117*(X4^3.5097)*X2^-1.3006)+(0.1245*(X4^2.523)*X2^-1.123))*1000</v>
      </c>
      <c r="L32" t="str">
        <f t="shared" si="0"/>
        <v>((0.0294*(8.25^1.8357)*10^0.864)+(0.0053*(8.25^2.0876)*10^0.5842)+(0.0117*(8.25^3.5097)*10^-1.3006)+(0.1245*(8.25^2.523)*10^-1.123))*1000</v>
      </c>
      <c r="M32" cm="1">
        <f t="array" ref="M32">eval_dbh2</f>
        <v>14898.561983275153</v>
      </c>
    </row>
    <row r="33" spans="1:13" x14ac:dyDescent="0.15">
      <c r="A33" t="s">
        <v>18</v>
      </c>
      <c r="B33">
        <v>18</v>
      </c>
      <c r="C33" t="s">
        <v>32</v>
      </c>
      <c r="D33" t="s">
        <v>7</v>
      </c>
      <c r="E33" t="s">
        <v>34</v>
      </c>
      <c r="F33" t="s">
        <v>15</v>
      </c>
      <c r="G33">
        <v>1</v>
      </c>
      <c r="H33" t="s">
        <v>147</v>
      </c>
      <c r="I33">
        <v>7.25</v>
      </c>
      <c r="J33">
        <v>7.5</v>
      </c>
      <c r="K33" t="str">
        <f>INDEX('DBH height biomass'!K:K,MATCH('scaled dbh t2'!H33,'DBH height biomass'!O:O,0))</f>
        <v>((0.0294*(X4^1.8357)*X2^0.864)+(0.0053*(X4^2.0876)*X2^0.5842)+(0.0117*(X4^3.5097)*X2^-1.3006)+(0.1245*(X4^2.523)*X2^-1.123))*1000</v>
      </c>
      <c r="L33" t="str">
        <f t="shared" si="0"/>
        <v>((0.0294*(7.25^1.8357)*7.5^0.864)+(0.0053*(7.25^2.0876)*7.5^0.5842)+(0.0117*(7.25^3.5097)*7.5^-1.3006)+(0.1245*(7.25^2.523)*7.5^-1.123))*1000</v>
      </c>
      <c r="M33" cm="1">
        <f t="array" ref="M33">eval_dbh2</f>
        <v>10248.785082169079</v>
      </c>
    </row>
    <row r="34" spans="1:13" x14ac:dyDescent="0.15">
      <c r="A34" t="s">
        <v>3</v>
      </c>
      <c r="B34">
        <v>22</v>
      </c>
      <c r="C34" t="s">
        <v>30</v>
      </c>
      <c r="D34" t="s">
        <v>6</v>
      </c>
      <c r="E34" t="s">
        <v>36</v>
      </c>
      <c r="F34" t="s">
        <v>8</v>
      </c>
      <c r="G34">
        <v>1</v>
      </c>
      <c r="H34" t="s">
        <v>173</v>
      </c>
      <c r="I34">
        <v>8</v>
      </c>
      <c r="J34">
        <v>8</v>
      </c>
      <c r="K34" t="str">
        <f>INDEX('DBH height biomass'!K:K,MATCH('scaled dbh t2'!H34,'DBH height biomass'!O:O,0))</f>
        <v>((0.0309*(X4^1.7527)*X2^1.0014)+(0.0115*(X4^1.7405)*X2^0.6589)+(0.038*(X4^3.2558)*X2^-1.4218)+(0.2048*(X4^2.5754)*X2^-1.3704))*1000</v>
      </c>
      <c r="L34" t="str">
        <f t="shared" si="0"/>
        <v>((0.0309*(8^1.7527)*8^1.0014)+(0.0115*(8^1.7405)*8^0.6589)+(0.038*(8^3.2558)*8^-1.4218)+(0.2048*(8^2.5754)*8^-1.3704))*1000</v>
      </c>
      <c r="M34" cm="1">
        <f t="array" ref="M34">eval_dbh2</f>
        <v>15407.798662858504</v>
      </c>
    </row>
    <row r="35" spans="1:13" x14ac:dyDescent="0.15">
      <c r="A35" t="s">
        <v>18</v>
      </c>
      <c r="B35">
        <v>16</v>
      </c>
      <c r="C35" t="s">
        <v>32</v>
      </c>
      <c r="D35" t="s">
        <v>9</v>
      </c>
      <c r="E35" t="s">
        <v>37</v>
      </c>
      <c r="F35" t="s">
        <v>10</v>
      </c>
      <c r="G35">
        <v>1</v>
      </c>
      <c r="H35" t="s">
        <v>153</v>
      </c>
      <c r="I35">
        <v>8.75</v>
      </c>
      <c r="J35">
        <v>8</v>
      </c>
      <c r="K35" t="str">
        <f>INDEX('DBH height biomass'!K:K,MATCH('scaled dbh t2'!H35,'DBH height biomass'!O:O,0))</f>
        <v>((0.0294*(X4^1.8357)*X2^0.864)+(0.0053*(X4^2.0876)*X2^0.5842)+(0.0117*(X4^3.5097)*X2^-1.3006)+(0.1245*(X4^2.523)*X2^-1.123))*1000</v>
      </c>
      <c r="L35" t="str">
        <f t="shared" si="0"/>
        <v>((0.0294*(8.75^1.8357)*8^0.864)+(0.0053*(8.75^2.0876)*8^0.5842)+(0.0117*(8.75^3.5097)*8^-1.3006)+(0.1245*(8.75^2.523)*8^-1.123))*1000</v>
      </c>
      <c r="M35" cm="1">
        <f t="array" ref="M35">eval_dbh2</f>
        <v>15609.324438973654</v>
      </c>
    </row>
    <row r="36" spans="1:13" x14ac:dyDescent="0.15">
      <c r="A36" t="s">
        <v>18</v>
      </c>
      <c r="B36">
        <v>15</v>
      </c>
      <c r="C36" t="s">
        <v>32</v>
      </c>
      <c r="D36" t="s">
        <v>5</v>
      </c>
      <c r="E36" t="s">
        <v>35</v>
      </c>
      <c r="F36" t="s">
        <v>10</v>
      </c>
      <c r="G36">
        <v>1</v>
      </c>
      <c r="H36" t="s">
        <v>150</v>
      </c>
      <c r="I36">
        <v>9</v>
      </c>
      <c r="J36">
        <v>7</v>
      </c>
      <c r="K36" t="str">
        <f>INDEX('DBH height biomass'!K:K,MATCH('scaled dbh t2'!H36,'DBH height biomass'!O:O,0))</f>
        <v>((0.0294*(X4^1.8357)*X2^0.864)+(0.0053*(X4^2.0876)*X2^0.5842)+(0.0117*(X4^3.5097)*X2^-1.3006)+(0.1245*(X4^2.523)*X2^-1.123))*1000</v>
      </c>
      <c r="L36" t="str">
        <f t="shared" si="0"/>
        <v>((0.0294*(9^1.8357)*7^0.864)+(0.0053*(9^2.0876)*7^0.5842)+(0.0117*(9^3.5097)*7^-1.3006)+(0.1245*(9^2.523)*7^-1.123))*1000</v>
      </c>
      <c r="M36" cm="1">
        <f t="array" ref="M36">eval_dbh2</f>
        <v>16197.709013951411</v>
      </c>
    </row>
    <row r="37" spans="1:13" x14ac:dyDescent="0.15">
      <c r="A37" t="s">
        <v>18</v>
      </c>
      <c r="B37">
        <v>16</v>
      </c>
      <c r="C37" t="s">
        <v>32</v>
      </c>
      <c r="D37" t="s">
        <v>7</v>
      </c>
      <c r="E37" t="s">
        <v>34</v>
      </c>
      <c r="F37" t="s">
        <v>10</v>
      </c>
      <c r="G37">
        <v>1</v>
      </c>
      <c r="H37" t="s">
        <v>153</v>
      </c>
      <c r="I37">
        <v>9.25</v>
      </c>
      <c r="J37">
        <v>7</v>
      </c>
      <c r="K37" t="str">
        <f>INDEX('DBH height biomass'!K:K,MATCH('scaled dbh t2'!H37,'DBH height biomass'!O:O,0))</f>
        <v>((0.0294*(X4^1.8357)*X2^0.864)+(0.0053*(X4^2.0876)*X2^0.5842)+(0.0117*(X4^3.5097)*X2^-1.3006)+(0.1245*(X4^2.523)*X2^-1.123))*1000</v>
      </c>
      <c r="L37" t="str">
        <f t="shared" si="0"/>
        <v>((0.0294*(9.25^1.8357)*7^0.864)+(0.0053*(9.25^2.0876)*7^0.5842)+(0.0117*(9.25^3.5097)*7^-1.3006)+(0.1245*(9.25^2.523)*7^-1.123))*1000</v>
      </c>
      <c r="M37" cm="1">
        <f t="array" ref="M37">eval_dbh2</f>
        <v>17219.254445236544</v>
      </c>
    </row>
    <row r="38" spans="1:13" x14ac:dyDescent="0.15">
      <c r="A38" t="s">
        <v>18</v>
      </c>
      <c r="B38">
        <v>14</v>
      </c>
      <c r="C38" t="s">
        <v>32</v>
      </c>
      <c r="D38" t="s">
        <v>6</v>
      </c>
      <c r="E38" t="s">
        <v>36</v>
      </c>
      <c r="F38" t="s">
        <v>10</v>
      </c>
      <c r="G38">
        <v>1</v>
      </c>
      <c r="H38" t="s">
        <v>146</v>
      </c>
      <c r="I38">
        <v>9.5</v>
      </c>
      <c r="J38">
        <v>7.5</v>
      </c>
      <c r="K38" t="str">
        <f>INDEX('DBH height biomass'!K:K,MATCH('scaled dbh t2'!H38,'DBH height biomass'!O:O,0))</f>
        <v>((0.0294*(X4^1.8357)*X2^0.864)+(0.0053*(X4^2.0876)*X2^0.5842)+(0.0117*(X4^3.5097)*X2^-1.3006)+(0.1245*(X4^2.523)*X2^-1.123))*1000</v>
      </c>
      <c r="L38" t="str">
        <f t="shared" si="0"/>
        <v>((0.0294*(9.5^1.8357)*7.5^0.864)+(0.0053*(9.5^2.0876)*7.5^0.5842)+(0.0117*(9.5^3.5097)*7.5^-1.3006)+(0.1245*(9.5^2.523)*7.5^-1.123))*1000</v>
      </c>
      <c r="M38" cm="1">
        <f t="array" ref="M38">eval_dbh2</f>
        <v>18437.558777385475</v>
      </c>
    </row>
    <row r="39" spans="1:13" x14ac:dyDescent="0.15">
      <c r="A39" t="s">
        <v>18</v>
      </c>
      <c r="B39">
        <v>18</v>
      </c>
      <c r="C39" t="s">
        <v>32</v>
      </c>
      <c r="D39" t="s">
        <v>9</v>
      </c>
      <c r="E39" t="s">
        <v>37</v>
      </c>
      <c r="F39" t="s">
        <v>10</v>
      </c>
      <c r="G39">
        <v>1</v>
      </c>
      <c r="H39" t="s">
        <v>147</v>
      </c>
      <c r="I39">
        <v>9.5</v>
      </c>
      <c r="J39">
        <v>8</v>
      </c>
      <c r="K39" t="str">
        <f>INDEX('DBH height biomass'!K:K,MATCH('scaled dbh t2'!H39,'DBH height biomass'!O:O,0))</f>
        <v>((0.0294*(X4^1.8357)*X2^0.864)+(0.0053*(X4^2.0876)*X2^0.5842)+(0.0117*(X4^3.5097)*X2^-1.3006)+(0.1245*(X4^2.523)*X2^-1.123))*1000</v>
      </c>
      <c r="L39" t="str">
        <f t="shared" si="0"/>
        <v>((0.0294*(9.5^1.8357)*8^0.864)+(0.0053*(9.5^2.0876)*8^0.5842)+(0.0117*(9.5^3.5097)*8^-1.3006)+(0.1245*(9.5^2.523)*8^-1.123))*1000</v>
      </c>
      <c r="M39" cm="1">
        <f t="array" ref="M39">eval_dbh2</f>
        <v>18659.103869717583</v>
      </c>
    </row>
    <row r="40" spans="1:13" x14ac:dyDescent="0.15">
      <c r="A40" t="s">
        <v>18</v>
      </c>
      <c r="B40">
        <v>15</v>
      </c>
      <c r="C40" t="s">
        <v>32</v>
      </c>
      <c r="D40" t="s">
        <v>5</v>
      </c>
      <c r="E40" t="s">
        <v>35</v>
      </c>
      <c r="F40" t="s">
        <v>10</v>
      </c>
      <c r="G40">
        <v>1</v>
      </c>
      <c r="H40" t="s">
        <v>150</v>
      </c>
      <c r="I40">
        <v>10</v>
      </c>
      <c r="J40">
        <v>5.5</v>
      </c>
      <c r="K40" t="str">
        <f>INDEX('DBH height biomass'!K:K,MATCH('scaled dbh t2'!H40,'DBH height biomass'!O:O,0))</f>
        <v>((0.0294*(X4^1.8357)*X2^0.864)+(0.0053*(X4^2.0876)*X2^0.5842)+(0.0117*(X4^3.5097)*X2^-1.3006)+(0.1245*(X4^2.523)*X2^-1.123))*1000</v>
      </c>
      <c r="L40" t="str">
        <f t="shared" si="0"/>
        <v>((0.0294*(10^1.8357)*5.5^0.864)+(0.0053*(10^2.0876)*5.5^0.5842)+(0.0117*(10^3.5097)*5.5^-1.3006)+(0.1245*(10^2.523)*5.5^-1.123))*1000</v>
      </c>
      <c r="M40" cm="1">
        <f t="array" ref="M40">eval_dbh2</f>
        <v>20780.613112354942</v>
      </c>
    </row>
    <row r="41" spans="1:13" x14ac:dyDescent="0.15">
      <c r="A41" t="s">
        <v>18</v>
      </c>
      <c r="B41">
        <v>14</v>
      </c>
      <c r="C41" t="s">
        <v>32</v>
      </c>
      <c r="D41" t="s">
        <v>6</v>
      </c>
      <c r="E41" t="s">
        <v>36</v>
      </c>
      <c r="F41" t="s">
        <v>10</v>
      </c>
      <c r="G41">
        <v>1</v>
      </c>
      <c r="H41" t="s">
        <v>146</v>
      </c>
      <c r="I41">
        <v>10</v>
      </c>
      <c r="J41">
        <v>9</v>
      </c>
      <c r="K41" t="str">
        <f>INDEX('DBH height biomass'!K:K,MATCH('scaled dbh t2'!H41,'DBH height biomass'!O:O,0))</f>
        <v>((0.0294*(X4^1.8357)*X2^0.864)+(0.0053*(X4^2.0876)*X2^0.5842)+(0.0117*(X4^3.5097)*X2^-1.3006)+(0.1245*(X4^2.523)*X2^-1.123))*1000</v>
      </c>
      <c r="L41" t="str">
        <f t="shared" si="0"/>
        <v>((0.0294*(10^1.8357)*9^0.864)+(0.0053*(10^2.0876)*9^0.5842)+(0.0117*(10^3.5097)*9^-1.3006)+(0.1245*(10^2.523)*9^-1.123))*1000</v>
      </c>
      <c r="M41" cm="1">
        <f t="array" ref="M41">eval_dbh2</f>
        <v>21475.999298519928</v>
      </c>
    </row>
    <row r="42" spans="1:13" x14ac:dyDescent="0.15">
      <c r="A42" t="s">
        <v>18</v>
      </c>
      <c r="B42">
        <v>16</v>
      </c>
      <c r="C42" t="s">
        <v>32</v>
      </c>
      <c r="D42" t="s">
        <v>6</v>
      </c>
      <c r="E42" t="s">
        <v>36</v>
      </c>
      <c r="F42" t="s">
        <v>10</v>
      </c>
      <c r="G42">
        <v>1</v>
      </c>
      <c r="H42" t="s">
        <v>153</v>
      </c>
      <c r="I42">
        <v>10.5</v>
      </c>
      <c r="J42">
        <v>8.5</v>
      </c>
      <c r="K42" t="str">
        <f>INDEX('DBH height biomass'!K:K,MATCH('scaled dbh t2'!H42,'DBH height biomass'!O:O,0))</f>
        <v>((0.0294*(X4^1.8357)*X2^0.864)+(0.0053*(X4^2.0876)*X2^0.5842)+(0.0117*(X4^3.5097)*X2^-1.3006)+(0.1245*(X4^2.523)*X2^-1.123))*1000</v>
      </c>
      <c r="L42" t="str">
        <f t="shared" si="0"/>
        <v>((0.0294*(10.5^1.8357)*8.5^0.864)+(0.0053*(10.5^2.0876)*8.5^0.5842)+(0.0117*(10.5^3.5097)*8.5^-1.3006)+(0.1245*(10.5^2.523)*8.5^-1.123))*1000</v>
      </c>
      <c r="M42" cm="1">
        <f t="array" ref="M42">eval_dbh2</f>
        <v>23522.56950720766</v>
      </c>
    </row>
    <row r="43" spans="1:13" x14ac:dyDescent="0.15">
      <c r="A43" t="s">
        <v>18</v>
      </c>
      <c r="B43">
        <v>16</v>
      </c>
      <c r="C43" t="s">
        <v>32</v>
      </c>
      <c r="D43" t="s">
        <v>7</v>
      </c>
      <c r="E43" t="s">
        <v>34</v>
      </c>
      <c r="F43" t="s">
        <v>10</v>
      </c>
      <c r="G43">
        <v>1</v>
      </c>
      <c r="H43" t="s">
        <v>153</v>
      </c>
      <c r="I43">
        <v>11</v>
      </c>
      <c r="J43">
        <v>8</v>
      </c>
      <c r="K43" t="str">
        <f>INDEX('DBH height biomass'!K:K,MATCH('scaled dbh t2'!H43,'DBH height biomass'!O:O,0))</f>
        <v>((0.0294*(X4^1.8357)*X2^0.864)+(0.0053*(X4^2.0876)*X2^0.5842)+(0.0117*(X4^3.5097)*X2^-1.3006)+(0.1245*(X4^2.523)*X2^-1.123))*1000</v>
      </c>
      <c r="L43" t="str">
        <f t="shared" si="0"/>
        <v>((0.0294*(11^1.8357)*8^0.864)+(0.0053*(11^2.0876)*8^0.5842)+(0.0117*(11^3.5097)*8^-1.3006)+(0.1245*(11^2.523)*8^-1.123))*1000</v>
      </c>
      <c r="M43" cm="1">
        <f t="array" ref="M43">eval_dbh2</f>
        <v>25777.396723184695</v>
      </c>
    </row>
    <row r="44" spans="1:13" x14ac:dyDescent="0.15">
      <c r="A44" t="s">
        <v>18</v>
      </c>
      <c r="B44">
        <v>16</v>
      </c>
      <c r="C44" t="s">
        <v>32</v>
      </c>
      <c r="D44" t="s">
        <v>9</v>
      </c>
      <c r="E44" t="s">
        <v>37</v>
      </c>
      <c r="F44" t="s">
        <v>10</v>
      </c>
      <c r="G44">
        <v>1</v>
      </c>
      <c r="H44" t="s">
        <v>153</v>
      </c>
      <c r="I44">
        <v>11.25</v>
      </c>
      <c r="J44">
        <v>8</v>
      </c>
      <c r="K44" t="str">
        <f>INDEX('DBH height biomass'!K:K,MATCH('scaled dbh t2'!H44,'DBH height biomass'!O:O,0))</f>
        <v>((0.0294*(X4^1.8357)*X2^0.864)+(0.0053*(X4^2.0876)*X2^0.5842)+(0.0117*(X4^3.5097)*X2^-1.3006)+(0.1245*(X4^2.523)*X2^-1.123))*1000</v>
      </c>
      <c r="L44" t="str">
        <f t="shared" si="0"/>
        <v>((0.0294*(11.25^1.8357)*8^0.864)+(0.0053*(11.25^2.0876)*8^0.5842)+(0.0117*(11.25^3.5097)*8^-1.3006)+(0.1245*(11.25^2.523)*8^-1.123))*1000</v>
      </c>
      <c r="M44" cm="1">
        <f t="array" ref="M44">eval_dbh2</f>
        <v>27103.001601355914</v>
      </c>
    </row>
    <row r="45" spans="1:13" x14ac:dyDescent="0.15">
      <c r="A45" t="s">
        <v>18</v>
      </c>
      <c r="B45">
        <v>16</v>
      </c>
      <c r="C45" t="s">
        <v>32</v>
      </c>
      <c r="D45" t="s">
        <v>7</v>
      </c>
      <c r="E45" t="s">
        <v>34</v>
      </c>
      <c r="F45" t="s">
        <v>10</v>
      </c>
      <c r="G45">
        <v>1</v>
      </c>
      <c r="H45" t="s">
        <v>153</v>
      </c>
      <c r="I45">
        <v>11.25</v>
      </c>
      <c r="J45">
        <v>9</v>
      </c>
      <c r="K45" t="str">
        <f>INDEX('DBH height biomass'!K:K,MATCH('scaled dbh t2'!H45,'DBH height biomass'!O:O,0))</f>
        <v>((0.0294*(X4^1.8357)*X2^0.864)+(0.0053*(X4^2.0876)*X2^0.5842)+(0.0117*(X4^3.5097)*X2^-1.3006)+(0.1245*(X4^2.523)*X2^-1.123))*1000</v>
      </c>
      <c r="L45" t="str">
        <f t="shared" si="0"/>
        <v>((0.0294*(11.25^1.8357)*9^0.864)+(0.0053*(11.25^2.0876)*9^0.5842)+(0.0117*(11.25^3.5097)*9^-1.3006)+(0.1245*(11.25^2.523)*9^-1.123))*1000</v>
      </c>
      <c r="M45" cm="1">
        <f t="array" ref="M45">eval_dbh2</f>
        <v>27703.144573959955</v>
      </c>
    </row>
    <row r="46" spans="1:13" x14ac:dyDescent="0.15">
      <c r="A46" t="s">
        <v>18</v>
      </c>
      <c r="B46">
        <v>18</v>
      </c>
      <c r="C46" t="s">
        <v>32</v>
      </c>
      <c r="D46" t="s">
        <v>7</v>
      </c>
      <c r="E46" t="s">
        <v>34</v>
      </c>
      <c r="F46" t="s">
        <v>15</v>
      </c>
      <c r="G46">
        <v>1</v>
      </c>
      <c r="H46" t="s">
        <v>147</v>
      </c>
      <c r="I46">
        <v>9.5</v>
      </c>
      <c r="J46">
        <v>9</v>
      </c>
      <c r="K46" t="str">
        <f>INDEX('DBH height biomass'!K:K,MATCH('scaled dbh t2'!H46,'DBH height biomass'!O:O,0))</f>
        <v>((0.0294*(X4^1.8357)*X2^0.864)+(0.0053*(X4^2.0876)*X2^0.5842)+(0.0117*(X4^3.5097)*X2^-1.3006)+(0.1245*(X4^2.523)*X2^-1.123))*1000</v>
      </c>
      <c r="L46" t="str">
        <f t="shared" si="0"/>
        <v>((0.0294*(9.5^1.8357)*9^0.864)+(0.0053*(9.5^2.0876)*9^0.5842)+(0.0117*(9.5^3.5097)*9^-1.3006)+(0.1245*(9.5^2.523)*9^-1.123))*1000</v>
      </c>
      <c r="M46" cm="1">
        <f t="array" ref="M46">eval_dbh2</f>
        <v>19245.162022315402</v>
      </c>
    </row>
    <row r="47" spans="1:13" x14ac:dyDescent="0.15">
      <c r="A47" t="s">
        <v>18</v>
      </c>
      <c r="B47">
        <v>18</v>
      </c>
      <c r="C47" t="s">
        <v>32</v>
      </c>
      <c r="D47" t="s">
        <v>7</v>
      </c>
      <c r="E47" t="s">
        <v>34</v>
      </c>
      <c r="F47" t="s">
        <v>15</v>
      </c>
      <c r="G47">
        <v>1</v>
      </c>
      <c r="H47" t="s">
        <v>147</v>
      </c>
      <c r="I47">
        <v>10.25</v>
      </c>
      <c r="J47">
        <v>7</v>
      </c>
      <c r="K47" t="str">
        <f>INDEX('DBH height biomass'!K:K,MATCH('scaled dbh t2'!H47,'DBH height biomass'!O:O,0))</f>
        <v>((0.0294*(X4^1.8357)*X2^0.864)+(0.0053*(X4^2.0876)*X2^0.5842)+(0.0117*(X4^3.5097)*X2^-1.3006)+(0.1245*(X4^2.523)*X2^-1.123))*1000</v>
      </c>
      <c r="L47" t="str">
        <f t="shared" si="0"/>
        <v>((0.0294*(10.25^1.8357)*7^0.864)+(0.0053*(10.25^2.0876)*7^0.5842)+(0.0117*(10.25^3.5097)*7^-1.3006)+(0.1245*(10.25^2.523)*7^-1.123))*1000</v>
      </c>
      <c r="M47" cm="1">
        <f t="array" ref="M47">eval_dbh2</f>
        <v>21701.209210702349</v>
      </c>
    </row>
    <row r="48" spans="1:13" x14ac:dyDescent="0.15">
      <c r="A48" t="s">
        <v>18</v>
      </c>
      <c r="B48">
        <v>16</v>
      </c>
      <c r="C48" t="s">
        <v>32</v>
      </c>
      <c r="D48" t="s">
        <v>7</v>
      </c>
      <c r="E48" t="s">
        <v>34</v>
      </c>
      <c r="F48" t="s">
        <v>10</v>
      </c>
      <c r="G48">
        <v>1</v>
      </c>
      <c r="H48" t="s">
        <v>153</v>
      </c>
      <c r="I48">
        <v>11.5</v>
      </c>
      <c r="J48">
        <v>8.5</v>
      </c>
      <c r="K48" t="str">
        <f>INDEX('DBH height biomass'!K:K,MATCH('scaled dbh t2'!H48,'DBH height biomass'!O:O,0))</f>
        <v>((0.0294*(X4^1.8357)*X2^0.864)+(0.0053*(X4^2.0876)*X2^0.5842)+(0.0117*(X4^3.5097)*X2^-1.3006)+(0.1245*(X4^2.523)*X2^-1.123))*1000</v>
      </c>
      <c r="L48" t="str">
        <f t="shared" si="0"/>
        <v>((0.0294*(11.5^1.8357)*8.5^0.864)+(0.0053*(11.5^2.0876)*8.5^0.5842)+(0.0117*(11.5^3.5097)*8.5^-1.3006)+(0.1245*(11.5^2.523)*8.5^-1.123))*1000</v>
      </c>
      <c r="M48" cm="1">
        <f t="array" ref="M48">eval_dbh2</f>
        <v>28729.825598248244</v>
      </c>
    </row>
    <row r="49" spans="1:13" x14ac:dyDescent="0.15">
      <c r="A49" t="s">
        <v>18</v>
      </c>
      <c r="B49">
        <v>16</v>
      </c>
      <c r="C49" t="s">
        <v>32</v>
      </c>
      <c r="D49" t="s">
        <v>7</v>
      </c>
      <c r="E49" t="s">
        <v>34</v>
      </c>
      <c r="F49" t="s">
        <v>10</v>
      </c>
      <c r="G49">
        <v>1</v>
      </c>
      <c r="H49" t="s">
        <v>153</v>
      </c>
      <c r="I49">
        <v>11.5</v>
      </c>
      <c r="J49">
        <v>9</v>
      </c>
      <c r="K49" t="str">
        <f>INDEX('DBH height biomass'!K:K,MATCH('scaled dbh t2'!H49,'DBH height biomass'!O:O,0))</f>
        <v>((0.0294*(X4^1.8357)*X2^0.864)+(0.0053*(X4^2.0876)*X2^0.5842)+(0.0117*(X4^3.5097)*X2^-1.3006)+(0.1245*(X4^2.523)*X2^-1.123))*1000</v>
      </c>
      <c r="L49" t="str">
        <f t="shared" si="0"/>
        <v>((0.0294*(11.5^1.8357)*9^0.864)+(0.0053*(11.5^2.0876)*9^0.5842)+(0.0117*(11.5^3.5097)*9^-1.3006)+(0.1245*(11.5^2.523)*9^-1.123))*1000</v>
      </c>
      <c r="M49" cm="1">
        <f t="array" ref="M49">eval_dbh2</f>
        <v>29064.241759042648</v>
      </c>
    </row>
    <row r="50" spans="1:13" x14ac:dyDescent="0.15">
      <c r="A50" t="s">
        <v>18</v>
      </c>
      <c r="B50">
        <v>16</v>
      </c>
      <c r="C50" t="s">
        <v>32</v>
      </c>
      <c r="D50" t="s">
        <v>7</v>
      </c>
      <c r="E50" t="s">
        <v>34</v>
      </c>
      <c r="F50" t="s">
        <v>10</v>
      </c>
      <c r="G50">
        <v>1</v>
      </c>
      <c r="H50" t="s">
        <v>153</v>
      </c>
      <c r="I50">
        <v>11.75</v>
      </c>
      <c r="J50">
        <v>10</v>
      </c>
      <c r="K50" t="str">
        <f>INDEX('DBH height biomass'!K:K,MATCH('scaled dbh t2'!H50,'DBH height biomass'!O:O,0))</f>
        <v>((0.0294*(X4^1.8357)*X2^0.864)+(0.0053*(X4^2.0876)*X2^0.5842)+(0.0117*(X4^3.5097)*X2^-1.3006)+(0.1245*(X4^2.523)*X2^-1.123))*1000</v>
      </c>
      <c r="L50" t="str">
        <f t="shared" si="0"/>
        <v>((0.0294*(11.75^1.8357)*10^0.864)+(0.0053*(11.75^2.0876)*10^0.5842)+(0.0117*(11.75^3.5097)*10^-1.3006)+(0.1245*(11.75^2.523)*10^-1.123))*1000</v>
      </c>
      <c r="M50" cm="1">
        <f t="array" ref="M50">eval_dbh2</f>
        <v>31316.027905082734</v>
      </c>
    </row>
    <row r="51" spans="1:13" x14ac:dyDescent="0.15">
      <c r="A51" t="s">
        <v>18</v>
      </c>
      <c r="B51">
        <v>14</v>
      </c>
      <c r="C51" t="s">
        <v>32</v>
      </c>
      <c r="D51" t="s">
        <v>9</v>
      </c>
      <c r="E51" t="s">
        <v>37</v>
      </c>
      <c r="F51" t="s">
        <v>10</v>
      </c>
      <c r="G51">
        <v>1</v>
      </c>
      <c r="H51" t="s">
        <v>146</v>
      </c>
      <c r="I51">
        <v>12</v>
      </c>
      <c r="J51">
        <v>11.5</v>
      </c>
      <c r="K51" t="str">
        <f>INDEX('DBH height biomass'!K:K,MATCH('scaled dbh t2'!H51,'DBH height biomass'!O:O,0))</f>
        <v>((0.0294*(X4^1.8357)*X2^0.864)+(0.0053*(X4^2.0876)*X2^0.5842)+(0.0117*(X4^3.5097)*X2^-1.3006)+(0.1245*(X4^2.523)*X2^-1.123))*1000</v>
      </c>
      <c r="L51" t="str">
        <f t="shared" si="0"/>
        <v>((0.0294*(12^1.8357)*11.5^0.864)+(0.0053*(12^2.0876)*11.5^0.5842)+(0.0117*(12^3.5097)*11.5^-1.3006)+(0.1245*(12^2.523)*11.5^-1.123))*1000</v>
      </c>
      <c r="M51" cm="1">
        <f t="array" ref="M51">eval_dbh2</f>
        <v>34399.380324803933</v>
      </c>
    </row>
    <row r="52" spans="1:13" x14ac:dyDescent="0.15">
      <c r="A52" t="s">
        <v>18</v>
      </c>
      <c r="B52">
        <v>16</v>
      </c>
      <c r="C52" t="s">
        <v>32</v>
      </c>
      <c r="D52" t="s">
        <v>5</v>
      </c>
      <c r="E52" t="s">
        <v>35</v>
      </c>
      <c r="F52" t="s">
        <v>10</v>
      </c>
      <c r="G52">
        <v>1</v>
      </c>
      <c r="H52" t="s">
        <v>153</v>
      </c>
      <c r="I52">
        <v>13</v>
      </c>
      <c r="J52">
        <v>7</v>
      </c>
      <c r="K52" t="str">
        <f>INDEX('DBH height biomass'!K:K,MATCH('scaled dbh t2'!H52,'DBH height biomass'!O:O,0))</f>
        <v>((0.0294*(X4^1.8357)*X2^0.864)+(0.0053*(X4^2.0876)*X2^0.5842)+(0.0117*(X4^3.5097)*X2^-1.3006)+(0.1245*(X4^2.523)*X2^-1.123))*1000</v>
      </c>
      <c r="L52" t="str">
        <f t="shared" si="0"/>
        <v>((0.0294*(13^1.8357)*7^0.864)+(0.0053*(13^2.0876)*7^0.5842)+(0.0117*(13^3.5097)*7^-1.3006)+(0.1245*(13^2.523)*7^-1.123))*1000</v>
      </c>
      <c r="M52" cm="1">
        <f t="array" ref="M52">eval_dbh2</f>
        <v>37620.157005348061</v>
      </c>
    </row>
    <row r="53" spans="1:13" x14ac:dyDescent="0.15">
      <c r="A53" t="s">
        <v>18</v>
      </c>
      <c r="B53">
        <v>16</v>
      </c>
      <c r="C53" t="s">
        <v>32</v>
      </c>
      <c r="D53" t="s">
        <v>9</v>
      </c>
      <c r="E53" t="s">
        <v>37</v>
      </c>
      <c r="F53" t="s">
        <v>10</v>
      </c>
      <c r="G53">
        <v>1</v>
      </c>
      <c r="H53" t="s">
        <v>153</v>
      </c>
      <c r="I53">
        <v>13</v>
      </c>
      <c r="J53">
        <v>9</v>
      </c>
      <c r="K53" t="str">
        <f>INDEX('DBH height biomass'!K:K,MATCH('scaled dbh t2'!H53,'DBH height biomass'!O:O,0))</f>
        <v>((0.0294*(X4^1.8357)*X2^0.864)+(0.0053*(X4^2.0876)*X2^0.5842)+(0.0117*(X4^3.5097)*X2^-1.3006)+(0.1245*(X4^2.523)*X2^-1.123))*1000</v>
      </c>
      <c r="L53" t="str">
        <f t="shared" si="0"/>
        <v>((0.0294*(13^1.8357)*9^0.864)+(0.0053*(13^2.0876)*9^0.5842)+(0.0117*(13^3.5097)*9^-1.3006)+(0.1245*(13^2.523)*9^-1.123))*1000</v>
      </c>
      <c r="M53" cm="1">
        <f t="array" ref="M53">eval_dbh2</f>
        <v>38086.52570641385</v>
      </c>
    </row>
    <row r="54" spans="1:13" x14ac:dyDescent="0.15">
      <c r="A54" t="s">
        <v>18</v>
      </c>
      <c r="B54">
        <v>14</v>
      </c>
      <c r="C54" t="s">
        <v>32</v>
      </c>
      <c r="D54" t="s">
        <v>5</v>
      </c>
      <c r="E54" t="s">
        <v>35</v>
      </c>
      <c r="F54" t="s">
        <v>15</v>
      </c>
      <c r="G54">
        <v>1</v>
      </c>
      <c r="H54" t="s">
        <v>146</v>
      </c>
      <c r="I54">
        <v>10.75</v>
      </c>
      <c r="J54">
        <v>11</v>
      </c>
      <c r="K54" t="str">
        <f>INDEX('DBH height biomass'!K:K,MATCH('scaled dbh t2'!H54,'DBH height biomass'!O:O,0))</f>
        <v>((0.0294*(X4^1.8357)*X2^0.864)+(0.0053*(X4^2.0876)*X2^0.5842)+(0.0117*(X4^3.5097)*X2^-1.3006)+(0.1245*(X4^2.523)*X2^-1.123))*1000</v>
      </c>
      <c r="L54" t="str">
        <f t="shared" si="0"/>
        <v>((0.0294*(10.75^1.8357)*11^0.864)+(0.0053*(10.75^2.0876)*11^0.5842)+(0.0117*(10.75^3.5097)*11^-1.3006)+(0.1245*(10.75^2.523)*11^-1.123))*1000</v>
      </c>
      <c r="M54" cm="1">
        <f t="array" ref="M54">eval_dbh2</f>
        <v>26847.821005893744</v>
      </c>
    </row>
    <row r="55" spans="1:13" x14ac:dyDescent="0.15">
      <c r="A55" t="s">
        <v>18</v>
      </c>
      <c r="B55">
        <v>18</v>
      </c>
      <c r="C55" t="s">
        <v>32</v>
      </c>
      <c r="D55" t="s">
        <v>9</v>
      </c>
      <c r="E55" t="s">
        <v>37</v>
      </c>
      <c r="F55" t="s">
        <v>15</v>
      </c>
      <c r="G55">
        <v>1</v>
      </c>
      <c r="H55" t="s">
        <v>147</v>
      </c>
      <c r="I55">
        <v>11.25</v>
      </c>
      <c r="J55">
        <v>9.5</v>
      </c>
      <c r="K55" t="str">
        <f>INDEX('DBH height biomass'!K:K,MATCH('scaled dbh t2'!H55,'DBH height biomass'!O:O,0))</f>
        <v>((0.0294*(X4^1.8357)*X2^0.864)+(0.0053*(X4^2.0876)*X2^0.5842)+(0.0117*(X4^3.5097)*X2^-1.3006)+(0.1245*(X4^2.523)*X2^-1.123))*1000</v>
      </c>
      <c r="L55" t="str">
        <f t="shared" si="0"/>
        <v>((0.0294*(11.25^1.8357)*9.5^0.864)+(0.0053*(11.25^2.0876)*9.5^0.5842)+(0.0117*(11.25^3.5097)*9.5^-1.3006)+(0.1245*(11.25^2.523)*9.5^-1.123))*1000</v>
      </c>
      <c r="M55" cm="1">
        <f t="array" ref="M55">eval_dbh2</f>
        <v>28095.181826255986</v>
      </c>
    </row>
    <row r="56" spans="1:13" x14ac:dyDescent="0.15">
      <c r="A56" t="s">
        <v>3</v>
      </c>
      <c r="B56">
        <v>33</v>
      </c>
      <c r="C56" t="s">
        <v>32</v>
      </c>
      <c r="D56" t="s">
        <v>6</v>
      </c>
      <c r="E56" t="s">
        <v>36</v>
      </c>
      <c r="F56" t="s">
        <v>10</v>
      </c>
      <c r="G56">
        <v>1</v>
      </c>
      <c r="H56" t="s">
        <v>145</v>
      </c>
      <c r="I56">
        <v>13.5</v>
      </c>
      <c r="J56">
        <v>8.3000000000000007</v>
      </c>
      <c r="K56" t="str">
        <f>INDEX('DBH height biomass'!K:K,MATCH('scaled dbh t2'!H56,'DBH height biomass'!O:O,0))</f>
        <v>((0.0294*(X4^1.8357)*X2^0.864)+(0.0053*(X4^2.0876)*X2^0.5842)+(0.0117*(X4^3.5097)*X2^-1.3006)+(0.1245*(X4^2.523)*X2^-1.123))*1000</v>
      </c>
      <c r="L56" t="str">
        <f t="shared" si="0"/>
        <v>((0.0294*(13.5^1.8357)*8.3^0.864)+(0.0053*(13.5^2.0876)*8.3^0.5842)+(0.0117*(13.5^3.5097)*8.3^-1.3006)+(0.1245*(13.5^2.523)*8.3^-1.123))*1000</v>
      </c>
      <c r="M56" cm="1">
        <f t="array" ref="M56">eval_dbh2</f>
        <v>41061.314604189152</v>
      </c>
    </row>
    <row r="57" spans="1:13" x14ac:dyDescent="0.15">
      <c r="A57" t="s">
        <v>3</v>
      </c>
      <c r="B57">
        <v>31</v>
      </c>
      <c r="C57" t="s">
        <v>32</v>
      </c>
      <c r="D57" t="s">
        <v>9</v>
      </c>
      <c r="E57" t="s">
        <v>37</v>
      </c>
      <c r="F57" t="s">
        <v>10</v>
      </c>
      <c r="G57">
        <v>1</v>
      </c>
      <c r="H57" t="s">
        <v>174</v>
      </c>
      <c r="I57">
        <v>13.5</v>
      </c>
      <c r="J57">
        <v>9.5</v>
      </c>
      <c r="K57" t="str">
        <f>INDEX('DBH height biomass'!K:K,MATCH('scaled dbh t2'!H57,'DBH height biomass'!O:O,0))</f>
        <v>((0.0294*(X4^1.8357)*X2^0.864)+(0.0053*(X4^2.0876)*X2^0.5842)+(0.0117*(X4^3.5097)*X2^-1.3006)+(0.1245*(X4^2.523)*X2^-1.123))*1000</v>
      </c>
      <c r="L57" t="str">
        <f t="shared" si="0"/>
        <v>((0.0294*(13.5^1.8357)*9.5^0.864)+(0.0053*(13.5^2.0876)*9.5^0.5842)+(0.0117*(13.5^3.5097)*9.5^-1.3006)+(0.1245*(13.5^2.523)*9.5^-1.123))*1000</v>
      </c>
      <c r="M57" cm="1">
        <f t="array" ref="M57">eval_dbh2</f>
        <v>41824.422071263092</v>
      </c>
    </row>
    <row r="58" spans="1:13" x14ac:dyDescent="0.15">
      <c r="A58" t="s">
        <v>18</v>
      </c>
      <c r="B58">
        <v>16</v>
      </c>
      <c r="C58" t="s">
        <v>32</v>
      </c>
      <c r="D58" t="s">
        <v>5</v>
      </c>
      <c r="E58" t="s">
        <v>35</v>
      </c>
      <c r="F58" t="s">
        <v>10</v>
      </c>
      <c r="G58">
        <v>1</v>
      </c>
      <c r="H58" t="s">
        <v>153</v>
      </c>
      <c r="I58">
        <v>13.5</v>
      </c>
      <c r="J58">
        <v>10</v>
      </c>
      <c r="K58" t="str">
        <f>INDEX('DBH height biomass'!K:K,MATCH('scaled dbh t2'!H58,'DBH height biomass'!O:O,0))</f>
        <v>((0.0294*(X4^1.8357)*X2^0.864)+(0.0053*(X4^2.0876)*X2^0.5842)+(0.0117*(X4^3.5097)*X2^-1.3006)+(0.1245*(X4^2.523)*X2^-1.123))*1000</v>
      </c>
      <c r="L58" t="str">
        <f t="shared" si="0"/>
        <v>((0.0294*(13.5^1.8357)*10^0.864)+(0.0053*(13.5^2.0876)*10^0.5842)+(0.0117*(13.5^3.5097)*10^-1.3006)+(0.1245*(13.5^2.523)*10^-1.123))*1000</v>
      </c>
      <c r="M58" cm="1">
        <f t="array" ref="M58">eval_dbh2</f>
        <v>42299.367077065443</v>
      </c>
    </row>
    <row r="59" spans="1:13" x14ac:dyDescent="0.15">
      <c r="A59" t="s">
        <v>18</v>
      </c>
      <c r="B59">
        <v>16</v>
      </c>
      <c r="C59" t="s">
        <v>32</v>
      </c>
      <c r="D59" t="s">
        <v>9</v>
      </c>
      <c r="E59" t="s">
        <v>37</v>
      </c>
      <c r="F59" t="s">
        <v>10</v>
      </c>
      <c r="G59">
        <v>1</v>
      </c>
      <c r="H59" t="s">
        <v>153</v>
      </c>
      <c r="I59">
        <v>14</v>
      </c>
      <c r="J59">
        <v>10</v>
      </c>
      <c r="K59" t="str">
        <f>INDEX('DBH height biomass'!K:K,MATCH('scaled dbh t2'!H59,'DBH height biomass'!O:O,0))</f>
        <v>((0.0294*(X4^1.8357)*X2^0.864)+(0.0053*(X4^2.0876)*X2^0.5842)+(0.0117*(X4^3.5097)*X2^-1.3006)+(0.1245*(X4^2.523)*X2^-1.123))*1000</v>
      </c>
      <c r="L59" t="str">
        <f t="shared" si="0"/>
        <v>((0.0294*(14^1.8357)*10^0.864)+(0.0053*(14^2.0876)*10^0.5842)+(0.0117*(14^3.5097)*10^-1.3006)+(0.1245*(14^2.523)*10^-1.123))*1000</v>
      </c>
      <c r="M59" cm="1">
        <f t="array" ref="M59">eval_dbh2</f>
        <v>45810.228253065019</v>
      </c>
    </row>
    <row r="60" spans="1:13" x14ac:dyDescent="0.15">
      <c r="A60" t="s">
        <v>18</v>
      </c>
      <c r="B60">
        <v>18</v>
      </c>
      <c r="C60" t="s">
        <v>32</v>
      </c>
      <c r="D60" t="s">
        <v>7</v>
      </c>
      <c r="E60" t="s">
        <v>34</v>
      </c>
      <c r="F60" t="s">
        <v>11</v>
      </c>
      <c r="G60">
        <v>1</v>
      </c>
      <c r="H60" t="s">
        <v>147</v>
      </c>
      <c r="I60">
        <v>12</v>
      </c>
      <c r="J60">
        <v>10</v>
      </c>
      <c r="K60" t="str">
        <f>INDEX('DBH height biomass'!K:K,MATCH('scaled dbh t2'!H60,'DBH height biomass'!O:O,0))</f>
        <v>((0.0294*(X4^1.8357)*X2^0.864)+(0.0053*(X4^2.0876)*X2^0.5842)+(0.0117*(X4^3.5097)*X2^-1.3006)+(0.1245*(X4^2.523)*X2^-1.123))*1000</v>
      </c>
      <c r="L60" t="str">
        <f t="shared" si="0"/>
        <v>((0.0294*(12^1.8357)*10^0.864)+(0.0053*(12^2.0876)*10^0.5842)+(0.0117*(12^3.5097)*10^-1.3006)+(0.1245*(12^2.523)*10^-1.123))*1000</v>
      </c>
      <c r="M60" cm="1">
        <f t="array" ref="M60">eval_dbh2</f>
        <v>32764.792068409355</v>
      </c>
    </row>
    <row r="61" spans="1:13" x14ac:dyDescent="0.15">
      <c r="A61" t="s">
        <v>18</v>
      </c>
      <c r="B61">
        <v>18</v>
      </c>
      <c r="C61" t="s">
        <v>32</v>
      </c>
      <c r="D61" t="s">
        <v>7</v>
      </c>
      <c r="E61" t="s">
        <v>34</v>
      </c>
      <c r="F61" t="s">
        <v>15</v>
      </c>
      <c r="G61">
        <v>1</v>
      </c>
      <c r="H61" t="s">
        <v>147</v>
      </c>
      <c r="I61">
        <v>12</v>
      </c>
      <c r="J61">
        <v>10</v>
      </c>
      <c r="K61" t="str">
        <f>INDEX('DBH height biomass'!K:K,MATCH('scaled dbh t2'!H61,'DBH height biomass'!O:O,0))</f>
        <v>((0.0294*(X4^1.8357)*X2^0.864)+(0.0053*(X4^2.0876)*X2^0.5842)+(0.0117*(X4^3.5097)*X2^-1.3006)+(0.1245*(X4^2.523)*X2^-1.123))*1000</v>
      </c>
      <c r="L61" t="str">
        <f t="shared" si="0"/>
        <v>((0.0294*(12^1.8357)*10^0.864)+(0.0053*(12^2.0876)*10^0.5842)+(0.0117*(12^3.5097)*10^-1.3006)+(0.1245*(12^2.523)*10^-1.123))*1000</v>
      </c>
      <c r="M61" cm="1">
        <f t="array" ref="M61">eval_dbh2</f>
        <v>32764.792068409355</v>
      </c>
    </row>
    <row r="62" spans="1:13" x14ac:dyDescent="0.15">
      <c r="A62" t="s">
        <v>18</v>
      </c>
      <c r="B62">
        <v>14</v>
      </c>
      <c r="C62" t="s">
        <v>32</v>
      </c>
      <c r="D62" t="s">
        <v>5</v>
      </c>
      <c r="E62" t="s">
        <v>35</v>
      </c>
      <c r="F62" t="s">
        <v>10</v>
      </c>
      <c r="G62">
        <v>1</v>
      </c>
      <c r="H62" t="s">
        <v>146</v>
      </c>
      <c r="I62">
        <v>14.25</v>
      </c>
      <c r="J62">
        <v>11</v>
      </c>
      <c r="K62" t="str">
        <f>INDEX('DBH height biomass'!K:K,MATCH('scaled dbh t2'!H62,'DBH height biomass'!O:O,0))</f>
        <v>((0.0294*(X4^1.8357)*X2^0.864)+(0.0053*(X4^2.0876)*X2^0.5842)+(0.0117*(X4^3.5097)*X2^-1.3006)+(0.1245*(X4^2.523)*X2^-1.123))*1000</v>
      </c>
      <c r="L62" t="str">
        <f t="shared" si="0"/>
        <v>((0.0294*(14.25^1.8357)*11^0.864)+(0.0053*(14.25^2.0876)*11^0.5842)+(0.0117*(14.25^3.5097)*11^-1.3006)+(0.1245*(14.25^2.523)*11^-1.123))*1000</v>
      </c>
      <c r="M62" cm="1">
        <f t="array" ref="M62">eval_dbh2</f>
        <v>48809.29405831793</v>
      </c>
    </row>
    <row r="63" spans="1:13" x14ac:dyDescent="0.15">
      <c r="A63" t="s">
        <v>18</v>
      </c>
      <c r="B63">
        <v>18</v>
      </c>
      <c r="C63" t="s">
        <v>32</v>
      </c>
      <c r="D63" t="s">
        <v>7</v>
      </c>
      <c r="E63" t="s">
        <v>34</v>
      </c>
      <c r="F63" t="s">
        <v>11</v>
      </c>
      <c r="G63">
        <v>1</v>
      </c>
      <c r="H63" t="s">
        <v>147</v>
      </c>
      <c r="I63">
        <v>12.5</v>
      </c>
      <c r="J63">
        <v>11</v>
      </c>
      <c r="K63" t="str">
        <f>INDEX('DBH height biomass'!K:K,MATCH('scaled dbh t2'!H63,'DBH height biomass'!O:O,0))</f>
        <v>((0.0294*(X4^1.8357)*X2^0.864)+(0.0053*(X4^2.0876)*X2^0.5842)+(0.0117*(X4^3.5097)*X2^-1.3006)+(0.1245*(X4^2.523)*X2^-1.123))*1000</v>
      </c>
      <c r="L63" t="str">
        <f t="shared" si="0"/>
        <v>((0.0294*(12.5^1.8357)*11^0.864)+(0.0053*(12.5^2.0876)*11^0.5842)+(0.0117*(12.5^3.5097)*11^-1.3006)+(0.1245*(12.5^2.523)*11^-1.123))*1000</v>
      </c>
      <c r="M63" cm="1">
        <f t="array" ref="M63">eval_dbh2</f>
        <v>36870.964687027983</v>
      </c>
    </row>
    <row r="64" spans="1:13" x14ac:dyDescent="0.15">
      <c r="A64" t="s">
        <v>18</v>
      </c>
      <c r="B64">
        <v>18</v>
      </c>
      <c r="C64" t="s">
        <v>32</v>
      </c>
      <c r="D64" t="s">
        <v>9</v>
      </c>
      <c r="E64" t="s">
        <v>37</v>
      </c>
      <c r="F64" t="s">
        <v>15</v>
      </c>
      <c r="G64">
        <v>1</v>
      </c>
      <c r="H64" t="s">
        <v>147</v>
      </c>
      <c r="I64">
        <v>12.5</v>
      </c>
      <c r="J64">
        <v>11</v>
      </c>
      <c r="K64" t="str">
        <f>INDEX('DBH height biomass'!K:K,MATCH('scaled dbh t2'!H64,'DBH height biomass'!O:O,0))</f>
        <v>((0.0294*(X4^1.8357)*X2^0.864)+(0.0053*(X4^2.0876)*X2^0.5842)+(0.0117*(X4^3.5097)*X2^-1.3006)+(0.1245*(X4^2.523)*X2^-1.123))*1000</v>
      </c>
      <c r="L64" t="str">
        <f t="shared" si="0"/>
        <v>((0.0294*(12.5^1.8357)*11^0.864)+(0.0053*(12.5^2.0876)*11^0.5842)+(0.0117*(12.5^3.5097)*11^-1.3006)+(0.1245*(12.5^2.523)*11^-1.123))*1000</v>
      </c>
      <c r="M64" cm="1">
        <f t="array" ref="M64">eval_dbh2</f>
        <v>36870.964687027983</v>
      </c>
    </row>
    <row r="65" spans="1:13" x14ac:dyDescent="0.15">
      <c r="A65" t="s">
        <v>18</v>
      </c>
      <c r="B65">
        <v>14</v>
      </c>
      <c r="C65" t="s">
        <v>32</v>
      </c>
      <c r="D65" t="s">
        <v>5</v>
      </c>
      <c r="E65" t="s">
        <v>35</v>
      </c>
      <c r="F65" t="s">
        <v>10</v>
      </c>
      <c r="G65">
        <v>1</v>
      </c>
      <c r="H65" t="s">
        <v>146</v>
      </c>
      <c r="I65">
        <v>15.25</v>
      </c>
      <c r="J65">
        <v>11</v>
      </c>
      <c r="K65" t="str">
        <f>INDEX('DBH height biomass'!K:K,MATCH('scaled dbh t2'!H65,'DBH height biomass'!O:O,0))</f>
        <v>((0.0294*(X4^1.8357)*X2^0.864)+(0.0053*(X4^2.0876)*X2^0.5842)+(0.0117*(X4^3.5097)*X2^-1.3006)+(0.1245*(X4^2.523)*X2^-1.123))*1000</v>
      </c>
      <c r="L65" t="str">
        <f t="shared" si="0"/>
        <v>((0.0294*(15.25^1.8357)*11^0.864)+(0.0053*(15.25^2.0876)*11^0.5842)+(0.0117*(15.25^3.5097)*11^-1.3006)+(0.1245*(15.25^2.523)*11^-1.123))*1000</v>
      </c>
      <c r="M65" cm="1">
        <f t="array" ref="M65">eval_dbh2</f>
        <v>56548.893755266537</v>
      </c>
    </row>
    <row r="66" spans="1:13" x14ac:dyDescent="0.15">
      <c r="A66" t="s">
        <v>18</v>
      </c>
      <c r="B66">
        <v>18</v>
      </c>
      <c r="C66" t="s">
        <v>32</v>
      </c>
      <c r="D66" t="s">
        <v>5</v>
      </c>
      <c r="E66" t="s">
        <v>35</v>
      </c>
      <c r="F66" t="s">
        <v>10</v>
      </c>
      <c r="G66">
        <v>1</v>
      </c>
      <c r="H66" t="s">
        <v>147</v>
      </c>
      <c r="I66">
        <v>15.5</v>
      </c>
      <c r="J66">
        <v>11.5</v>
      </c>
      <c r="K66" t="str">
        <f>INDEX('DBH height biomass'!K:K,MATCH('scaled dbh t2'!H66,'DBH height biomass'!O:O,0))</f>
        <v>((0.0294*(X4^1.8357)*X2^0.864)+(0.0053*(X4^2.0876)*X2^0.5842)+(0.0117*(X4^3.5097)*X2^-1.3006)+(0.1245*(X4^2.523)*X2^-1.123))*1000</v>
      </c>
      <c r="L66" t="str">
        <f t="shared" si="0"/>
        <v>((0.0294*(15.5^1.8357)*11.5^0.864)+(0.0053*(15.5^2.0876)*11.5^0.5842)+(0.0117*(15.5^3.5097)*11.5^-1.3006)+(0.1245*(15.5^2.523)*11.5^-1.123))*1000</v>
      </c>
      <c r="M66" cm="1">
        <f t="array" ref="M66">eval_dbh2</f>
        <v>59314.088557334602</v>
      </c>
    </row>
    <row r="67" spans="1:13" x14ac:dyDescent="0.15">
      <c r="A67" t="s">
        <v>18</v>
      </c>
      <c r="B67">
        <v>36</v>
      </c>
      <c r="C67" t="s">
        <v>32</v>
      </c>
      <c r="D67" t="s">
        <v>5</v>
      </c>
      <c r="E67" t="s">
        <v>35</v>
      </c>
      <c r="F67" t="s">
        <v>15</v>
      </c>
      <c r="G67">
        <v>1</v>
      </c>
      <c r="H67" t="s">
        <v>151</v>
      </c>
      <c r="I67">
        <v>15</v>
      </c>
      <c r="J67">
        <v>7</v>
      </c>
      <c r="K67" t="str">
        <f>INDEX('DBH height biomass'!K:K,MATCH('scaled dbh t2'!H67,'DBH height biomass'!O:O,0))</f>
        <v>((0.0259*(X4^1.9044)*X2^0.9715)+(0.0069*(X4^2.0834)*X2^0.5371)+(0.0325*(X4^2.3851)*X2^0)+(0.1683*(X4^1.2764)*X2^0))*1000</v>
      </c>
      <c r="L67" t="str">
        <f t="shared" ref="L67:L115" si="1">SUBSTITUTE(SUBSTITUTE(K67, "X4",I67),"X2",J67)</f>
        <v>((0.0259*(15^1.9044)*7^0.9715)+(0.0069*(15^2.0834)*7^0.5371)+(0.0325*(15^2.3851)*7^0)+(0.1683*(15^1.2764)*7^0))*1000</v>
      </c>
      <c r="M67" cm="1">
        <f t="array" ref="M67">eval_dbh2</f>
        <v>61407.577867885935</v>
      </c>
    </row>
    <row r="68" spans="1:13" x14ac:dyDescent="0.15">
      <c r="A68" t="s">
        <v>18</v>
      </c>
      <c r="B68">
        <v>14</v>
      </c>
      <c r="C68" t="s">
        <v>32</v>
      </c>
      <c r="D68" t="s">
        <v>7</v>
      </c>
      <c r="E68" t="s">
        <v>34</v>
      </c>
      <c r="F68" t="s">
        <v>10</v>
      </c>
      <c r="G68">
        <v>1</v>
      </c>
      <c r="H68" t="s">
        <v>146</v>
      </c>
      <c r="I68">
        <v>16</v>
      </c>
      <c r="J68">
        <v>12</v>
      </c>
      <c r="K68" t="str">
        <f>INDEX('DBH height biomass'!K:K,MATCH('scaled dbh t2'!H68,'DBH height biomass'!O:O,0))</f>
        <v>((0.0294*(X4^1.8357)*X2^0.864)+(0.0053*(X4^2.0876)*X2^0.5842)+(0.0117*(X4^3.5097)*X2^-1.3006)+(0.1245*(X4^2.523)*X2^-1.123))*1000</v>
      </c>
      <c r="L68" t="str">
        <f t="shared" si="1"/>
        <v>((0.0294*(16^1.8357)*12^0.864)+(0.0053*(16^2.0876)*12^0.5842)+(0.0117*(16^3.5097)*12^-1.3006)+(0.1245*(16^2.523)*12^-1.123))*1000</v>
      </c>
      <c r="M68" cm="1">
        <f t="array" ref="M68">eval_dbh2</f>
        <v>64350.560198822212</v>
      </c>
    </row>
    <row r="69" spans="1:13" x14ac:dyDescent="0.15">
      <c r="A69" t="s">
        <v>3</v>
      </c>
      <c r="B69">
        <v>22</v>
      </c>
      <c r="C69" t="s">
        <v>30</v>
      </c>
      <c r="D69" t="s">
        <v>6</v>
      </c>
      <c r="E69" t="s">
        <v>36</v>
      </c>
      <c r="F69" t="s">
        <v>10</v>
      </c>
      <c r="G69">
        <v>1</v>
      </c>
      <c r="H69" t="s">
        <v>173</v>
      </c>
      <c r="I69">
        <v>16.5</v>
      </c>
      <c r="J69">
        <v>10</v>
      </c>
      <c r="K69" t="str">
        <f>INDEX('DBH height biomass'!K:K,MATCH('scaled dbh t2'!H69,'DBH height biomass'!O:O,0))</f>
        <v>((0.0309*(X4^1.7527)*X2^1.0014)+(0.0115*(X4^1.7405)*X2^0.6589)+(0.038*(X4^3.2558)*X2^-1.4218)+(0.2048*(X4^2.5754)*X2^-1.3704))*1000</v>
      </c>
      <c r="L69" t="str">
        <f t="shared" si="1"/>
        <v>((0.0309*(16.5^1.7527)*10^1.0014)+(0.0115*(16.5^1.7405)*10^0.6589)+(0.038*(16.5^3.2558)*10^-1.4218)+(0.2048*(16.5^2.5754)*10^-1.3704))*1000</v>
      </c>
      <c r="M69" cm="1">
        <f t="array" ref="M69">eval_dbh2</f>
        <v>74253.538886697468</v>
      </c>
    </row>
    <row r="70" spans="1:13" x14ac:dyDescent="0.15">
      <c r="A70" t="s">
        <v>18</v>
      </c>
      <c r="B70">
        <v>8</v>
      </c>
      <c r="C70" t="s">
        <v>30</v>
      </c>
      <c r="D70" t="s">
        <v>6</v>
      </c>
      <c r="E70" t="s">
        <v>36</v>
      </c>
      <c r="F70" t="s">
        <v>8</v>
      </c>
      <c r="G70">
        <v>1</v>
      </c>
      <c r="H70" t="s">
        <v>152</v>
      </c>
      <c r="I70">
        <v>16</v>
      </c>
      <c r="J70">
        <v>7</v>
      </c>
      <c r="K70" t="str">
        <f>INDEX('DBH height biomass'!K:K,MATCH('scaled dbh t2'!H70,'DBH height biomass'!O:O,0))</f>
        <v>((0.0309*(X4^1.7527)*X2^1.0014)+(0.0115*(X4^1.7405)*X2^0.6589)+(0.038*(X4^3.2558)*X2^-1.4218)+(0.2048*(X4^2.5754)*X2^-1.3704))*1000</v>
      </c>
      <c r="L70" t="str">
        <f t="shared" si="1"/>
        <v>((0.0309*(16^1.7527)*7^1.0014)+(0.0115*(16^1.7405)*7^0.6589)+(0.038*(16^3.2558)*7^-1.4218)+(0.2048*(16^2.5754)*7^-1.3704))*1000</v>
      </c>
      <c r="M70" cm="1">
        <f t="array" ref="M70">eval_dbh2</f>
        <v>70986.245957016159</v>
      </c>
    </row>
    <row r="71" spans="1:13" x14ac:dyDescent="0.15">
      <c r="A71" t="s">
        <v>18</v>
      </c>
      <c r="B71">
        <v>14</v>
      </c>
      <c r="C71" t="s">
        <v>32</v>
      </c>
      <c r="D71" t="s">
        <v>9</v>
      </c>
      <c r="E71" t="s">
        <v>37</v>
      </c>
      <c r="F71" t="s">
        <v>10</v>
      </c>
      <c r="G71">
        <v>1</v>
      </c>
      <c r="H71" t="s">
        <v>146</v>
      </c>
      <c r="I71">
        <v>16.75</v>
      </c>
      <c r="J71">
        <v>13</v>
      </c>
      <c r="K71" t="str">
        <f>INDEX('DBH height biomass'!K:K,MATCH('scaled dbh t2'!H71,'DBH height biomass'!O:O,0))</f>
        <v>((0.0294*(X4^1.8357)*X2^0.864)+(0.0053*(X4^2.0876)*X2^0.5842)+(0.0117*(X4^3.5097)*X2^-1.3006)+(0.1245*(X4^2.523)*X2^-1.123))*1000</v>
      </c>
      <c r="L71" t="str">
        <f t="shared" si="1"/>
        <v>((0.0294*(16.75^1.8357)*13^0.864)+(0.0053*(16.75^2.0876)*13^0.5842)+(0.0117*(16.75^3.5097)*13^-1.3006)+(0.1245*(16.75^2.523)*13^-1.123))*1000</v>
      </c>
      <c r="M71" cm="1">
        <f t="array" ref="M71">eval_dbh2</f>
        <v>72916.338467875132</v>
      </c>
    </row>
    <row r="72" spans="1:13" x14ac:dyDescent="0.15">
      <c r="A72" t="s">
        <v>18</v>
      </c>
      <c r="B72">
        <v>36</v>
      </c>
      <c r="C72" t="s">
        <v>32</v>
      </c>
      <c r="D72" t="s">
        <v>7</v>
      </c>
      <c r="E72" t="s">
        <v>34</v>
      </c>
      <c r="F72" t="s">
        <v>8</v>
      </c>
      <c r="G72">
        <v>1</v>
      </c>
      <c r="H72" t="s">
        <v>151</v>
      </c>
      <c r="I72">
        <v>16</v>
      </c>
      <c r="J72">
        <v>6</v>
      </c>
      <c r="K72" t="str">
        <f>INDEX('DBH height biomass'!K:K,MATCH('scaled dbh t2'!H72,'DBH height biomass'!O:O,0))</f>
        <v>((0.0259*(X4^1.9044)*X2^0.9715)+(0.0069*(X4^2.0834)*X2^0.5371)+(0.0325*(X4^2.3851)*X2^0)+(0.1683*(X4^1.2764)*X2^0))*1000</v>
      </c>
      <c r="L72" t="str">
        <f t="shared" si="1"/>
        <v>((0.0259*(16^1.9044)*6^0.9715)+(0.0069*(16^2.0834)*6^0.5371)+(0.0325*(16^2.3851)*6^0)+(0.1683*(16^1.2764)*6^0))*1000</v>
      </c>
      <c r="M72" cm="1">
        <f t="array" ref="M72">eval_dbh2</f>
        <v>64822.694041176546</v>
      </c>
    </row>
    <row r="73" spans="1:13" x14ac:dyDescent="0.15">
      <c r="A73" t="s">
        <v>18</v>
      </c>
      <c r="B73">
        <v>15</v>
      </c>
      <c r="C73" t="s">
        <v>32</v>
      </c>
      <c r="D73" t="s">
        <v>6</v>
      </c>
      <c r="E73" t="s">
        <v>36</v>
      </c>
      <c r="F73" t="s">
        <v>10</v>
      </c>
      <c r="G73">
        <v>1</v>
      </c>
      <c r="H73" t="s">
        <v>150</v>
      </c>
      <c r="I73">
        <v>20</v>
      </c>
      <c r="J73">
        <v>12</v>
      </c>
      <c r="K73" t="str">
        <f>INDEX('DBH height biomass'!K:K,MATCH('scaled dbh t2'!H73,'DBH height biomass'!O:O,0))</f>
        <v>((0.0294*(X4^1.8357)*X2^0.864)+(0.0053*(X4^2.0876)*X2^0.5842)+(0.0117*(X4^3.5097)*X2^-1.3006)+(0.1245*(X4^2.523)*X2^-1.123))*1000</v>
      </c>
      <c r="L73" t="str">
        <f t="shared" si="1"/>
        <v>((0.0294*(20^1.8357)*12^0.864)+(0.0053*(20^2.0876)*12^0.5842)+(0.0117*(20^3.5097)*12^-1.3006)+(0.1245*(20^2.523)*12^-1.123))*1000</v>
      </c>
      <c r="M73" cm="1">
        <f t="array" ref="M73">eval_dbh2</f>
        <v>104957.73423683105</v>
      </c>
    </row>
    <row r="74" spans="1:13" x14ac:dyDescent="0.15">
      <c r="A74" t="s">
        <v>18</v>
      </c>
      <c r="B74">
        <v>16</v>
      </c>
      <c r="C74" t="s">
        <v>32</v>
      </c>
      <c r="D74" t="s">
        <v>6</v>
      </c>
      <c r="E74" t="s">
        <v>36</v>
      </c>
      <c r="F74" t="s">
        <v>10</v>
      </c>
      <c r="G74">
        <v>1</v>
      </c>
      <c r="H74" t="s">
        <v>153</v>
      </c>
      <c r="I74">
        <v>20.5</v>
      </c>
      <c r="J74">
        <v>12</v>
      </c>
      <c r="K74" t="str">
        <f>INDEX('DBH height biomass'!K:K,MATCH('scaled dbh t2'!H74,'DBH height biomass'!O:O,0))</f>
        <v>((0.0294*(X4^1.8357)*X2^0.864)+(0.0053*(X4^2.0876)*X2^0.5842)+(0.0117*(X4^3.5097)*X2^-1.3006)+(0.1245*(X4^2.523)*X2^-1.123))*1000</v>
      </c>
      <c r="L74" t="str">
        <f t="shared" si="1"/>
        <v>((0.0294*(20.5^1.8357)*12^0.864)+(0.0053*(20.5^2.0876)*12^0.5842)+(0.0117*(20.5^3.5097)*12^-1.3006)+(0.1245*(20.5^2.523)*12^-1.123))*1000</v>
      </c>
      <c r="M74" cm="1">
        <f t="array" ref="M74">eval_dbh2</f>
        <v>110915.27177464173</v>
      </c>
    </row>
    <row r="75" spans="1:13" x14ac:dyDescent="0.15">
      <c r="A75" t="s">
        <v>3</v>
      </c>
      <c r="B75">
        <v>33</v>
      </c>
      <c r="C75" t="s">
        <v>32</v>
      </c>
      <c r="D75" t="s">
        <v>6</v>
      </c>
      <c r="E75" t="s">
        <v>36</v>
      </c>
      <c r="F75" t="s">
        <v>8</v>
      </c>
      <c r="G75">
        <v>1</v>
      </c>
      <c r="H75" t="s">
        <v>145</v>
      </c>
      <c r="I75">
        <v>21</v>
      </c>
      <c r="J75">
        <v>11.4</v>
      </c>
      <c r="K75" t="str">
        <f>INDEX('DBH height biomass'!K:K,MATCH('scaled dbh t2'!H75,'DBH height biomass'!O:O,0))</f>
        <v>((0.0294*(X4^1.8357)*X2^0.864)+(0.0053*(X4^2.0876)*X2^0.5842)+(0.0117*(X4^3.5097)*X2^-1.3006)+(0.1245*(X4^2.523)*X2^-1.123))*1000</v>
      </c>
      <c r="L75" t="str">
        <f t="shared" si="1"/>
        <v>((0.0294*(21^1.8357)*11.4^0.864)+(0.0053*(21^2.0876)*11.4^0.5842)+(0.0117*(21^3.5097)*11.4^-1.3006)+(0.1245*(21^2.523)*11.4^-1.123))*1000</v>
      </c>
      <c r="M75" cm="1">
        <f t="array" ref="M75">eval_dbh2</f>
        <v>116154.69330528147</v>
      </c>
    </row>
    <row r="76" spans="1:13" x14ac:dyDescent="0.15">
      <c r="A76" t="s">
        <v>3</v>
      </c>
      <c r="B76">
        <v>19</v>
      </c>
      <c r="C76" t="s">
        <v>30</v>
      </c>
      <c r="D76" t="s">
        <v>7</v>
      </c>
      <c r="E76" t="s">
        <v>34</v>
      </c>
      <c r="F76" t="s">
        <v>8</v>
      </c>
      <c r="G76">
        <v>1</v>
      </c>
      <c r="H76" t="s">
        <v>176</v>
      </c>
      <c r="I76">
        <v>21</v>
      </c>
      <c r="J76">
        <v>6</v>
      </c>
      <c r="K76" t="str">
        <f>INDEX('DBH height biomass'!K:K,MATCH('scaled dbh t2'!H76,'DBH height biomass'!O:O,0))</f>
        <v>((0.0309*(X4^1.7527)*X2^1.0014)+(0.0115*(X4^1.7405)*X2^0.6589)+(0.038*(X4^3.2558)*X2^-1.4218)+(0.2048*(X4^2.5754)*X2^-1.3704))*1000</v>
      </c>
      <c r="L76" t="str">
        <f t="shared" si="1"/>
        <v>((0.0309*(21^1.7527)*6^1.0014)+(0.0115*(21^1.7405)*6^0.6589)+(0.038*(21^3.2558)*6^-1.4218)+(0.2048*(21^2.5754)*6^-1.3704))*1000</v>
      </c>
      <c r="M76" cm="1">
        <f t="array" ref="M76">eval_dbh2</f>
        <v>150807.91984198571</v>
      </c>
    </row>
    <row r="77" spans="1:13" x14ac:dyDescent="0.15">
      <c r="A77" t="s">
        <v>18</v>
      </c>
      <c r="B77">
        <v>6</v>
      </c>
      <c r="C77" t="s">
        <v>30</v>
      </c>
      <c r="D77" t="s">
        <v>9</v>
      </c>
      <c r="E77" t="s">
        <v>37</v>
      </c>
      <c r="F77" t="s">
        <v>15</v>
      </c>
      <c r="G77">
        <v>1</v>
      </c>
      <c r="H77" t="s">
        <v>148</v>
      </c>
      <c r="I77">
        <v>21.75</v>
      </c>
      <c r="J77">
        <v>12.2</v>
      </c>
      <c r="K77" t="str">
        <f>INDEX('DBH height biomass'!K:K,MATCH('scaled dbh t2'!H77,'DBH height biomass'!O:O,0))</f>
        <v>((0.0259*(X4^1.9044)*X2^0.9715)+(0.0069*(X4^2.0834)*X2^0.5371)+(0.0325*(X4^2.3851)*X2^0)+(0.1683*(X4^1.2764)*X2^0))*1000</v>
      </c>
      <c r="L77" t="str">
        <f t="shared" si="1"/>
        <v>((0.0259*(21.75^1.9044)*12.2^0.9715)+(0.0069*(21.75^2.0834)*12.2^0.5371)+(0.0325*(21.75^2.3851)*12.2^0)+(0.1683*(21.75^1.2764)*12.2^0))*1000</v>
      </c>
      <c r="M77" cm="1">
        <f t="array" ref="M77">eval_dbh2</f>
        <v>178775.89488984778</v>
      </c>
    </row>
    <row r="78" spans="1:13" x14ac:dyDescent="0.15">
      <c r="A78" t="s">
        <v>3</v>
      </c>
      <c r="B78">
        <v>28</v>
      </c>
      <c r="C78" t="s">
        <v>31</v>
      </c>
      <c r="D78" t="s">
        <v>9</v>
      </c>
      <c r="E78" t="s">
        <v>37</v>
      </c>
      <c r="F78" t="s">
        <v>8</v>
      </c>
      <c r="G78">
        <v>1</v>
      </c>
      <c r="H78" t="s">
        <v>143</v>
      </c>
      <c r="I78">
        <v>24</v>
      </c>
      <c r="J78">
        <v>8</v>
      </c>
      <c r="K78" t="str">
        <f>INDEX('DBH height biomass'!K:K,MATCH('scaled dbh t2'!H78,'DBH height biomass'!O:O,0))</f>
        <v>((0.0309*(X4^1.7527)*X2^1.0014)+(0.0115*(X4^1.7405)*X2^0.6589)+(0.038*(X4^3.2558)*X2^-1.4218)+(0.2048*(X4^2.5754)*X2^-1.3704))*1000</v>
      </c>
      <c r="L78" t="str">
        <f t="shared" si="1"/>
        <v>((0.0309*(24^1.7527)*8^1.0014)+(0.0115*(24^1.7405)*8^0.6589)+(0.038*(24^3.2558)*8^-1.4218)+(0.2048*(24^2.5754)*8^-1.3704))*1000</v>
      </c>
      <c r="M78" cm="1">
        <f t="array" ref="M78">eval_dbh2</f>
        <v>180580.59563940222</v>
      </c>
    </row>
    <row r="79" spans="1:13" x14ac:dyDescent="0.15">
      <c r="A79" t="s">
        <v>18</v>
      </c>
      <c r="B79">
        <v>18</v>
      </c>
      <c r="C79" t="s">
        <v>32</v>
      </c>
      <c r="D79" t="s">
        <v>6</v>
      </c>
      <c r="E79" t="s">
        <v>36</v>
      </c>
      <c r="F79" t="s">
        <v>10</v>
      </c>
      <c r="G79">
        <v>1</v>
      </c>
      <c r="H79" t="s">
        <v>147</v>
      </c>
      <c r="I79">
        <v>26</v>
      </c>
      <c r="J79">
        <v>13</v>
      </c>
      <c r="K79" t="str">
        <f>INDEX('DBH height biomass'!K:K,MATCH('scaled dbh t2'!H79,'DBH height biomass'!O:O,0))</f>
        <v>((0.0294*(X4^1.8357)*X2^0.864)+(0.0053*(X4^2.0876)*X2^0.5842)+(0.0117*(X4^3.5097)*X2^-1.3006)+(0.1245*(X4^2.523)*X2^-1.123))*1000</v>
      </c>
      <c r="L79" t="str">
        <f t="shared" si="1"/>
        <v>((0.0294*(26^1.8357)*13^0.864)+(0.0053*(26^2.0876)*13^0.5842)+(0.0117*(26^3.5097)*13^-1.3006)+(0.1245*(26^2.523)*13^-1.123))*1000</v>
      </c>
      <c r="M79" cm="1">
        <f t="array" ref="M79">eval_dbh2</f>
        <v>192509.81943769936</v>
      </c>
    </row>
    <row r="80" spans="1:13" x14ac:dyDescent="0.15">
      <c r="A80" t="s">
        <v>3</v>
      </c>
      <c r="B80">
        <v>33</v>
      </c>
      <c r="C80" t="s">
        <v>32</v>
      </c>
      <c r="D80" t="s">
        <v>9</v>
      </c>
      <c r="E80" t="s">
        <v>37</v>
      </c>
      <c r="F80" t="s">
        <v>10</v>
      </c>
      <c r="G80">
        <v>1</v>
      </c>
      <c r="H80" t="s">
        <v>145</v>
      </c>
      <c r="I80">
        <v>28.5</v>
      </c>
      <c r="J80">
        <v>11</v>
      </c>
      <c r="K80" t="str">
        <f>INDEX('DBH height biomass'!K:K,MATCH('scaled dbh t2'!H80,'DBH height biomass'!O:O,0))</f>
        <v>((0.0294*(X4^1.8357)*X2^0.864)+(0.0053*(X4^2.0876)*X2^0.5842)+(0.0117*(X4^3.5097)*X2^-1.3006)+(0.1245*(X4^2.523)*X2^-1.123))*1000</v>
      </c>
      <c r="L80" t="str">
        <f t="shared" si="1"/>
        <v>((0.0294*(28.5^1.8357)*11^0.864)+(0.0053*(28.5^2.0876)*11^0.5842)+(0.0117*(28.5^3.5097)*11^-1.3006)+(0.1245*(28.5^2.523)*11^-1.123))*1000</v>
      </c>
      <c r="M80" cm="1">
        <f t="array" ref="M80">eval_dbh2</f>
        <v>238279.74147537648</v>
      </c>
    </row>
    <row r="81" spans="1:13" x14ac:dyDescent="0.15">
      <c r="A81" t="s">
        <v>18</v>
      </c>
      <c r="B81">
        <v>18</v>
      </c>
      <c r="C81" t="s">
        <v>32</v>
      </c>
      <c r="D81" t="s">
        <v>7</v>
      </c>
      <c r="E81" t="s">
        <v>34</v>
      </c>
      <c r="F81" t="s">
        <v>11</v>
      </c>
      <c r="G81">
        <v>1</v>
      </c>
      <c r="H81" t="s">
        <v>147</v>
      </c>
      <c r="I81">
        <v>26</v>
      </c>
      <c r="J81">
        <v>13</v>
      </c>
      <c r="K81" t="str">
        <f>INDEX('DBH height biomass'!K:K,MATCH('scaled dbh t2'!H81,'DBH height biomass'!O:O,0))</f>
        <v>((0.0294*(X4^1.8357)*X2^0.864)+(0.0053*(X4^2.0876)*X2^0.5842)+(0.0117*(X4^3.5097)*X2^-1.3006)+(0.1245*(X4^2.523)*X2^-1.123))*1000</v>
      </c>
      <c r="L81" t="str">
        <f t="shared" si="1"/>
        <v>((0.0294*(26^1.8357)*13^0.864)+(0.0053*(26^2.0876)*13^0.5842)+(0.0117*(26^3.5097)*13^-1.3006)+(0.1245*(26^2.523)*13^-1.123))*1000</v>
      </c>
      <c r="M81" cm="1">
        <f t="array" ref="M81">eval_dbh2</f>
        <v>192509.81943769936</v>
      </c>
    </row>
    <row r="82" spans="1:13" x14ac:dyDescent="0.15">
      <c r="A82" t="s">
        <v>3</v>
      </c>
      <c r="B82">
        <v>31</v>
      </c>
      <c r="C82" t="s">
        <v>32</v>
      </c>
      <c r="D82" t="s">
        <v>9</v>
      </c>
      <c r="E82" t="s">
        <v>37</v>
      </c>
      <c r="F82" t="s">
        <v>10</v>
      </c>
      <c r="G82">
        <v>1</v>
      </c>
      <c r="H82" t="s">
        <v>174</v>
      </c>
      <c r="I82">
        <v>31</v>
      </c>
      <c r="J82">
        <v>13.5</v>
      </c>
      <c r="K82" t="str">
        <f>INDEX('DBH height biomass'!K:K,MATCH('scaled dbh t2'!H82,'DBH height biomass'!O:O,0))</f>
        <v>((0.0294*(X4^1.8357)*X2^0.864)+(0.0053*(X4^2.0876)*X2^0.5842)+(0.0117*(X4^3.5097)*X2^-1.3006)+(0.1245*(X4^2.523)*X2^-1.123))*1000</v>
      </c>
      <c r="L82" t="str">
        <f t="shared" si="1"/>
        <v>((0.0294*(31^1.8357)*13.5^0.864)+(0.0053*(31^2.0876)*13.5^0.5842)+(0.0117*(31^3.5097)*13.5^-1.3006)+(0.1245*(31^2.523)*13.5^-1.123))*1000</v>
      </c>
      <c r="M82" cm="1">
        <f t="array" ref="M82">eval_dbh2</f>
        <v>290497.71318500646</v>
      </c>
    </row>
    <row r="83" spans="1:13" x14ac:dyDescent="0.15">
      <c r="A83" t="s">
        <v>3</v>
      </c>
      <c r="B83">
        <v>31</v>
      </c>
      <c r="C83" t="s">
        <v>32</v>
      </c>
      <c r="D83" t="s">
        <v>5</v>
      </c>
      <c r="E83" t="s">
        <v>35</v>
      </c>
      <c r="F83" t="s">
        <v>10</v>
      </c>
      <c r="G83">
        <v>1</v>
      </c>
      <c r="H83" t="s">
        <v>174</v>
      </c>
      <c r="I83">
        <v>31</v>
      </c>
      <c r="J83">
        <v>14.2</v>
      </c>
      <c r="K83" t="str">
        <f>INDEX('DBH height biomass'!K:K,MATCH('scaled dbh t2'!H83,'DBH height biomass'!O:O,0))</f>
        <v>((0.0294*(X4^1.8357)*X2^0.864)+(0.0053*(X4^2.0876)*X2^0.5842)+(0.0117*(X4^3.5097)*X2^-1.3006)+(0.1245*(X4^2.523)*X2^-1.123))*1000</v>
      </c>
      <c r="L83" t="str">
        <f t="shared" si="1"/>
        <v>((0.0294*(31^1.8357)*14.2^0.864)+(0.0053*(31^2.0876)*14.2^0.5842)+(0.0117*(31^3.5097)*14.2^-1.3006)+(0.1245*(31^2.523)*14.2^-1.123))*1000</v>
      </c>
      <c r="M83" cm="1">
        <f t="array" ref="M83">eval_dbh2</f>
        <v>291774.99295581924</v>
      </c>
    </row>
    <row r="84" spans="1:13" x14ac:dyDescent="0.15">
      <c r="A84" t="s">
        <v>3</v>
      </c>
      <c r="B84">
        <v>24</v>
      </c>
      <c r="C84" t="s">
        <v>30</v>
      </c>
      <c r="D84" t="s">
        <v>7</v>
      </c>
      <c r="E84" t="s">
        <v>34</v>
      </c>
      <c r="F84" t="s">
        <v>8</v>
      </c>
      <c r="G84">
        <v>1</v>
      </c>
      <c r="H84" t="s">
        <v>167</v>
      </c>
      <c r="I84">
        <v>42.5</v>
      </c>
      <c r="J84">
        <v>11.4</v>
      </c>
      <c r="K84" t="str">
        <f>INDEX('DBH height biomass'!K:K,MATCH('scaled dbh t2'!H84,'DBH height biomass'!O:O,0))</f>
        <v>((0.0309*(X4^1.7527)*X2^1.0014)+(0.0115*(X4^1.7405)*X2^0.6589)+(0.038*(X4^3.2558)*X2^-1.4218)+(0.2048*(X4^2.5754)*X2^-1.3704))*1000</v>
      </c>
      <c r="L84" t="str">
        <f t="shared" si="1"/>
        <v>((0.0309*(42.5^1.7527)*11.4^1.0014)+(0.0115*(42.5^1.7405)*11.4^0.6589)+(0.038*(42.5^3.2558)*11.4^-1.4218)+(0.2048*(42.5^2.5754)*11.4^-1.3704))*1000</v>
      </c>
      <c r="M84" cm="1">
        <f t="array" ref="M84">eval_dbh2</f>
        <v>644773.28831218195</v>
      </c>
    </row>
    <row r="85" spans="1:13" x14ac:dyDescent="0.15">
      <c r="A85" t="s">
        <v>18</v>
      </c>
      <c r="B85">
        <v>35</v>
      </c>
      <c r="C85" t="s">
        <v>32</v>
      </c>
      <c r="D85" t="s">
        <v>5</v>
      </c>
      <c r="E85" t="s">
        <v>35</v>
      </c>
      <c r="F85" t="s">
        <v>10</v>
      </c>
      <c r="G85">
        <v>2</v>
      </c>
      <c r="H85" t="s">
        <v>164</v>
      </c>
      <c r="I85">
        <v>1.6822809932400971</v>
      </c>
      <c r="J85">
        <v>4</v>
      </c>
      <c r="K85" t="str">
        <f>INDEX('DBH height biomass'!K:K,MATCH('scaled dbh t2'!H85,'DBH height biomass'!O:O,0))</f>
        <v>((0.0294*(X4^1.8357)*X2^0.864)+(0.0053*(X4^2.0876)*X2^0.5842)+(0.0117*(X4^3.5097)*X2^-1.3006)+(0.1245*(X4^2.523)*X2^-1.123))*1000</v>
      </c>
      <c r="L85" t="str">
        <f t="shared" si="1"/>
        <v>((0.0294*(1.6822809932401^1.8357)*4^0.864)+(0.0053*(1.6822809932401^2.0876)*4^0.5842)+(0.0117*(1.6822809932401^3.5097)*4^-1.3006)+(0.1245*(1.6822809932401^2.523)*4^-1.123))*1000</v>
      </c>
      <c r="M85" cm="1">
        <f t="array" ref="M85">eval_dbh2</f>
        <v>397.80164797480313</v>
      </c>
    </row>
    <row r="86" spans="1:13" x14ac:dyDescent="0.15">
      <c r="A86" t="s">
        <v>18</v>
      </c>
      <c r="B86">
        <v>17</v>
      </c>
      <c r="C86" t="s">
        <v>32</v>
      </c>
      <c r="D86" t="s">
        <v>9</v>
      </c>
      <c r="E86" t="s">
        <v>37</v>
      </c>
      <c r="F86" t="s">
        <v>10</v>
      </c>
      <c r="G86">
        <v>2</v>
      </c>
      <c r="H86" t="s">
        <v>163</v>
      </c>
      <c r="I86">
        <v>1.730346164475528</v>
      </c>
      <c r="J86">
        <v>3.2</v>
      </c>
      <c r="K86" t="str">
        <f>INDEX('DBH height biomass'!K:K,MATCH('scaled dbh t2'!H86,'DBH height biomass'!O:O,0))</f>
        <v>((0.0294*(X4^1.8357)*X2^0.864)+(0.0053*(X4^2.0876)*X2^0.5842)+(0.0117*(X4^3.5097)*X2^-1.3006)+(0.1245*(X4^2.523)*X2^-1.123))*1000</v>
      </c>
      <c r="L86" t="str">
        <f t="shared" si="1"/>
        <v>((0.0294*(1.73034616447553^1.8357)*3.2^0.864)+(0.0053*(1.73034616447553^2.0876)*3.2^0.5842)+(0.0117*(1.73034616447553^3.5097)*3.2^-1.3006)+(0.1245*(1.73034616447553^2.523)*3.2^-1.123))*1000</v>
      </c>
      <c r="M86" cm="1">
        <f t="array" ref="M86">eval_dbh2</f>
        <v>404.7531634508079</v>
      </c>
    </row>
    <row r="87" spans="1:13" x14ac:dyDescent="0.15">
      <c r="A87" t="s">
        <v>3</v>
      </c>
      <c r="B87">
        <v>34</v>
      </c>
      <c r="C87" t="s">
        <v>32</v>
      </c>
      <c r="D87" t="s">
        <v>7</v>
      </c>
      <c r="E87" t="s">
        <v>34</v>
      </c>
      <c r="F87" t="s">
        <v>10</v>
      </c>
      <c r="G87">
        <v>2</v>
      </c>
      <c r="H87" t="s">
        <v>171</v>
      </c>
      <c r="I87">
        <v>1.8264765069463911</v>
      </c>
      <c r="J87">
        <v>3.3</v>
      </c>
      <c r="K87" t="str">
        <f>INDEX('DBH height biomass'!K:K,MATCH('scaled dbh t2'!H87,'DBH height biomass'!O:O,0))</f>
        <v>((0.0294*(X4^1.8357)*X2^0.864)+(0.0053*(X4^2.0876)*X2^0.5842)+(0.0117*(X4^3.5097)*X2^-1.3006)+(0.1245*(X4^2.523)*X2^-1.123))*1000</v>
      </c>
      <c r="L87" t="str">
        <f t="shared" si="1"/>
        <v>((0.0294*(1.82647650694639^1.8357)*3.3^0.864)+(0.0053*(1.82647650694639^2.0876)*3.3^0.5842)+(0.0117*(1.82647650694639^3.5097)*3.3^-1.3006)+(0.1245*(1.82647650694639^2.523)*3.3^-1.123))*1000</v>
      </c>
      <c r="M87" cm="1">
        <f t="array" ref="M87">eval_dbh2</f>
        <v>456.08687450373361</v>
      </c>
    </row>
    <row r="88" spans="1:13" x14ac:dyDescent="0.15">
      <c r="A88" t="s">
        <v>18</v>
      </c>
      <c r="B88">
        <v>17</v>
      </c>
      <c r="C88" t="s">
        <v>32</v>
      </c>
      <c r="D88" t="s">
        <v>7</v>
      </c>
      <c r="E88" t="s">
        <v>34</v>
      </c>
      <c r="F88" t="s">
        <v>10</v>
      </c>
      <c r="G88">
        <v>2</v>
      </c>
      <c r="H88" t="s">
        <v>163</v>
      </c>
      <c r="I88">
        <v>1.9706720206526851</v>
      </c>
      <c r="J88">
        <v>3.3</v>
      </c>
      <c r="K88" t="str">
        <f>INDEX('DBH height biomass'!K:K,MATCH('scaled dbh t2'!H88,'DBH height biomass'!O:O,0))</f>
        <v>((0.0294*(X4^1.8357)*X2^0.864)+(0.0053*(X4^2.0876)*X2^0.5842)+(0.0117*(X4^3.5097)*X2^-1.3006)+(0.1245*(X4^2.523)*X2^-1.123))*1000</v>
      </c>
      <c r="L88" t="str">
        <f t="shared" si="1"/>
        <v>((0.0294*(1.97067202065269^1.8357)*3.3^0.864)+(0.0053*(1.97067202065269^2.0876)*3.3^0.5842)+(0.0117*(1.97067202065269^3.5097)*3.3^-1.3006)+(0.1245*(1.97067202065269^2.523)*3.3^-1.123))*1000</v>
      </c>
      <c r="M88" cm="1">
        <f t="array" ref="M88">eval_dbh2</f>
        <v>537.56508160031046</v>
      </c>
    </row>
    <row r="89" spans="1:13" x14ac:dyDescent="0.15">
      <c r="A89" t="s">
        <v>18</v>
      </c>
      <c r="B89">
        <v>17</v>
      </c>
      <c r="C89" t="s">
        <v>32</v>
      </c>
      <c r="D89" t="s">
        <v>9</v>
      </c>
      <c r="E89" t="s">
        <v>37</v>
      </c>
      <c r="F89" t="s">
        <v>10</v>
      </c>
      <c r="G89">
        <v>2</v>
      </c>
      <c r="H89" t="s">
        <v>163</v>
      </c>
      <c r="I89">
        <v>2.1629327055944101</v>
      </c>
      <c r="J89">
        <v>3.3</v>
      </c>
      <c r="K89" t="str">
        <f>INDEX('DBH height biomass'!K:K,MATCH('scaled dbh t2'!H89,'DBH height biomass'!O:O,0))</f>
        <v>((0.0294*(X4^1.8357)*X2^0.864)+(0.0053*(X4^2.0876)*X2^0.5842)+(0.0117*(X4^3.5097)*X2^-1.3006)+(0.1245*(X4^2.523)*X2^-1.123))*1000</v>
      </c>
      <c r="L89" t="str">
        <f t="shared" si="1"/>
        <v>((0.0294*(2.16293270559441^1.8357)*3.3^0.864)+(0.0053*(2.16293270559441^2.0876)*3.3^0.5842)+(0.0117*(2.16293270559441^3.5097)*3.3^-1.3006)+(0.1245*(2.16293270559441^2.523)*3.3^-1.123))*1000</v>
      </c>
      <c r="M89" cm="1">
        <f t="array" ref="M89">eval_dbh2</f>
        <v>658.47511953809044</v>
      </c>
    </row>
    <row r="90" spans="1:13" x14ac:dyDescent="0.15">
      <c r="A90" t="s">
        <v>18</v>
      </c>
      <c r="B90">
        <v>17</v>
      </c>
      <c r="C90" t="s">
        <v>32</v>
      </c>
      <c r="D90" t="s">
        <v>7</v>
      </c>
      <c r="E90" t="s">
        <v>34</v>
      </c>
      <c r="F90" t="s">
        <v>10</v>
      </c>
      <c r="G90">
        <v>2</v>
      </c>
      <c r="H90" t="s">
        <v>163</v>
      </c>
      <c r="I90">
        <v>2.2590630480652729</v>
      </c>
      <c r="J90">
        <v>3</v>
      </c>
      <c r="K90" t="str">
        <f>INDEX('DBH height biomass'!K:K,MATCH('scaled dbh t2'!H90,'DBH height biomass'!O:O,0))</f>
        <v>((0.0294*(X4^1.8357)*X2^0.864)+(0.0053*(X4^2.0876)*X2^0.5842)+(0.0117*(X4^3.5097)*X2^-1.3006)+(0.1245*(X4^2.523)*X2^-1.123))*1000</v>
      </c>
      <c r="L90" t="str">
        <f t="shared" si="1"/>
        <v>((0.0294*(2.25906304806527^1.8357)*3^0.864)+(0.0053*(2.25906304806527^2.0876)*3^0.5842)+(0.0117*(2.25906304806527^3.5097)*3^-1.3006)+(0.1245*(2.25906304806527^2.523)*3^-1.123))*1000</v>
      </c>
      <c r="M90" cm="1">
        <f t="array" ref="M90">eval_dbh2</f>
        <v>726.56719910474419</v>
      </c>
    </row>
    <row r="91" spans="1:13" x14ac:dyDescent="0.15">
      <c r="A91" t="s">
        <v>18</v>
      </c>
      <c r="B91">
        <v>17</v>
      </c>
      <c r="C91" t="s">
        <v>32</v>
      </c>
      <c r="D91" t="s">
        <v>7</v>
      </c>
      <c r="E91" t="s">
        <v>34</v>
      </c>
      <c r="F91" t="s">
        <v>10</v>
      </c>
      <c r="G91">
        <v>2</v>
      </c>
      <c r="H91" t="s">
        <v>163</v>
      </c>
      <c r="I91">
        <v>2.4513237330069981</v>
      </c>
      <c r="J91">
        <v>3.8</v>
      </c>
      <c r="K91" t="str">
        <f>INDEX('DBH height biomass'!K:K,MATCH('scaled dbh t2'!H91,'DBH height biomass'!O:O,0))</f>
        <v>((0.0294*(X4^1.8357)*X2^0.864)+(0.0053*(X4^2.0876)*X2^0.5842)+(0.0117*(X4^3.5097)*X2^-1.3006)+(0.1245*(X4^2.523)*X2^-1.123))*1000</v>
      </c>
      <c r="L91" t="str">
        <f t="shared" si="1"/>
        <v>((0.0294*(2.451323733007^1.8357)*3.8^0.864)+(0.0053*(2.451323733007^2.0876)*3.8^0.5842)+(0.0117*(2.451323733007^3.5097)*3.8^-1.3006)+(0.1245*(2.451323733007^2.523)*3.8^-1.123))*1000</v>
      </c>
      <c r="M91" cm="1">
        <f t="array" ref="M91">eval_dbh2</f>
        <v>873.28106767104794</v>
      </c>
    </row>
    <row r="92" spans="1:13" x14ac:dyDescent="0.15">
      <c r="A92" t="s">
        <v>18</v>
      </c>
      <c r="B92">
        <v>35</v>
      </c>
      <c r="C92" t="s">
        <v>32</v>
      </c>
      <c r="D92" t="s">
        <v>7</v>
      </c>
      <c r="E92" t="s">
        <v>34</v>
      </c>
      <c r="F92" t="s">
        <v>20</v>
      </c>
      <c r="G92">
        <v>2</v>
      </c>
      <c r="H92" t="s">
        <v>164</v>
      </c>
      <c r="I92">
        <v>2.2109978768298419</v>
      </c>
      <c r="J92">
        <v>8</v>
      </c>
      <c r="K92" t="str">
        <f>INDEX('DBH height biomass'!K:K,MATCH('scaled dbh t2'!H92,'DBH height biomass'!O:O,0))</f>
        <v>((0.0294*(X4^1.8357)*X2^0.864)+(0.0053*(X4^2.0876)*X2^0.5842)+(0.0117*(X4^3.5097)*X2^-1.3006)+(0.1245*(X4^2.523)*X2^-1.123))*1000</v>
      </c>
      <c r="L92" t="str">
        <f t="shared" si="1"/>
        <v>((0.0294*(2.21099787682984^1.8357)*8^0.864)+(0.0053*(2.21099787682984^2.0876)*8^0.5842)+(0.0117*(2.21099787682984^3.5097)*8^-1.3006)+(0.1245*(2.21099787682984^2.523)*8^-1.123))*1000</v>
      </c>
      <c r="M92" cm="1">
        <f t="array" ref="M92">eval_dbh2</f>
        <v>956.11016286894062</v>
      </c>
    </row>
    <row r="93" spans="1:13" x14ac:dyDescent="0.15">
      <c r="A93" t="s">
        <v>18</v>
      </c>
      <c r="B93">
        <v>17</v>
      </c>
      <c r="C93" t="s">
        <v>32</v>
      </c>
      <c r="D93" t="s">
        <v>7</v>
      </c>
      <c r="E93" t="s">
        <v>34</v>
      </c>
      <c r="F93" t="s">
        <v>10</v>
      </c>
      <c r="G93">
        <v>2</v>
      </c>
      <c r="H93" t="s">
        <v>163</v>
      </c>
      <c r="I93">
        <v>2.7397147604195871</v>
      </c>
      <c r="J93">
        <v>4</v>
      </c>
      <c r="K93" t="str">
        <f>INDEX('DBH height biomass'!K:K,MATCH('scaled dbh t2'!H93,'DBH height biomass'!O:O,0))</f>
        <v>((0.0294*(X4^1.8357)*X2^0.864)+(0.0053*(X4^2.0876)*X2^0.5842)+(0.0117*(X4^3.5097)*X2^-1.3006)+(0.1245*(X4^2.523)*X2^-1.123))*1000</v>
      </c>
      <c r="L93" t="str">
        <f t="shared" si="1"/>
        <v>((0.0294*(2.73971476041959^1.8357)*4^0.864)+(0.0053*(2.73971476041959^2.0876)*4^0.5842)+(0.0117*(2.73971476041959^3.5097)*4^-1.3006)+(0.1245*(2.73971476041959^2.523)*4^-1.123))*1000</v>
      </c>
      <c r="M93" cm="1">
        <f t="array" ref="M93">eval_dbh2</f>
        <v>1117.1419315643325</v>
      </c>
    </row>
    <row r="94" spans="1:13" x14ac:dyDescent="0.15">
      <c r="A94" t="s">
        <v>18</v>
      </c>
      <c r="B94">
        <v>35</v>
      </c>
      <c r="C94" t="s">
        <v>32</v>
      </c>
      <c r="D94" t="s">
        <v>6</v>
      </c>
      <c r="E94" t="s">
        <v>36</v>
      </c>
      <c r="F94" t="s">
        <v>10</v>
      </c>
      <c r="G94">
        <v>2</v>
      </c>
      <c r="H94" t="s">
        <v>164</v>
      </c>
      <c r="I94">
        <v>2.88391027412588</v>
      </c>
      <c r="J94">
        <v>4</v>
      </c>
      <c r="K94" t="str">
        <f>INDEX('DBH height biomass'!K:K,MATCH('scaled dbh t2'!H94,'DBH height biomass'!O:O,0))</f>
        <v>((0.0294*(X4^1.8357)*X2^0.864)+(0.0053*(X4^2.0876)*X2^0.5842)+(0.0117*(X4^3.5097)*X2^-1.3006)+(0.1245*(X4^2.523)*X2^-1.123))*1000</v>
      </c>
      <c r="L94" t="str">
        <f t="shared" si="1"/>
        <v>((0.0294*(2.88391027412588^1.8357)*4^0.864)+(0.0053*(2.88391027412588^2.0876)*4^0.5842)+(0.0117*(2.88391027412588^3.5097)*4^-1.3006)+(0.1245*(2.88391027412588^2.523)*4^-1.123))*1000</v>
      </c>
      <c r="M94" cm="1">
        <f t="array" ref="M94">eval_dbh2</f>
        <v>1248.5242188721495</v>
      </c>
    </row>
    <row r="95" spans="1:13" x14ac:dyDescent="0.15">
      <c r="A95" t="s">
        <v>18</v>
      </c>
      <c r="B95">
        <v>17</v>
      </c>
      <c r="C95" t="s">
        <v>32</v>
      </c>
      <c r="D95" t="s">
        <v>5</v>
      </c>
      <c r="E95" t="s">
        <v>35</v>
      </c>
      <c r="F95" t="s">
        <v>10</v>
      </c>
      <c r="G95">
        <v>2</v>
      </c>
      <c r="H95" t="s">
        <v>163</v>
      </c>
      <c r="I95">
        <v>2.9319754453613109</v>
      </c>
      <c r="J95">
        <v>3.3</v>
      </c>
      <c r="K95" t="str">
        <f>INDEX('DBH height biomass'!K:K,MATCH('scaled dbh t2'!H95,'DBH height biomass'!O:O,0))</f>
        <v>((0.0294*(X4^1.8357)*X2^0.864)+(0.0053*(X4^2.0876)*X2^0.5842)+(0.0117*(X4^3.5097)*X2^-1.3006)+(0.1245*(X4^2.523)*X2^-1.123))*1000</v>
      </c>
      <c r="L95" t="str">
        <f t="shared" si="1"/>
        <v>((0.0294*(2.93197544536131^1.8357)*3.3^0.864)+(0.0053*(2.93197544536131^2.0876)*3.3^0.5842)+(0.0117*(2.93197544536131^3.5097)*3.3^-1.3006)+(0.1245*(2.93197544536131^2.523)*3.3^-1.123))*1000</v>
      </c>
      <c r="M95" cm="1">
        <f t="array" ref="M95">eval_dbh2</f>
        <v>1294.2249626738258</v>
      </c>
    </row>
    <row r="96" spans="1:13" x14ac:dyDescent="0.15">
      <c r="A96" t="s">
        <v>18</v>
      </c>
      <c r="B96">
        <v>35</v>
      </c>
      <c r="C96" t="s">
        <v>32</v>
      </c>
      <c r="D96" t="s">
        <v>5</v>
      </c>
      <c r="E96" t="s">
        <v>35</v>
      </c>
      <c r="F96" t="s">
        <v>10</v>
      </c>
      <c r="G96">
        <v>2</v>
      </c>
      <c r="H96" t="s">
        <v>164</v>
      </c>
      <c r="I96">
        <v>3.5087575001864879</v>
      </c>
      <c r="J96">
        <v>5</v>
      </c>
      <c r="K96" t="str">
        <f>INDEX('DBH height biomass'!K:K,MATCH('scaled dbh t2'!H96,'DBH height biomass'!O:O,0))</f>
        <v>((0.0294*(X4^1.8357)*X2^0.864)+(0.0053*(X4^2.0876)*X2^0.5842)+(0.0117*(X4^3.5097)*X2^-1.3006)+(0.1245*(X4^2.523)*X2^-1.123))*1000</v>
      </c>
      <c r="L96" t="str">
        <f t="shared" si="1"/>
        <v>((0.0294*(3.50875750018649^1.8357)*5^0.864)+(0.0053*(3.50875750018649^2.0876)*5^0.5842)+(0.0117*(3.50875750018649^3.5097)*5^-1.3006)+(0.1245*(3.50875750018649^2.523)*5^-1.123))*1000</v>
      </c>
      <c r="M96" cm="1">
        <f t="array" ref="M96">eval_dbh2</f>
        <v>1972.5723137354996</v>
      </c>
    </row>
    <row r="97" spans="1:13" x14ac:dyDescent="0.15">
      <c r="A97" t="s">
        <v>18</v>
      </c>
      <c r="B97">
        <v>17</v>
      </c>
      <c r="C97" t="s">
        <v>32</v>
      </c>
      <c r="D97" t="s">
        <v>6</v>
      </c>
      <c r="E97" t="s">
        <v>36</v>
      </c>
      <c r="F97" t="s">
        <v>10</v>
      </c>
      <c r="G97">
        <v>2</v>
      </c>
      <c r="H97" t="s">
        <v>163</v>
      </c>
      <c r="I97">
        <v>3.9413440413053702</v>
      </c>
      <c r="J97">
        <v>4.7</v>
      </c>
      <c r="K97" t="str">
        <f>INDEX('DBH height biomass'!K:K,MATCH('scaled dbh t2'!H97,'DBH height biomass'!O:O,0))</f>
        <v>((0.0294*(X4^1.8357)*X2^0.864)+(0.0053*(X4^2.0876)*X2^0.5842)+(0.0117*(X4^3.5097)*X2^-1.3006)+(0.1245*(X4^2.523)*X2^-1.123))*1000</v>
      </c>
      <c r="L97" t="str">
        <f t="shared" si="1"/>
        <v>((0.0294*(3.94134404130537^1.8357)*4.7^0.864)+(0.0053*(3.94134404130537^2.0876)*4.7^0.5842)+(0.0117*(3.94134404130537^3.5097)*4.7^-1.3006)+(0.1245*(3.94134404130537^2.523)*4.7^-1.123))*1000</v>
      </c>
      <c r="M97" cm="1">
        <f t="array" ref="M97">eval_dbh2</f>
        <v>2507.0675160025376</v>
      </c>
    </row>
    <row r="98" spans="1:13" x14ac:dyDescent="0.15">
      <c r="A98" t="s">
        <v>18</v>
      </c>
      <c r="B98">
        <v>17</v>
      </c>
      <c r="C98" t="s">
        <v>32</v>
      </c>
      <c r="D98" t="s">
        <v>9</v>
      </c>
      <c r="E98" t="s">
        <v>37</v>
      </c>
      <c r="F98" t="s">
        <v>10</v>
      </c>
      <c r="G98">
        <v>2</v>
      </c>
      <c r="H98" t="s">
        <v>163</v>
      </c>
      <c r="I98">
        <v>4.99877780848486</v>
      </c>
      <c r="J98">
        <v>6</v>
      </c>
      <c r="K98" t="str">
        <f>INDEX('DBH height biomass'!K:K,MATCH('scaled dbh t2'!H98,'DBH height biomass'!O:O,0))</f>
        <v>((0.0294*(X4^1.8357)*X2^0.864)+(0.0053*(X4^2.0876)*X2^0.5842)+(0.0117*(X4^3.5097)*X2^-1.3006)+(0.1245*(X4^2.523)*X2^-1.123))*1000</v>
      </c>
      <c r="L98" t="str">
        <f t="shared" si="1"/>
        <v>((0.0294*(4.99877780848486^1.8357)*6^0.864)+(0.0053*(4.99877780848486^2.0876)*6^0.5842)+(0.0117*(4.99877780848486^3.5097)*6^-1.3006)+(0.1245*(4.99877780848486^2.523)*6^-1.123))*1000</v>
      </c>
      <c r="M98" cm="1">
        <f t="array" ref="M98">eval_dbh2</f>
        <v>4374.154529024956</v>
      </c>
    </row>
    <row r="99" spans="1:13" x14ac:dyDescent="0.15">
      <c r="A99" t="s">
        <v>18</v>
      </c>
      <c r="B99">
        <v>11</v>
      </c>
      <c r="C99" t="s">
        <v>30</v>
      </c>
      <c r="D99" t="s">
        <v>9</v>
      </c>
      <c r="E99" t="s">
        <v>37</v>
      </c>
      <c r="F99" t="s">
        <v>10</v>
      </c>
      <c r="G99">
        <v>2</v>
      </c>
      <c r="H99" t="s">
        <v>161</v>
      </c>
      <c r="I99">
        <v>5.0468429797202914</v>
      </c>
      <c r="J99">
        <v>3</v>
      </c>
      <c r="K99" t="str">
        <f>INDEX('DBH height biomass'!K:K,MATCH('scaled dbh t2'!H99,'DBH height biomass'!O:O,0))</f>
        <v>((0.0294*(X4^1.8357)*X2^0.864)+(0.0053*(X4^2.0876)*X2^0.5842)+(0.0117*(X4^3.5097)*X2^-1.3006)+(0.1245*(X4^2.523)*X2^-1.123))*1000</v>
      </c>
      <c r="L99" t="str">
        <f t="shared" si="1"/>
        <v>((0.0294*(5.04684297972029^1.8357)*3^0.864)+(0.0053*(5.04684297972029^2.0876)*3^0.5842)+(0.0117*(5.04684297972029^3.5097)*3^-1.3006)+(0.1245*(5.04684297972029^2.523)*3^-1.123))*1000</v>
      </c>
      <c r="M99" cm="1">
        <f t="array" ref="M99">eval_dbh2</f>
        <v>4753.9422246739614</v>
      </c>
    </row>
    <row r="100" spans="1:13" x14ac:dyDescent="0.15">
      <c r="A100" t="s">
        <v>18</v>
      </c>
      <c r="B100">
        <v>17</v>
      </c>
      <c r="C100" t="s">
        <v>32</v>
      </c>
      <c r="D100" t="s">
        <v>7</v>
      </c>
      <c r="E100" t="s">
        <v>34</v>
      </c>
      <c r="F100" t="s">
        <v>10</v>
      </c>
      <c r="G100">
        <v>2</v>
      </c>
      <c r="H100" t="s">
        <v>163</v>
      </c>
      <c r="I100">
        <v>7.1617105140792701</v>
      </c>
      <c r="J100">
        <v>6</v>
      </c>
      <c r="K100" t="str">
        <f>INDEX('DBH height biomass'!K:K,MATCH('scaled dbh t2'!H100,'DBH height biomass'!O:O,0))</f>
        <v>((0.0294*(X4^1.8357)*X2^0.864)+(0.0053*(X4^2.0876)*X2^0.5842)+(0.0117*(X4^3.5097)*X2^-1.3006)+(0.1245*(X4^2.523)*X2^-1.123))*1000</v>
      </c>
      <c r="L100" t="str">
        <f t="shared" si="1"/>
        <v>((0.0294*(7.16171051407927^1.8357)*6^0.864)+(0.0053*(7.16171051407927^2.0876)*6^0.5842)+(0.0117*(7.16171051407927^3.5097)*6^-1.3006)+(0.1245*(7.16171051407927^2.523)*6^-1.123))*1000</v>
      </c>
      <c r="M100" cm="1">
        <f t="array" ref="M100">eval_dbh2</f>
        <v>9582.1147114765499</v>
      </c>
    </row>
    <row r="101" spans="1:13" x14ac:dyDescent="0.15">
      <c r="A101" t="s">
        <v>18</v>
      </c>
      <c r="B101">
        <v>13</v>
      </c>
      <c r="C101" t="s">
        <v>32</v>
      </c>
      <c r="D101" t="s">
        <v>9</v>
      </c>
      <c r="E101" t="s">
        <v>37</v>
      </c>
      <c r="F101" t="s">
        <v>10</v>
      </c>
      <c r="G101">
        <v>2</v>
      </c>
      <c r="H101" t="s">
        <v>175</v>
      </c>
      <c r="I101">
        <v>6.7291239729603882</v>
      </c>
      <c r="J101">
        <v>3</v>
      </c>
      <c r="K101" t="str">
        <f>INDEX('DBH height biomass'!K:K,MATCH('scaled dbh t2'!H101,'DBH height biomass'!O:O,0))</f>
        <v>((0.0294*(X4^1.8357)*X2^0.864)+(0.0053*(X4^2.0876)*X2^0.5842)+(0.0117*(X4^3.5097)*X2^-1.3006)+(0.1245*(X4^2.523)*X2^-1.123))*1000</v>
      </c>
      <c r="L101" t="str">
        <f t="shared" si="1"/>
        <v>((0.0294*(6.72912397296039^1.8357)*3^0.864)+(0.0053*(6.72912397296039^2.0876)*3^0.5842)+(0.0117*(6.72912397296039^3.5097)*3^-1.3006)+(0.1245*(6.72912397296039^2.523)*3^-1.123))*1000</v>
      </c>
      <c r="M101" cm="1">
        <f t="array" ref="M101">eval_dbh2</f>
        <v>9759.7873163107215</v>
      </c>
    </row>
    <row r="102" spans="1:13" x14ac:dyDescent="0.15">
      <c r="A102" t="s">
        <v>18</v>
      </c>
      <c r="B102">
        <v>13</v>
      </c>
      <c r="C102" t="s">
        <v>32</v>
      </c>
      <c r="D102" t="s">
        <v>5</v>
      </c>
      <c r="E102" t="s">
        <v>35</v>
      </c>
      <c r="F102" t="s">
        <v>10</v>
      </c>
      <c r="G102">
        <v>2</v>
      </c>
      <c r="H102" t="s">
        <v>175</v>
      </c>
      <c r="I102">
        <v>7.6904273976690147</v>
      </c>
      <c r="J102">
        <v>4</v>
      </c>
      <c r="K102" t="str">
        <f>INDEX('DBH height biomass'!K:K,MATCH('scaled dbh t2'!H102,'DBH height biomass'!O:O,0))</f>
        <v>((0.0294*(X4^1.8357)*X2^0.864)+(0.0053*(X4^2.0876)*X2^0.5842)+(0.0117*(X4^3.5097)*X2^-1.3006)+(0.1245*(X4^2.523)*X2^-1.123))*1000</v>
      </c>
      <c r="L102" t="str">
        <f t="shared" si="1"/>
        <v>((0.0294*(7.69042739766901^1.8357)*4^0.864)+(0.0053*(7.69042739766901^2.0876)*4^0.5842)+(0.0117*(7.69042739766901^3.5097)*4^-1.3006)+(0.1245*(7.69042739766901^2.523)*4^-1.123))*1000</v>
      </c>
      <c r="M102" cm="1">
        <f t="array" ref="M102">eval_dbh2</f>
        <v>11954.125883641471</v>
      </c>
    </row>
    <row r="103" spans="1:13" x14ac:dyDescent="0.15">
      <c r="A103" t="s">
        <v>18</v>
      </c>
      <c r="B103">
        <v>35</v>
      </c>
      <c r="C103" t="s">
        <v>32</v>
      </c>
      <c r="D103" t="s">
        <v>6</v>
      </c>
      <c r="E103" t="s">
        <v>36</v>
      </c>
      <c r="F103" t="s">
        <v>10</v>
      </c>
      <c r="G103">
        <v>2</v>
      </c>
      <c r="H103" t="s">
        <v>164</v>
      </c>
      <c r="I103">
        <v>9.1804477059673868</v>
      </c>
      <c r="J103">
        <v>7.5</v>
      </c>
      <c r="K103" t="str">
        <f>INDEX('DBH height biomass'!K:K,MATCH('scaled dbh t2'!H103,'DBH height biomass'!O:O,0))</f>
        <v>((0.0294*(X4^1.8357)*X2^0.864)+(0.0053*(X4^2.0876)*X2^0.5842)+(0.0117*(X4^3.5097)*X2^-1.3006)+(0.1245*(X4^2.523)*X2^-1.123))*1000</v>
      </c>
      <c r="L103" t="str">
        <f t="shared" si="1"/>
        <v>((0.0294*(9.18044770596739^1.8357)*7.5^0.864)+(0.0053*(9.18044770596739^2.0876)*7.5^0.5842)+(0.0117*(9.18044770596739^3.5097)*7.5^-1.3006)+(0.1245*(9.18044770596739^2.523)*7.5^-1.123))*1000</v>
      </c>
      <c r="M103" cm="1">
        <f t="array" ref="M103">eval_dbh2</f>
        <v>17096.8272777155</v>
      </c>
    </row>
    <row r="104" spans="1:13" x14ac:dyDescent="0.15">
      <c r="A104" t="s">
        <v>3</v>
      </c>
      <c r="B104">
        <v>20</v>
      </c>
      <c r="C104" t="s">
        <v>30</v>
      </c>
      <c r="D104" t="s">
        <v>5</v>
      </c>
      <c r="E104" t="s">
        <v>35</v>
      </c>
      <c r="F104" t="s">
        <v>15</v>
      </c>
      <c r="G104">
        <v>2</v>
      </c>
      <c r="H104" t="s">
        <v>177</v>
      </c>
      <c r="I104">
        <v>12.73727037738931</v>
      </c>
      <c r="J104">
        <v>7</v>
      </c>
      <c r="K104" t="str">
        <f>INDEX('DBH height biomass'!K:K,MATCH('scaled dbh t2'!H104,'DBH height biomass'!O:O,0))</f>
        <v>((0.0259*(X4^1.9044)*X2^0.9715)+(0.0069*(X4^2.0834)*X2^0.5371)+(0.0325*(X4^2.3851)*X2^0)+(0.1683*(X4^1.2764)*X2^0))*1000</v>
      </c>
      <c r="L104" t="str">
        <f t="shared" si="1"/>
        <v>((0.0259*(12.7372703773893^1.9044)*7^0.9715)+(0.0069*(12.7372703773893^2.0834)*7^0.5371)+(0.0325*(12.7372703773893^2.3851)*7^0)+(0.1683*(12.7372703773893^1.2764)*7^0))*1000</v>
      </c>
      <c r="M104" cm="1">
        <f t="array" ref="M104">eval_dbh2</f>
        <v>44133.079920377262</v>
      </c>
    </row>
    <row r="105" spans="1:13" x14ac:dyDescent="0.15">
      <c r="A105" t="s">
        <v>18</v>
      </c>
      <c r="B105">
        <v>13</v>
      </c>
      <c r="C105" t="s">
        <v>32</v>
      </c>
      <c r="D105" t="s">
        <v>7</v>
      </c>
      <c r="E105" t="s">
        <v>34</v>
      </c>
      <c r="F105" t="s">
        <v>10</v>
      </c>
      <c r="G105">
        <v>2</v>
      </c>
      <c r="H105" t="s">
        <v>175</v>
      </c>
      <c r="I105">
        <v>12.49694452121215</v>
      </c>
      <c r="J105">
        <v>6</v>
      </c>
      <c r="K105" t="str">
        <f>INDEX('DBH height biomass'!K:K,MATCH('scaled dbh t2'!H105,'DBH height biomass'!O:O,0))</f>
        <v>((0.0294*(X4^1.8357)*X2^0.864)+(0.0053*(X4^2.0876)*X2^0.5842)+(0.0117*(X4^3.5097)*X2^-1.3006)+(0.1245*(X4^2.523)*X2^-1.123))*1000</v>
      </c>
      <c r="L105" t="str">
        <f t="shared" si="1"/>
        <v>((0.0294*(12.4969445212121^1.8357)*6^0.864)+(0.0053*(12.4969445212121^2.0876)*6^0.5842)+(0.0117*(12.4969445212121^3.5097)*6^-1.3006)+(0.1245*(12.4969445212121^2.523)*6^-1.123))*1000</v>
      </c>
      <c r="M105" cm="1">
        <f t="array" ref="M105">eval_dbh2</f>
        <v>34985.416936702677</v>
      </c>
    </row>
    <row r="106" spans="1:13" x14ac:dyDescent="0.15">
      <c r="A106" t="s">
        <v>3</v>
      </c>
      <c r="B106">
        <v>32</v>
      </c>
      <c r="C106" t="s">
        <v>32</v>
      </c>
      <c r="D106" t="s">
        <v>6</v>
      </c>
      <c r="E106" t="s">
        <v>36</v>
      </c>
      <c r="F106" t="s">
        <v>8</v>
      </c>
      <c r="G106">
        <v>2</v>
      </c>
      <c r="H106" t="s">
        <v>157</v>
      </c>
      <c r="I106">
        <v>13.45824794592078</v>
      </c>
      <c r="J106">
        <v>8.5</v>
      </c>
      <c r="K106" t="str">
        <f>INDEX('DBH height biomass'!K:K,MATCH('scaled dbh t2'!H106,'DBH height biomass'!O:O,0))</f>
        <v>((0.0309*(X4^1.7527)*X2^1.0014)+(0.0115*(X4^1.7405)*X2^0.6589)+(0.038*(X4^3.2558)*X2^-1.4218)+(0.2048*(X4^2.5754)*X2^-1.3704))*1000</v>
      </c>
      <c r="L106" t="str">
        <f t="shared" si="1"/>
        <v>((0.0309*(13.4582479459208^1.7527)*8.5^1.0014)+(0.0115*(13.4582479459208^1.7405)*8.5^0.6589)+(0.038*(13.4582479459208^3.2558)*8.5^-1.4218)+(0.2048*(13.4582479459208^2.5754)*8.5^-1.3704))*1000</v>
      </c>
      <c r="M106" cm="1">
        <f t="array" ref="M106">eval_dbh2</f>
        <v>46841.167507858387</v>
      </c>
    </row>
    <row r="107" spans="1:13" x14ac:dyDescent="0.15">
      <c r="A107" t="s">
        <v>3</v>
      </c>
      <c r="B107">
        <v>32</v>
      </c>
      <c r="C107" t="s">
        <v>32</v>
      </c>
      <c r="D107" t="s">
        <v>6</v>
      </c>
      <c r="E107" t="s">
        <v>36</v>
      </c>
      <c r="F107" t="s">
        <v>8</v>
      </c>
      <c r="G107">
        <v>2</v>
      </c>
      <c r="H107" t="s">
        <v>157</v>
      </c>
      <c r="I107">
        <v>14.17922551445224</v>
      </c>
      <c r="J107">
        <v>8.6</v>
      </c>
      <c r="K107" t="str">
        <f>INDEX('DBH height biomass'!K:K,MATCH('scaled dbh t2'!H107,'DBH height biomass'!O:O,0))</f>
        <v>((0.0309*(X4^1.7527)*X2^1.0014)+(0.0115*(X4^1.7405)*X2^0.6589)+(0.038*(X4^3.2558)*X2^-1.4218)+(0.2048*(X4^2.5754)*X2^-1.3704))*1000</v>
      </c>
      <c r="L107" t="str">
        <f t="shared" si="1"/>
        <v>((0.0309*(14.1792255144522^1.7527)*8.6^1.0014)+(0.0115*(14.1792255144522^1.7405)*8.6^0.6589)+(0.038*(14.1792255144522^3.2558)*8.6^-1.4218)+(0.2048*(14.1792255144522^2.5754)*8.6^-1.3704))*1000</v>
      </c>
      <c r="M107" cm="1">
        <f t="array" ref="M107">eval_dbh2</f>
        <v>52548.989500283089</v>
      </c>
    </row>
    <row r="108" spans="1:13" x14ac:dyDescent="0.15">
      <c r="A108" t="s">
        <v>3</v>
      </c>
      <c r="B108">
        <v>34</v>
      </c>
      <c r="C108" t="s">
        <v>32</v>
      </c>
      <c r="D108" t="s">
        <v>7</v>
      </c>
      <c r="E108" t="s">
        <v>34</v>
      </c>
      <c r="F108" t="s">
        <v>16</v>
      </c>
      <c r="G108">
        <v>2</v>
      </c>
      <c r="H108" t="s">
        <v>171</v>
      </c>
      <c r="I108">
        <v>15.95763685016321</v>
      </c>
      <c r="J108">
        <v>14.2</v>
      </c>
      <c r="K108" t="str">
        <f>INDEX('DBH height biomass'!K:K,MATCH('scaled dbh t2'!H108,'DBH height biomass'!O:O,0))</f>
        <v>((0.0294*(X4^1.8357)*X2^0.864)+(0.0053*(X4^2.0876)*X2^0.5842)+(0.0117*(X4^3.5097)*X2^-1.3006)+(0.1245*(X4^2.523)*X2^-1.123))*1000</v>
      </c>
      <c r="L108" t="str">
        <f t="shared" si="1"/>
        <v>((0.0294*(15.9576368501632^1.8357)*14.2^0.864)+(0.0053*(15.9576368501632^2.0876)*14.2^0.5842)+(0.0117*(15.9576368501632^3.5097)*14.2^-1.3006)+(0.1245*(15.9576368501632^2.523)*14.2^-1.123))*1000</v>
      </c>
      <c r="M108" cm="1">
        <f t="array" ref="M108">eval_dbh2</f>
        <v>68164.747306133111</v>
      </c>
    </row>
    <row r="109" spans="1:13" x14ac:dyDescent="0.15">
      <c r="A109" t="s">
        <v>3</v>
      </c>
      <c r="B109">
        <v>32</v>
      </c>
      <c r="C109" t="s">
        <v>32</v>
      </c>
      <c r="D109" t="s">
        <v>5</v>
      </c>
      <c r="E109" t="s">
        <v>35</v>
      </c>
      <c r="F109" t="s">
        <v>8</v>
      </c>
      <c r="G109">
        <v>2</v>
      </c>
      <c r="H109" t="s">
        <v>157</v>
      </c>
      <c r="I109">
        <v>15.26069186724945</v>
      </c>
      <c r="J109">
        <v>11.4</v>
      </c>
      <c r="K109" t="str">
        <f>INDEX('DBH height biomass'!K:K,MATCH('scaled dbh t2'!H109,'DBH height biomass'!O:O,0))</f>
        <v>((0.0309*(X4^1.7527)*X2^1.0014)+(0.0115*(X4^1.7405)*X2^0.6589)+(0.038*(X4^3.2558)*X2^-1.4218)+(0.2048*(X4^2.5754)*X2^-1.3704))*1000</v>
      </c>
      <c r="L109" t="str">
        <f t="shared" si="1"/>
        <v>((0.0309*(15.2606918672495^1.7527)*11.4^1.0014)+(0.0115*(15.2606918672495^1.7405)*11.4^0.6589)+(0.038*(15.2606918672495^3.2558)*11.4^-1.4218)+(0.2048*(15.2606918672495^2.5754)*11.4^-1.3704))*1000</v>
      </c>
      <c r="M109" cm="1">
        <f t="array" ref="M109">eval_dbh2</f>
        <v>65190.65160547963</v>
      </c>
    </row>
    <row r="110" spans="1:13" x14ac:dyDescent="0.15">
      <c r="A110" t="s">
        <v>3</v>
      </c>
      <c r="B110">
        <v>32</v>
      </c>
      <c r="C110" t="s">
        <v>32</v>
      </c>
      <c r="D110" t="s">
        <v>5</v>
      </c>
      <c r="E110" t="s">
        <v>35</v>
      </c>
      <c r="F110" t="s">
        <v>8</v>
      </c>
      <c r="G110">
        <v>2</v>
      </c>
      <c r="H110" t="s">
        <v>157</v>
      </c>
      <c r="I110">
        <v>16.101832363869502</v>
      </c>
      <c r="J110">
        <v>14.4</v>
      </c>
      <c r="K110" t="str">
        <f>INDEX('DBH height biomass'!K:K,MATCH('scaled dbh t2'!H110,'DBH height biomass'!O:O,0))</f>
        <v>((0.0309*(X4^1.7527)*X2^1.0014)+(0.0115*(X4^1.7405)*X2^0.6589)+(0.038*(X4^3.2558)*X2^-1.4218)+(0.2048*(X4^2.5754)*X2^-1.3704))*1000</v>
      </c>
      <c r="L110" t="str">
        <f t="shared" si="1"/>
        <v>((0.0309*(16.1018323638695^1.7527)*14.4^1.0014)+(0.0115*(16.1018323638695^1.7405)*14.4^0.6589)+(0.038*(16.1018323638695^3.2558)*14.4^-1.4218)+(0.2048*(16.1018323638695^2.5754)*14.4^-1.3704))*1000</v>
      </c>
      <c r="M110" cm="1">
        <f t="array" ref="M110">eval_dbh2</f>
        <v>80720.182308126561</v>
      </c>
    </row>
    <row r="111" spans="1:13" x14ac:dyDescent="0.15">
      <c r="A111" t="s">
        <v>18</v>
      </c>
      <c r="B111">
        <v>13</v>
      </c>
      <c r="C111" t="s">
        <v>32</v>
      </c>
      <c r="D111" t="s">
        <v>9</v>
      </c>
      <c r="E111" t="s">
        <v>37</v>
      </c>
      <c r="F111" t="s">
        <v>15</v>
      </c>
      <c r="G111">
        <v>2</v>
      </c>
      <c r="H111" t="s">
        <v>175</v>
      </c>
      <c r="I111">
        <v>19.226068494172541</v>
      </c>
      <c r="J111">
        <v>7</v>
      </c>
      <c r="K111" t="str">
        <f>INDEX('DBH height biomass'!K:K,MATCH('scaled dbh t2'!H111,'DBH height biomass'!O:O,0))</f>
        <v>((0.0294*(X4^1.8357)*X2^0.864)+(0.0053*(X4^2.0876)*X2^0.5842)+(0.0117*(X4^3.5097)*X2^-1.3006)+(0.1245*(X4^2.523)*X2^-1.123))*1000</v>
      </c>
      <c r="L111" t="str">
        <f t="shared" si="1"/>
        <v>((0.0294*(19.2260684941725^1.8357)*7^0.864)+(0.0053*(19.2260684941725^2.0876)*7^0.5842)+(0.0117*(19.2260684941725^3.5097)*7^-1.3006)+(0.1245*(19.2260684941725^2.523)*7^-1.123))*1000</v>
      </c>
      <c r="M111" cm="1">
        <f t="array" ref="M111">eval_dbh2</f>
        <v>97981.662873826717</v>
      </c>
    </row>
    <row r="112" spans="1:13" x14ac:dyDescent="0.15">
      <c r="A112" t="s">
        <v>3</v>
      </c>
      <c r="B112">
        <v>32</v>
      </c>
      <c r="C112" t="s">
        <v>32</v>
      </c>
      <c r="D112" t="s">
        <v>7</v>
      </c>
      <c r="E112" t="s">
        <v>34</v>
      </c>
      <c r="F112" t="s">
        <v>8</v>
      </c>
      <c r="G112">
        <v>2</v>
      </c>
      <c r="H112" t="s">
        <v>157</v>
      </c>
      <c r="I112">
        <v>22.109978768298419</v>
      </c>
      <c r="J112">
        <v>9.1999999999999993</v>
      </c>
      <c r="K112" t="str">
        <f>INDEX('DBH height biomass'!K:K,MATCH('scaled dbh t2'!H112,'DBH height biomass'!O:O,0))</f>
        <v>((0.0309*(X4^1.7527)*X2^1.0014)+(0.0115*(X4^1.7405)*X2^0.6589)+(0.038*(X4^3.2558)*X2^-1.4218)+(0.2048*(X4^2.5754)*X2^-1.3704))*1000</v>
      </c>
      <c r="L112" t="str">
        <f t="shared" si="1"/>
        <v>((0.0309*(22.1099787682984^1.7527)*9.2^1.0014)+(0.0115*(22.1099787682984^1.7405)*9.2^0.6589)+(0.038*(22.1099787682984^3.2558)*9.2^-1.4218)+(0.2048*(22.1099787682984^2.5754)*9.2^-1.3704))*1000</v>
      </c>
      <c r="M112" cm="1">
        <f t="array" ref="M112">eval_dbh2</f>
        <v>142749.67978255209</v>
      </c>
    </row>
    <row r="113" spans="1:13" x14ac:dyDescent="0.15">
      <c r="A113" t="s">
        <v>18</v>
      </c>
      <c r="B113">
        <v>13</v>
      </c>
      <c r="C113" t="s">
        <v>32</v>
      </c>
      <c r="D113" t="s">
        <v>7</v>
      </c>
      <c r="E113" t="s">
        <v>34</v>
      </c>
      <c r="F113" t="s">
        <v>10</v>
      </c>
      <c r="G113">
        <v>2</v>
      </c>
      <c r="H113" t="s">
        <v>175</v>
      </c>
      <c r="I113">
        <v>19.226068494172541</v>
      </c>
      <c r="J113">
        <v>5.5</v>
      </c>
      <c r="K113" t="str">
        <f>INDEX('DBH height biomass'!K:K,MATCH('scaled dbh t2'!H113,'DBH height biomass'!O:O,0))</f>
        <v>((0.0294*(X4^1.8357)*X2^0.864)+(0.0053*(X4^2.0876)*X2^0.5842)+(0.0117*(X4^3.5097)*X2^-1.3006)+(0.1245*(X4^2.523)*X2^-1.123))*1000</v>
      </c>
      <c r="L113" t="str">
        <f t="shared" si="1"/>
        <v>((0.0294*(19.2260684941725^1.8357)*5.5^0.864)+(0.0053*(19.2260684941725^2.0876)*5.5^0.5842)+(0.0117*(19.2260684941725^3.5097)*5.5^-1.3006)+(0.1245*(19.2260684941725^2.523)*5.5^-1.123))*1000</v>
      </c>
      <c r="M113" cm="1">
        <f t="array" ref="M113">eval_dbh2</f>
        <v>108741.95057938011</v>
      </c>
    </row>
    <row r="114" spans="1:13" x14ac:dyDescent="0.15">
      <c r="A114" t="s">
        <v>3</v>
      </c>
      <c r="B114">
        <v>32</v>
      </c>
      <c r="C114" t="s">
        <v>32</v>
      </c>
      <c r="D114" t="s">
        <v>6</v>
      </c>
      <c r="E114" t="s">
        <v>36</v>
      </c>
      <c r="F114" t="s">
        <v>8</v>
      </c>
      <c r="G114">
        <v>2</v>
      </c>
      <c r="H114" t="s">
        <v>157</v>
      </c>
      <c r="I114">
        <v>23.119347364242469</v>
      </c>
      <c r="J114">
        <v>9.9</v>
      </c>
      <c r="K114" t="str">
        <f>INDEX('DBH height biomass'!K:K,MATCH('scaled dbh t2'!H114,'DBH height biomass'!O:O,0))</f>
        <v>((0.0309*(X4^1.7527)*X2^1.0014)+(0.0115*(X4^1.7405)*X2^0.6589)+(0.038*(X4^3.2558)*X2^-1.4218)+(0.2048*(X4^2.5754)*X2^-1.3704))*1000</v>
      </c>
      <c r="L114" t="str">
        <f t="shared" si="1"/>
        <v>((0.0309*(23.1193473642425^1.7527)*9.9^1.0014)+(0.0115*(23.1193473642425^1.7405)*9.9^0.6589)+(0.038*(23.1193473642425^3.2558)*9.9^-1.4218)+(0.2048*(23.1193473642425^2.5754)*9.9^-1.3704))*1000</v>
      </c>
      <c r="M114" cm="1">
        <f t="array" ref="M114">eval_dbh2</f>
        <v>156861.30839003582</v>
      </c>
    </row>
    <row r="115" spans="1:13" x14ac:dyDescent="0.15">
      <c r="A115" t="s">
        <v>18</v>
      </c>
      <c r="B115">
        <v>13</v>
      </c>
      <c r="C115" t="s">
        <v>32</v>
      </c>
      <c r="D115" t="s">
        <v>6</v>
      </c>
      <c r="E115" t="s">
        <v>36</v>
      </c>
      <c r="F115" t="s">
        <v>10</v>
      </c>
      <c r="G115">
        <v>2</v>
      </c>
      <c r="H115" t="s">
        <v>175</v>
      </c>
      <c r="I115">
        <v>21.629327055944099</v>
      </c>
      <c r="J115">
        <v>6</v>
      </c>
      <c r="K115" t="str">
        <f>INDEX('DBH height biomass'!K:K,MATCH('scaled dbh t2'!H115,'DBH height biomass'!O:O,0))</f>
        <v>((0.0294*(X4^1.8357)*X2^0.864)+(0.0053*(X4^2.0876)*X2^0.5842)+(0.0117*(X4^3.5097)*X2^-1.3006)+(0.1245*(X4^2.523)*X2^-1.123))*1000</v>
      </c>
      <c r="L115" t="str">
        <f t="shared" si="1"/>
        <v>((0.0294*(21.6293270559441^1.8357)*6^0.864)+(0.0053*(21.6293270559441^2.0876)*6^0.5842)+(0.0117*(21.6293270559441^3.5097)*6^-1.3006)+(0.1245*(21.6293270559441^2.523)*6^-1.123))*1000</v>
      </c>
      <c r="M115" cm="1">
        <f t="array" ref="M115">eval_dbh2</f>
        <v>142318.82096177147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AFF2A-F40D-B843-8619-D9D440D66757}">
  <dimension ref="A1:D47"/>
  <sheetViews>
    <sheetView topLeftCell="A7" workbookViewId="0">
      <selection activeCell="D2" sqref="D2"/>
    </sheetView>
  </sheetViews>
  <sheetFormatPr baseColWidth="10" defaultRowHeight="13" x14ac:dyDescent="0.15"/>
  <sheetData>
    <row r="1" spans="1:4" x14ac:dyDescent="0.15">
      <c r="A1" s="9" t="s">
        <v>132</v>
      </c>
      <c r="B1" s="9" t="s">
        <v>133</v>
      </c>
      <c r="C1" s="9"/>
    </row>
    <row r="2" spans="1:4" x14ac:dyDescent="0.15">
      <c r="A2" s="9" t="s">
        <v>120</v>
      </c>
      <c r="B2">
        <v>1</v>
      </c>
      <c r="D2">
        <f>COUNT(B3,B5,B7:B10,B12:B14,B16:B21,B23:B25)</f>
        <v>18</v>
      </c>
    </row>
    <row r="3" spans="1:4" x14ac:dyDescent="0.15">
      <c r="A3" s="9" t="s">
        <v>121</v>
      </c>
      <c r="B3">
        <v>1</v>
      </c>
      <c r="D3">
        <f>COUNT(B27,B28,B30:B33,B35:B40, B42:B47)</f>
        <v>18</v>
      </c>
    </row>
    <row r="4" spans="1:4" x14ac:dyDescent="0.15">
      <c r="A4" s="9" t="s">
        <v>122</v>
      </c>
      <c r="B4">
        <v>1</v>
      </c>
    </row>
    <row r="5" spans="1:4" x14ac:dyDescent="0.15">
      <c r="A5" s="9" t="s">
        <v>123</v>
      </c>
      <c r="B5">
        <v>1</v>
      </c>
    </row>
    <row r="6" spans="1:4" x14ac:dyDescent="0.15">
      <c r="A6" s="9" t="s">
        <v>124</v>
      </c>
      <c r="B6">
        <v>1</v>
      </c>
    </row>
    <row r="7" spans="1:4" x14ac:dyDescent="0.15">
      <c r="A7" s="9" t="s">
        <v>125</v>
      </c>
      <c r="B7">
        <v>1</v>
      </c>
    </row>
    <row r="8" spans="1:4" x14ac:dyDescent="0.15">
      <c r="A8" s="9" t="s">
        <v>142</v>
      </c>
      <c r="B8">
        <v>1</v>
      </c>
    </row>
    <row r="9" spans="1:4" x14ac:dyDescent="0.15">
      <c r="A9" s="9" t="s">
        <v>143</v>
      </c>
      <c r="B9">
        <v>1</v>
      </c>
    </row>
    <row r="10" spans="1:4" x14ac:dyDescent="0.15">
      <c r="A10" s="9" t="s">
        <v>144</v>
      </c>
      <c r="B10">
        <v>1</v>
      </c>
    </row>
    <row r="11" spans="1:4" x14ac:dyDescent="0.15">
      <c r="A11" s="9" t="s">
        <v>126</v>
      </c>
      <c r="B11">
        <v>1</v>
      </c>
    </row>
    <row r="12" spans="1:4" x14ac:dyDescent="0.15">
      <c r="A12" s="9" t="s">
        <v>127</v>
      </c>
      <c r="B12">
        <v>1</v>
      </c>
    </row>
    <row r="13" spans="1:4" x14ac:dyDescent="0.15">
      <c r="A13" s="9" t="s">
        <v>145</v>
      </c>
      <c r="B13">
        <v>1</v>
      </c>
    </row>
    <row r="14" spans="1:4" x14ac:dyDescent="0.15">
      <c r="A14" s="9" t="s">
        <v>146</v>
      </c>
      <c r="B14">
        <v>1</v>
      </c>
    </row>
    <row r="15" spans="1:4" x14ac:dyDescent="0.15">
      <c r="A15" s="9" t="s">
        <v>128</v>
      </c>
      <c r="B15">
        <v>1</v>
      </c>
    </row>
    <row r="16" spans="1:4" x14ac:dyDescent="0.15">
      <c r="A16" s="9" t="s">
        <v>129</v>
      </c>
      <c r="B16">
        <v>1</v>
      </c>
    </row>
    <row r="17" spans="1:2" x14ac:dyDescent="0.15">
      <c r="A17" s="9" t="s">
        <v>147</v>
      </c>
      <c r="B17">
        <v>1</v>
      </c>
    </row>
    <row r="18" spans="1:2" x14ac:dyDescent="0.15">
      <c r="A18" s="9" t="s">
        <v>148</v>
      </c>
      <c r="B18">
        <v>1</v>
      </c>
    </row>
    <row r="19" spans="1:2" x14ac:dyDescent="0.15">
      <c r="A19" s="9" t="s">
        <v>149</v>
      </c>
      <c r="B19">
        <v>1</v>
      </c>
    </row>
    <row r="20" spans="1:2" x14ac:dyDescent="0.15">
      <c r="A20" s="9" t="s">
        <v>150</v>
      </c>
      <c r="B20">
        <v>1</v>
      </c>
    </row>
    <row r="21" spans="1:2" x14ac:dyDescent="0.15">
      <c r="A21" s="9" t="s">
        <v>151</v>
      </c>
      <c r="B21">
        <v>1</v>
      </c>
    </row>
    <row r="22" spans="1:2" x14ac:dyDescent="0.15">
      <c r="A22" s="9" t="s">
        <v>130</v>
      </c>
      <c r="B22">
        <v>1</v>
      </c>
    </row>
    <row r="23" spans="1:2" x14ac:dyDescent="0.15">
      <c r="A23" s="9" t="s">
        <v>131</v>
      </c>
      <c r="B23">
        <v>1</v>
      </c>
    </row>
    <row r="24" spans="1:2" x14ac:dyDescent="0.15">
      <c r="A24" s="9" t="s">
        <v>152</v>
      </c>
      <c r="B24">
        <v>1</v>
      </c>
    </row>
    <row r="25" spans="1:2" x14ac:dyDescent="0.15">
      <c r="A25" s="9" t="s">
        <v>153</v>
      </c>
      <c r="B25">
        <v>1</v>
      </c>
    </row>
    <row r="26" spans="1:2" x14ac:dyDescent="0.15">
      <c r="A26" s="9" t="s">
        <v>134</v>
      </c>
      <c r="B26">
        <v>2</v>
      </c>
    </row>
    <row r="27" spans="1:2" x14ac:dyDescent="0.15">
      <c r="A27" s="9" t="s">
        <v>135</v>
      </c>
      <c r="B27">
        <v>2</v>
      </c>
    </row>
    <row r="28" spans="1:2" x14ac:dyDescent="0.15">
      <c r="A28" s="9" t="s">
        <v>154</v>
      </c>
      <c r="B28">
        <v>2</v>
      </c>
    </row>
    <row r="29" spans="1:2" x14ac:dyDescent="0.15">
      <c r="A29" s="9" t="s">
        <v>136</v>
      </c>
      <c r="B29">
        <v>2</v>
      </c>
    </row>
    <row r="30" spans="1:2" x14ac:dyDescent="0.15">
      <c r="A30" s="9" t="s">
        <v>137</v>
      </c>
      <c r="B30">
        <v>2</v>
      </c>
    </row>
    <row r="31" spans="1:2" x14ac:dyDescent="0.15">
      <c r="A31" s="9" t="s">
        <v>155</v>
      </c>
      <c r="B31">
        <v>2</v>
      </c>
    </row>
    <row r="32" spans="1:2" x14ac:dyDescent="0.15">
      <c r="A32" s="9" t="s">
        <v>156</v>
      </c>
      <c r="B32">
        <v>2</v>
      </c>
    </row>
    <row r="33" spans="1:2" x14ac:dyDescent="0.15">
      <c r="A33" s="9" t="s">
        <v>157</v>
      </c>
      <c r="B33">
        <v>2</v>
      </c>
    </row>
    <row r="34" spans="1:2" x14ac:dyDescent="0.15">
      <c r="A34" s="9" t="s">
        <v>138</v>
      </c>
      <c r="B34">
        <v>2</v>
      </c>
    </row>
    <row r="35" spans="1:2" x14ac:dyDescent="0.15">
      <c r="A35" s="9" t="s">
        <v>139</v>
      </c>
      <c r="B35">
        <v>2</v>
      </c>
    </row>
    <row r="36" spans="1:2" x14ac:dyDescent="0.15">
      <c r="A36" s="9" t="s">
        <v>158</v>
      </c>
      <c r="B36">
        <v>2</v>
      </c>
    </row>
    <row r="37" spans="1:2" x14ac:dyDescent="0.15">
      <c r="A37" s="9" t="s">
        <v>159</v>
      </c>
      <c r="B37">
        <v>2</v>
      </c>
    </row>
    <row r="38" spans="1:2" x14ac:dyDescent="0.15">
      <c r="A38" s="9" t="s">
        <v>160</v>
      </c>
      <c r="B38">
        <v>2</v>
      </c>
    </row>
    <row r="39" spans="1:2" x14ac:dyDescent="0.15">
      <c r="A39" s="9" t="s">
        <v>161</v>
      </c>
      <c r="B39">
        <v>2</v>
      </c>
    </row>
    <row r="40" spans="1:2" x14ac:dyDescent="0.15">
      <c r="A40" s="9" t="s">
        <v>162</v>
      </c>
      <c r="B40">
        <v>2</v>
      </c>
    </row>
    <row r="41" spans="1:2" x14ac:dyDescent="0.15">
      <c r="A41" s="9" t="s">
        <v>140</v>
      </c>
      <c r="B41">
        <v>2</v>
      </c>
    </row>
    <row r="42" spans="1:2" x14ac:dyDescent="0.15">
      <c r="A42" s="9" t="s">
        <v>141</v>
      </c>
      <c r="B42">
        <v>2</v>
      </c>
    </row>
    <row r="43" spans="1:2" x14ac:dyDescent="0.15">
      <c r="A43" s="9" t="s">
        <v>163</v>
      </c>
      <c r="B43">
        <v>2</v>
      </c>
    </row>
    <row r="44" spans="1:2" x14ac:dyDescent="0.15">
      <c r="A44" s="9" t="s">
        <v>164</v>
      </c>
      <c r="B44">
        <v>2</v>
      </c>
    </row>
    <row r="45" spans="1:2" x14ac:dyDescent="0.15">
      <c r="A45" s="9" t="s">
        <v>165</v>
      </c>
      <c r="B45">
        <v>2</v>
      </c>
    </row>
    <row r="46" spans="1:2" x14ac:dyDescent="0.15">
      <c r="A46" s="9" t="s">
        <v>166</v>
      </c>
      <c r="B46">
        <v>2</v>
      </c>
    </row>
    <row r="47" spans="1:2" x14ac:dyDescent="0.15">
      <c r="A47" s="9" t="s">
        <v>167</v>
      </c>
      <c r="B47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1F72F-7505-FD46-8377-05BD267BA30A}">
  <dimension ref="A1:Q114"/>
  <sheetViews>
    <sheetView topLeftCell="A81" zoomScale="99" zoomScaleNormal="138" workbookViewId="0">
      <selection activeCell="C119" sqref="C119"/>
    </sheetView>
  </sheetViews>
  <sheetFormatPr baseColWidth="10" defaultRowHeight="13" x14ac:dyDescent="0.15"/>
  <cols>
    <col min="1" max="1" width="23.6640625" bestFit="1" customWidth="1"/>
    <col min="2" max="2" width="48.5" customWidth="1"/>
    <col min="3" max="3" width="29" bestFit="1" customWidth="1"/>
    <col min="4" max="4" width="24.1640625" customWidth="1"/>
    <col min="5" max="6" width="29.6640625" bestFit="1" customWidth="1"/>
    <col min="7" max="7" width="21" customWidth="1"/>
    <col min="8" max="8" width="22.83203125" customWidth="1"/>
    <col min="9" max="9" width="18.1640625" bestFit="1" customWidth="1"/>
    <col min="11" max="11" width="31.6640625" customWidth="1"/>
    <col min="12" max="12" width="123.33203125" bestFit="1" customWidth="1"/>
    <col min="13" max="13" width="13.5" customWidth="1"/>
  </cols>
  <sheetData>
    <row r="1" spans="1:17" x14ac:dyDescent="0.15">
      <c r="A1" t="s">
        <v>24</v>
      </c>
      <c r="B1" t="s">
        <v>25</v>
      </c>
      <c r="C1" t="s">
        <v>27</v>
      </c>
      <c r="D1" t="s">
        <v>29</v>
      </c>
      <c r="E1" t="s">
        <v>28</v>
      </c>
      <c r="F1" t="s">
        <v>26</v>
      </c>
      <c r="G1" t="s">
        <v>33</v>
      </c>
      <c r="H1" t="s">
        <v>0</v>
      </c>
      <c r="I1" t="s">
        <v>1</v>
      </c>
      <c r="J1" t="s">
        <v>2</v>
      </c>
      <c r="K1" t="s">
        <v>62</v>
      </c>
      <c r="L1" t="s">
        <v>63</v>
      </c>
      <c r="M1" t="s">
        <v>64</v>
      </c>
      <c r="N1" t="s">
        <v>67</v>
      </c>
      <c r="P1" s="9" t="s">
        <v>186</v>
      </c>
      <c r="Q1" t="s">
        <v>187</v>
      </c>
    </row>
    <row r="2" spans="1:17" x14ac:dyDescent="0.15">
      <c r="A2" t="s">
        <v>3</v>
      </c>
      <c r="B2">
        <v>32</v>
      </c>
      <c r="C2" t="s">
        <v>21</v>
      </c>
      <c r="D2" t="s">
        <v>32</v>
      </c>
      <c r="E2" s="19">
        <v>44725</v>
      </c>
      <c r="F2" t="s">
        <v>6</v>
      </c>
      <c r="G2" t="s">
        <v>36</v>
      </c>
      <c r="H2" t="s">
        <v>8</v>
      </c>
      <c r="I2">
        <v>9.9</v>
      </c>
      <c r="J2">
        <v>48.1</v>
      </c>
      <c r="K2" t="s">
        <v>66</v>
      </c>
      <c r="L2" t="s">
        <v>94</v>
      </c>
      <c r="M2">
        <v>944147.51163495728</v>
      </c>
      <c r="N2">
        <v>944147.51163495728</v>
      </c>
      <c r="P2">
        <v>1</v>
      </c>
      <c r="Q2" t="s">
        <v>188</v>
      </c>
    </row>
    <row r="3" spans="1:17" x14ac:dyDescent="0.15">
      <c r="A3" t="s">
        <v>3</v>
      </c>
      <c r="B3">
        <v>32</v>
      </c>
      <c r="C3" t="s">
        <v>21</v>
      </c>
      <c r="D3" t="s">
        <v>32</v>
      </c>
      <c r="E3" s="19">
        <v>44725</v>
      </c>
      <c r="F3" t="s">
        <v>6</v>
      </c>
      <c r="G3" t="s">
        <v>36</v>
      </c>
      <c r="H3" t="s">
        <v>8</v>
      </c>
      <c r="I3">
        <v>8.6</v>
      </c>
      <c r="J3">
        <v>29.5</v>
      </c>
      <c r="K3" t="s">
        <v>66</v>
      </c>
      <c r="L3" t="s">
        <v>95</v>
      </c>
      <c r="M3">
        <v>291866.80542808276</v>
      </c>
      <c r="N3">
        <v>291866.80542808276</v>
      </c>
      <c r="P3">
        <v>2</v>
      </c>
      <c r="Q3" t="s">
        <v>189</v>
      </c>
    </row>
    <row r="4" spans="1:17" x14ac:dyDescent="0.15">
      <c r="A4" t="s">
        <v>3</v>
      </c>
      <c r="B4">
        <v>32</v>
      </c>
      <c r="C4" t="s">
        <v>21</v>
      </c>
      <c r="D4" t="s">
        <v>32</v>
      </c>
      <c r="E4" s="19">
        <v>44725</v>
      </c>
      <c r="F4" t="s">
        <v>6</v>
      </c>
      <c r="G4" t="s">
        <v>36</v>
      </c>
      <c r="H4" t="s">
        <v>8</v>
      </c>
      <c r="I4">
        <v>8.5</v>
      </c>
      <c r="J4">
        <v>28</v>
      </c>
      <c r="K4" t="s">
        <v>66</v>
      </c>
      <c r="L4" t="s">
        <v>96</v>
      </c>
      <c r="M4">
        <v>257641.08377040664</v>
      </c>
      <c r="N4">
        <v>257641.08377040664</v>
      </c>
      <c r="P4">
        <v>5</v>
      </c>
      <c r="Q4" t="s">
        <v>190</v>
      </c>
    </row>
    <row r="5" spans="1:17" x14ac:dyDescent="0.15">
      <c r="P5">
        <v>3</v>
      </c>
      <c r="Q5" t="s">
        <v>191</v>
      </c>
    </row>
    <row r="6" spans="1:17" x14ac:dyDescent="0.15">
      <c r="P6">
        <v>4</v>
      </c>
      <c r="Q6" t="s">
        <v>192</v>
      </c>
    </row>
    <row r="7" spans="1:17" x14ac:dyDescent="0.15">
      <c r="P7">
        <v>6</v>
      </c>
      <c r="Q7" t="s">
        <v>193</v>
      </c>
    </row>
    <row r="8" spans="1:17" x14ac:dyDescent="0.15">
      <c r="P8">
        <v>7</v>
      </c>
      <c r="Q8" t="s">
        <v>194</v>
      </c>
    </row>
    <row r="9" spans="1:17" x14ac:dyDescent="0.15">
      <c r="P9">
        <v>9</v>
      </c>
      <c r="Q9" t="s">
        <v>195</v>
      </c>
    </row>
    <row r="10" spans="1:17" x14ac:dyDescent="0.15">
      <c r="P10">
        <v>8</v>
      </c>
      <c r="Q10" t="s">
        <v>196</v>
      </c>
    </row>
    <row r="11" spans="1:17" x14ac:dyDescent="0.15">
      <c r="P11">
        <v>14</v>
      </c>
      <c r="Q11" t="s">
        <v>197</v>
      </c>
    </row>
    <row r="12" spans="1:17" x14ac:dyDescent="0.15">
      <c r="P12">
        <v>10</v>
      </c>
      <c r="Q12" t="s">
        <v>198</v>
      </c>
    </row>
    <row r="13" spans="1:17" x14ac:dyDescent="0.15">
      <c r="B13" t="s">
        <v>72</v>
      </c>
      <c r="P13">
        <v>15</v>
      </c>
      <c r="Q13" t="s">
        <v>199</v>
      </c>
    </row>
    <row r="14" spans="1:17" x14ac:dyDescent="0.15">
      <c r="P14">
        <v>11</v>
      </c>
      <c r="Q14" t="s">
        <v>200</v>
      </c>
    </row>
    <row r="15" spans="1:17" x14ac:dyDescent="0.15">
      <c r="B15" t="s">
        <v>73</v>
      </c>
      <c r="H15" s="9" t="s">
        <v>100</v>
      </c>
      <c r="P15">
        <v>16</v>
      </c>
      <c r="Q15" t="s">
        <v>201</v>
      </c>
    </row>
    <row r="16" spans="1:17" x14ac:dyDescent="0.15">
      <c r="B16" t="s">
        <v>74</v>
      </c>
      <c r="F16">
        <v>3.09E-2</v>
      </c>
      <c r="H16">
        <v>2.9399999999999999E-2</v>
      </c>
      <c r="P16">
        <v>12</v>
      </c>
      <c r="Q16" t="s">
        <v>202</v>
      </c>
    </row>
    <row r="17" spans="2:17" x14ac:dyDescent="0.15">
      <c r="B17" t="s">
        <v>75</v>
      </c>
      <c r="F17">
        <v>1.7526999999999999</v>
      </c>
      <c r="H17">
        <v>1.8357000000000001</v>
      </c>
      <c r="P17">
        <v>18</v>
      </c>
      <c r="Q17" t="s">
        <v>203</v>
      </c>
    </row>
    <row r="18" spans="2:17" x14ac:dyDescent="0.15">
      <c r="B18" t="s">
        <v>76</v>
      </c>
      <c r="F18">
        <v>1.0014000000000001</v>
      </c>
      <c r="H18">
        <v>0.86399999999999999</v>
      </c>
      <c r="P18">
        <v>36</v>
      </c>
      <c r="Q18" t="s">
        <v>204</v>
      </c>
    </row>
    <row r="19" spans="2:17" x14ac:dyDescent="0.15">
      <c r="B19" t="s">
        <v>77</v>
      </c>
      <c r="F19">
        <v>1.15E-2</v>
      </c>
      <c r="H19">
        <v>5.3E-3</v>
      </c>
      <c r="P19">
        <v>19</v>
      </c>
      <c r="Q19" t="s">
        <v>205</v>
      </c>
    </row>
    <row r="20" spans="2:17" x14ac:dyDescent="0.15">
      <c r="B20" t="s">
        <v>78</v>
      </c>
      <c r="F20">
        <v>1.7404999999999999</v>
      </c>
      <c r="H20">
        <v>2.0876000000000001</v>
      </c>
      <c r="P20">
        <v>13</v>
      </c>
      <c r="Q20" t="s">
        <v>206</v>
      </c>
    </row>
    <row r="21" spans="2:17" x14ac:dyDescent="0.15">
      <c r="B21" t="s">
        <v>79</v>
      </c>
      <c r="F21">
        <v>0.65890000000000004</v>
      </c>
      <c r="H21">
        <v>0.58420000000000005</v>
      </c>
      <c r="P21">
        <v>21</v>
      </c>
      <c r="Q21" t="s">
        <v>207</v>
      </c>
    </row>
    <row r="22" spans="2:17" x14ac:dyDescent="0.15">
      <c r="B22" t="s">
        <v>80</v>
      </c>
      <c r="F22">
        <v>3.7999999999999999E-2</v>
      </c>
      <c r="H22">
        <v>1.17E-2</v>
      </c>
      <c r="P22">
        <v>17</v>
      </c>
      <c r="Q22" t="s">
        <v>208</v>
      </c>
    </row>
    <row r="23" spans="2:17" x14ac:dyDescent="0.15">
      <c r="B23" t="s">
        <v>81</v>
      </c>
      <c r="F23">
        <v>3.2557999999999998</v>
      </c>
      <c r="H23">
        <v>3.5097</v>
      </c>
      <c r="P23">
        <v>22</v>
      </c>
      <c r="Q23" t="s">
        <v>209</v>
      </c>
    </row>
    <row r="24" spans="2:17" x14ac:dyDescent="0.15">
      <c r="B24" t="s">
        <v>82</v>
      </c>
      <c r="F24">
        <v>-1.4218</v>
      </c>
      <c r="H24">
        <v>-1.3006</v>
      </c>
      <c r="P24">
        <v>35</v>
      </c>
      <c r="Q24" t="s">
        <v>210</v>
      </c>
    </row>
    <row r="25" spans="2:17" x14ac:dyDescent="0.15">
      <c r="B25" t="s">
        <v>83</v>
      </c>
      <c r="F25">
        <v>0.20480000000000001</v>
      </c>
      <c r="H25">
        <v>0.1245</v>
      </c>
      <c r="P25">
        <v>20</v>
      </c>
      <c r="Q25" t="s">
        <v>211</v>
      </c>
    </row>
    <row r="26" spans="2:17" x14ac:dyDescent="0.15">
      <c r="B26" t="s">
        <v>84</v>
      </c>
      <c r="F26">
        <v>2.5754000000000001</v>
      </c>
      <c r="H26">
        <v>2.5230000000000001</v>
      </c>
      <c r="P26">
        <v>24</v>
      </c>
      <c r="Q26" t="s">
        <v>212</v>
      </c>
    </row>
    <row r="27" spans="2:17" x14ac:dyDescent="0.15">
      <c r="B27" t="s">
        <v>85</v>
      </c>
      <c r="F27">
        <v>-1.3704000000000001</v>
      </c>
      <c r="H27">
        <v>-1.123</v>
      </c>
      <c r="P27">
        <v>27</v>
      </c>
      <c r="Q27" t="s">
        <v>213</v>
      </c>
    </row>
    <row r="28" spans="2:17" x14ac:dyDescent="0.15">
      <c r="P28">
        <v>28</v>
      </c>
      <c r="Q28" t="s">
        <v>214</v>
      </c>
    </row>
    <row r="29" spans="2:17" x14ac:dyDescent="0.15">
      <c r="B29" t="s">
        <v>86</v>
      </c>
      <c r="P29">
        <v>23</v>
      </c>
      <c r="Q29" t="s">
        <v>215</v>
      </c>
    </row>
    <row r="30" spans="2:17" x14ac:dyDescent="0.15">
      <c r="B30" t="s">
        <v>87</v>
      </c>
      <c r="H30">
        <f>F16*(J2^F17)*(I2^F18)</f>
        <v>272.4477581589486</v>
      </c>
      <c r="P30">
        <v>25</v>
      </c>
      <c r="Q30" t="s">
        <v>216</v>
      </c>
    </row>
    <row r="31" spans="2:17" x14ac:dyDescent="0.15">
      <c r="P31">
        <v>30</v>
      </c>
      <c r="Q31" t="s">
        <v>217</v>
      </c>
    </row>
    <row r="32" spans="2:17" x14ac:dyDescent="0.15">
      <c r="B32" t="s">
        <v>88</v>
      </c>
      <c r="P32">
        <v>26</v>
      </c>
      <c r="Q32" t="s">
        <v>218</v>
      </c>
    </row>
    <row r="33" spans="1:17" x14ac:dyDescent="0.15">
      <c r="B33" t="s">
        <v>89</v>
      </c>
      <c r="H33">
        <f>F19*(J2^F20)*(I2^F21)</f>
        <v>44.105766658261203</v>
      </c>
      <c r="P33">
        <v>31</v>
      </c>
      <c r="Q33" t="s">
        <v>219</v>
      </c>
    </row>
    <row r="34" spans="1:17" x14ac:dyDescent="0.15">
      <c r="P34">
        <v>29</v>
      </c>
      <c r="Q34" t="s">
        <v>220</v>
      </c>
    </row>
    <row r="35" spans="1:17" x14ac:dyDescent="0.15">
      <c r="B35" t="s">
        <v>90</v>
      </c>
      <c r="P35">
        <v>32</v>
      </c>
      <c r="Q35" t="s">
        <v>221</v>
      </c>
    </row>
    <row r="36" spans="1:17" x14ac:dyDescent="0.15">
      <c r="B36" t="s">
        <v>91</v>
      </c>
      <c r="H36">
        <f>F22*(J2^F23)*(I2^F24)</f>
        <v>437.43891591415888</v>
      </c>
      <c r="P36">
        <v>34</v>
      </c>
      <c r="Q36" t="s">
        <v>222</v>
      </c>
    </row>
    <row r="37" spans="1:17" x14ac:dyDescent="0.15">
      <c r="P37">
        <v>33</v>
      </c>
      <c r="Q37" t="s">
        <v>223</v>
      </c>
    </row>
    <row r="38" spans="1:17" x14ac:dyDescent="0.15">
      <c r="B38" t="s">
        <v>92</v>
      </c>
      <c r="P38" s="25">
        <f>COUNT(P2:P37)</f>
        <v>36</v>
      </c>
      <c r="Q38" t="s">
        <v>224</v>
      </c>
    </row>
    <row r="39" spans="1:17" x14ac:dyDescent="0.15">
      <c r="B39" t="s">
        <v>93</v>
      </c>
      <c r="H39">
        <f>F25*(J2^F26)*(I2^F27)</f>
        <v>190.15507090358864</v>
      </c>
      <c r="Q39" t="s">
        <v>225</v>
      </c>
    </row>
    <row r="40" spans="1:17" x14ac:dyDescent="0.15">
      <c r="Q40" t="s">
        <v>226</v>
      </c>
    </row>
    <row r="41" spans="1:17" x14ac:dyDescent="0.15">
      <c r="H41">
        <f>SUM(H30:H39)*1000</f>
        <v>944147.51163495728</v>
      </c>
      <c r="Q41" t="s">
        <v>227</v>
      </c>
    </row>
    <row r="42" spans="1:17" x14ac:dyDescent="0.15">
      <c r="Q42" t="s">
        <v>228</v>
      </c>
    </row>
    <row r="43" spans="1:17" x14ac:dyDescent="0.15">
      <c r="Q43" t="s">
        <v>229</v>
      </c>
    </row>
    <row r="44" spans="1:17" x14ac:dyDescent="0.15">
      <c r="Q44" t="s">
        <v>230</v>
      </c>
    </row>
    <row r="45" spans="1:17" x14ac:dyDescent="0.15">
      <c r="Q45" t="s">
        <v>231</v>
      </c>
    </row>
    <row r="46" spans="1:17" x14ac:dyDescent="0.15">
      <c r="Q46" t="s">
        <v>232</v>
      </c>
    </row>
    <row r="47" spans="1:17" x14ac:dyDescent="0.15">
      <c r="C47" s="44" t="s">
        <v>105</v>
      </c>
      <c r="D47" s="47"/>
      <c r="E47" s="47"/>
      <c r="Q47" t="s">
        <v>233</v>
      </c>
    </row>
    <row r="48" spans="1:17" x14ac:dyDescent="0.15">
      <c r="A48" s="9" t="s">
        <v>38</v>
      </c>
      <c r="B48" s="9" t="s">
        <v>106</v>
      </c>
      <c r="C48" s="9" t="s">
        <v>114</v>
      </c>
      <c r="D48" s="9" t="s">
        <v>97</v>
      </c>
      <c r="E48" s="9" t="s">
        <v>98</v>
      </c>
      <c r="F48" s="9" t="s">
        <v>113</v>
      </c>
      <c r="G48" s="9" t="s">
        <v>112</v>
      </c>
      <c r="H48" s="9" t="s">
        <v>99</v>
      </c>
      <c r="I48" s="9" t="s">
        <v>102</v>
      </c>
      <c r="J48" s="9" t="s">
        <v>101</v>
      </c>
      <c r="K48" s="9" t="s">
        <v>103</v>
      </c>
      <c r="L48" s="9" t="s">
        <v>104</v>
      </c>
      <c r="Q48" t="s">
        <v>234</v>
      </c>
    </row>
    <row r="49" spans="1:17" x14ac:dyDescent="0.15">
      <c r="A49" s="9" t="s">
        <v>107</v>
      </c>
      <c r="B49">
        <v>2022</v>
      </c>
      <c r="C49">
        <v>114</v>
      </c>
      <c r="D49">
        <v>7.67</v>
      </c>
      <c r="E49">
        <v>13.72</v>
      </c>
      <c r="H49">
        <v>5</v>
      </c>
      <c r="I49">
        <f>((F$16*($E$49^F$17)*($D$49^F$18))+(F$19*($E$49^F$20)*($D$49^F$21))+(F$22*($E$49^F$23)*($D$49^F$24))+(F$25*($E$49^F$26)*($D$49^F$27)))*1000</f>
        <v>48863.595467282881</v>
      </c>
      <c r="J49">
        <f>I49*H49</f>
        <v>244317.97733641439</v>
      </c>
      <c r="K49">
        <f>((H$16*($E$49^H$17)*($D$49^H$18))+(H$19*($E$49^H$20)*($D$49^H$21))+(H$22*($E$49^H$23)*($D$49^H$24))+(H$25*($E$49^H$26)*($D$49^H$27)))*1000</f>
        <v>42519.353803562903</v>
      </c>
      <c r="L49">
        <f>K49*H49</f>
        <v>212596.76901781451</v>
      </c>
      <c r="Q49" t="s">
        <v>235</v>
      </c>
    </row>
    <row r="50" spans="1:17" x14ac:dyDescent="0.15">
      <c r="B50">
        <v>2023</v>
      </c>
      <c r="C50">
        <v>208.5</v>
      </c>
      <c r="D50">
        <v>5.8979999999999997</v>
      </c>
      <c r="E50">
        <v>9.09</v>
      </c>
      <c r="F50">
        <f>(D49-D50)/D50*100</f>
        <v>30.044082739911843</v>
      </c>
      <c r="G50">
        <f>(E49-E50)/E50*100</f>
        <v>50.935093509350949</v>
      </c>
      <c r="H50">
        <v>6</v>
      </c>
      <c r="I50">
        <f>((F$16*($E$50^F$17)*($D$50^F$18))+(F$19*($E$50^F$20)*($D$50^F$21))+(F$22*($E$50^F$23)*($D$50^F$24))+(F$25*($E$50^F$26)*($D$50^F$27)))*1000</f>
        <v>19792.410926191453</v>
      </c>
      <c r="J50">
        <f>I50*H50</f>
        <v>118754.46555714871</v>
      </c>
      <c r="K50">
        <f>((H$16*($E$50^H$17)*($D$50^H$18))+(H$19*($E$50^H$20)*($D$50^H$21))+(H$22*($E$50^H$23)*($D$50^H$24))+(H$25*($E$50^H$26)*($D$50^H$27)))*1000</f>
        <v>16469.971000360652</v>
      </c>
      <c r="L50">
        <f>K50*H50</f>
        <v>98819.826002163914</v>
      </c>
      <c r="M50" s="9" t="s">
        <v>41</v>
      </c>
      <c r="Q50" t="s">
        <v>236</v>
      </c>
    </row>
    <row r="51" spans="1:17" x14ac:dyDescent="0.15">
      <c r="A51" s="9" t="s">
        <v>100</v>
      </c>
      <c r="B51">
        <v>2022</v>
      </c>
      <c r="C51">
        <v>75</v>
      </c>
      <c r="D51">
        <v>7.26</v>
      </c>
      <c r="E51">
        <v>11.63</v>
      </c>
      <c r="Q51" t="s">
        <v>237</v>
      </c>
    </row>
    <row r="52" spans="1:17" x14ac:dyDescent="0.15">
      <c r="B52">
        <v>2023</v>
      </c>
      <c r="C52">
        <f>267/2</f>
        <v>133.5</v>
      </c>
      <c r="D52">
        <v>5.69</v>
      </c>
      <c r="E52">
        <v>7.79</v>
      </c>
      <c r="F52">
        <f>(D51-D52)/D52*100</f>
        <v>27.592267135325123</v>
      </c>
      <c r="G52">
        <f>(E51-E52)/E52*100</f>
        <v>49.29396662387677</v>
      </c>
      <c r="Q52" s="25">
        <f>COUNTA(Q2:Q51)</f>
        <v>50</v>
      </c>
    </row>
    <row r="53" spans="1:17" x14ac:dyDescent="0.15">
      <c r="A53" s="9" t="s">
        <v>108</v>
      </c>
      <c r="B53">
        <v>2022</v>
      </c>
      <c r="C53">
        <v>20</v>
      </c>
      <c r="D53">
        <v>7.74</v>
      </c>
      <c r="E53">
        <v>20.239999999999998</v>
      </c>
    </row>
    <row r="54" spans="1:17" x14ac:dyDescent="0.15">
      <c r="B54">
        <v>2023</v>
      </c>
      <c r="C54">
        <f>101/2</f>
        <v>50.5</v>
      </c>
      <c r="D54">
        <v>6.35</v>
      </c>
      <c r="E54">
        <v>11.52</v>
      </c>
      <c r="F54">
        <f>(D53-D54)/D54*100</f>
        <v>21.88976377952757</v>
      </c>
      <c r="G54">
        <f>(E53-E54)/E54*100</f>
        <v>75.694444444444443</v>
      </c>
    </row>
    <row r="55" spans="1:17" x14ac:dyDescent="0.15">
      <c r="A55" s="9" t="s">
        <v>111</v>
      </c>
      <c r="B55">
        <v>2022</v>
      </c>
      <c r="C55">
        <v>16</v>
      </c>
      <c r="D55">
        <f>(11.33+8.67)/2</f>
        <v>10</v>
      </c>
      <c r="E55">
        <f>(14.596+16.83)/2</f>
        <v>15.712999999999999</v>
      </c>
    </row>
    <row r="56" spans="1:17" x14ac:dyDescent="0.15">
      <c r="B56">
        <v>2023</v>
      </c>
      <c r="C56">
        <f>35/2</f>
        <v>17.5</v>
      </c>
      <c r="D56">
        <f>(5.7+6.84+8)/3</f>
        <v>6.8466666666666667</v>
      </c>
      <c r="E56">
        <f>(8.2+4+14.42)/3</f>
        <v>8.8733333333333331</v>
      </c>
      <c r="F56">
        <f>(D55-D56)/D56*100</f>
        <v>46.056475170399217</v>
      </c>
      <c r="G56">
        <f>(E55-E56)/E56*100</f>
        <v>77.081141998497372</v>
      </c>
    </row>
    <row r="57" spans="1:17" x14ac:dyDescent="0.15">
      <c r="A57" s="9" t="s">
        <v>20</v>
      </c>
      <c r="B57">
        <v>2022</v>
      </c>
      <c r="C57">
        <v>1</v>
      </c>
      <c r="D57">
        <v>8</v>
      </c>
      <c r="E57">
        <v>4.5999999999999996</v>
      </c>
    </row>
    <row r="58" spans="1:17" x14ac:dyDescent="0.15">
      <c r="B58">
        <v>2023</v>
      </c>
      <c r="C58">
        <f>5/2</f>
        <v>2.5</v>
      </c>
      <c r="D58">
        <f>(4.5+4.19)/2</f>
        <v>4.3450000000000006</v>
      </c>
      <c r="E58" s="9">
        <f>(7+5.5)/2</f>
        <v>6.25</v>
      </c>
      <c r="F58">
        <f>(D57-D58)/D58*100</f>
        <v>84.119677790563841</v>
      </c>
      <c r="G58">
        <f>(E57-E58)/E58*100</f>
        <v>-26.400000000000006</v>
      </c>
    </row>
    <row r="59" spans="1:17" x14ac:dyDescent="0.15">
      <c r="A59" s="9" t="s">
        <v>110</v>
      </c>
      <c r="B59">
        <v>2022</v>
      </c>
      <c r="C59">
        <v>3</v>
      </c>
      <c r="D59">
        <v>11.33</v>
      </c>
      <c r="E59">
        <v>16.829999999999998</v>
      </c>
    </row>
    <row r="60" spans="1:17" x14ac:dyDescent="0.15">
      <c r="B60">
        <v>2023</v>
      </c>
      <c r="C60">
        <f>1/2</f>
        <v>0.5</v>
      </c>
      <c r="D60">
        <v>8</v>
      </c>
      <c r="E60">
        <v>8.1999999999999993</v>
      </c>
      <c r="F60">
        <f>(D59-D60)/D60*100</f>
        <v>41.625</v>
      </c>
      <c r="G60">
        <f>(E59-E60)/E60*100</f>
        <v>105.2439024390244</v>
      </c>
    </row>
    <row r="61" spans="1:17" x14ac:dyDescent="0.15">
      <c r="A61" s="9" t="s">
        <v>109</v>
      </c>
      <c r="B61">
        <v>2022</v>
      </c>
      <c r="C61">
        <v>1</v>
      </c>
      <c r="D61">
        <v>7</v>
      </c>
      <c r="E61">
        <v>6.5</v>
      </c>
    </row>
    <row r="62" spans="1:17" x14ac:dyDescent="0.15">
      <c r="B62">
        <v>2023</v>
      </c>
      <c r="C62">
        <f>1/2</f>
        <v>0.5</v>
      </c>
      <c r="D62">
        <v>4</v>
      </c>
      <c r="E62">
        <v>4.1500000000000004</v>
      </c>
      <c r="F62">
        <f>(D61-D62)/D62*100</f>
        <v>75</v>
      </c>
      <c r="G62">
        <f>(E61-E62)/E62*100</f>
        <v>56.626506024096365</v>
      </c>
    </row>
    <row r="65" spans="1:11" x14ac:dyDescent="0.15">
      <c r="D65">
        <v>14</v>
      </c>
      <c r="E65">
        <v>31</v>
      </c>
      <c r="K65">
        <f>((H$16*(E65^H$17)*(D65^H$18))+(H$19*(E65^H$20)*(D65^H$21))+(H$22*(E65^H$23)*(D65^H$24))+(H$25*(E65^H$26)*(D65^H$27)))*1000</f>
        <v>291342.94318020716</v>
      </c>
    </row>
    <row r="66" spans="1:11" x14ac:dyDescent="0.15">
      <c r="D66">
        <v>13</v>
      </c>
      <c r="E66">
        <v>31</v>
      </c>
      <c r="K66">
        <f>((H$16*(E66^H$17)*(D66^H$18))+(H$19*(E66^H$20)*(D66^H$21))+(H$22*(E66^H$23)*(D66^H$24))+(H$25*(E66^H$26)*(D66^H$27)))*1000</f>
        <v>290023.85036933329</v>
      </c>
    </row>
    <row r="67" spans="1:11" x14ac:dyDescent="0.15">
      <c r="D67">
        <v>5</v>
      </c>
      <c r="E67">
        <v>31</v>
      </c>
      <c r="K67">
        <f>((H$16*(E67^H$17)*(D67^H$18))+(H$19*(E67^H$20)*(D67^H$21))+(H$22*(E67^H$23)*(D67^H$24))+(H$25*(E67^H$26)*(D67^H$27)))*1000</f>
        <v>447827.14085507294</v>
      </c>
    </row>
    <row r="72" spans="1:11" x14ac:dyDescent="0.15">
      <c r="B72" s="9" t="s">
        <v>240</v>
      </c>
      <c r="C72" s="9" t="s">
        <v>241</v>
      </c>
      <c r="D72" s="9" t="s">
        <v>242</v>
      </c>
      <c r="E72" s="9" t="s">
        <v>243</v>
      </c>
      <c r="F72" s="9" t="s">
        <v>248</v>
      </c>
      <c r="G72" s="9" t="s">
        <v>244</v>
      </c>
      <c r="H72" s="9" t="s">
        <v>245</v>
      </c>
      <c r="I72" s="9" t="s">
        <v>246</v>
      </c>
      <c r="J72" s="9" t="s">
        <v>247</v>
      </c>
    </row>
    <row r="73" spans="1:11" x14ac:dyDescent="0.15">
      <c r="A73" s="9" t="s">
        <v>238</v>
      </c>
    </row>
    <row r="74" spans="1:11" x14ac:dyDescent="0.15">
      <c r="A74">
        <v>2022</v>
      </c>
      <c r="B74">
        <v>513644.1</v>
      </c>
      <c r="C74">
        <v>70718.37</v>
      </c>
      <c r="D74">
        <v>11300171</v>
      </c>
      <c r="E74">
        <f>513644.1</f>
        <v>513644.1</v>
      </c>
      <c r="F74">
        <f>D74/H74</f>
        <v>322862.02857142856</v>
      </c>
      <c r="G74">
        <v>114</v>
      </c>
      <c r="H74">
        <v>35</v>
      </c>
      <c r="I74">
        <v>22</v>
      </c>
      <c r="J74">
        <v>0.6285714</v>
      </c>
    </row>
    <row r="75" spans="1:11" x14ac:dyDescent="0.15">
      <c r="A75">
        <v>2023</v>
      </c>
      <c r="B75">
        <v>271752.09999999998</v>
      </c>
      <c r="C75">
        <v>31663.65</v>
      </c>
      <c r="D75">
        <v>7337306</v>
      </c>
      <c r="E75">
        <f>271752.1</f>
        <v>271752.09999999998</v>
      </c>
      <c r="F75">
        <f t="shared" ref="F75:F78" si="0">D75/H75</f>
        <v>146746.12</v>
      </c>
      <c r="G75">
        <v>229</v>
      </c>
      <c r="H75">
        <v>50</v>
      </c>
      <c r="I75">
        <v>27</v>
      </c>
      <c r="J75">
        <v>0.54</v>
      </c>
    </row>
    <row r="76" spans="1:11" x14ac:dyDescent="0.15">
      <c r="A76" s="9" t="s">
        <v>239</v>
      </c>
    </row>
    <row r="77" spans="1:11" x14ac:dyDescent="0.15">
      <c r="A77">
        <v>2022</v>
      </c>
      <c r="B77">
        <v>58519.06</v>
      </c>
      <c r="C77">
        <f>59837.46</f>
        <v>59837.46</v>
      </c>
      <c r="D77">
        <v>6320058</v>
      </c>
      <c r="E77">
        <f>300955.1</f>
        <v>300955.09999999998</v>
      </c>
      <c r="F77">
        <f t="shared" si="0"/>
        <v>180573.08571428573</v>
      </c>
      <c r="G77">
        <v>108</v>
      </c>
      <c r="H77">
        <v>35</v>
      </c>
      <c r="I77">
        <v>21</v>
      </c>
      <c r="J77">
        <f>I77/H77</f>
        <v>0.6</v>
      </c>
    </row>
    <row r="78" spans="1:11" x14ac:dyDescent="0.15">
      <c r="A78">
        <v>2023</v>
      </c>
      <c r="B78">
        <v>26753.75</v>
      </c>
      <c r="C78">
        <v>30745.23</v>
      </c>
      <c r="D78">
        <v>6113232</v>
      </c>
      <c r="E78">
        <v>226416</v>
      </c>
      <c r="F78">
        <f t="shared" si="0"/>
        <v>122264.64</v>
      </c>
      <c r="G78">
        <v>228</v>
      </c>
      <c r="H78">
        <v>50</v>
      </c>
      <c r="I78">
        <v>27</v>
      </c>
      <c r="J78">
        <v>0.54</v>
      </c>
    </row>
    <row r="85" spans="2:8" x14ac:dyDescent="0.15">
      <c r="C85" s="44" t="s">
        <v>270</v>
      </c>
      <c r="D85" s="47"/>
      <c r="E85" s="44" t="s">
        <v>271</v>
      </c>
      <c r="F85" s="47"/>
      <c r="G85" s="44" t="s">
        <v>276</v>
      </c>
      <c r="H85" s="44"/>
    </row>
    <row r="86" spans="2:8" x14ac:dyDescent="0.15">
      <c r="B86" s="29" t="s">
        <v>265</v>
      </c>
      <c r="C86" s="29" t="s">
        <v>269</v>
      </c>
      <c r="D86" s="29" t="s">
        <v>267</v>
      </c>
      <c r="E86" s="29" t="s">
        <v>269</v>
      </c>
      <c r="F86" s="29" t="s">
        <v>267</v>
      </c>
      <c r="G86" s="29" t="s">
        <v>269</v>
      </c>
      <c r="H86" s="29" t="s">
        <v>267</v>
      </c>
    </row>
    <row r="87" spans="2:8" x14ac:dyDescent="0.15">
      <c r="B87" s="9" t="s">
        <v>98</v>
      </c>
    </row>
    <row r="88" spans="2:8" x14ac:dyDescent="0.15">
      <c r="B88" s="9">
        <v>2022</v>
      </c>
      <c r="C88">
        <v>104928.3</v>
      </c>
      <c r="D88">
        <v>11961829</v>
      </c>
      <c r="E88">
        <v>49683.02</v>
      </c>
      <c r="F88">
        <v>5117351</v>
      </c>
      <c r="G88">
        <f>(C88-E88)/C88*100</f>
        <v>52.65050515447215</v>
      </c>
      <c r="H88">
        <f>(D88-F88)/D88*100</f>
        <v>57.219326576228433</v>
      </c>
    </row>
    <row r="89" spans="2:8" x14ac:dyDescent="0.15">
      <c r="B89" s="9">
        <v>2023</v>
      </c>
      <c r="C89">
        <v>36106.959999999999</v>
      </c>
      <c r="D89">
        <v>8286547</v>
      </c>
      <c r="E89">
        <v>27790.5</v>
      </c>
      <c r="F89">
        <v>6294548</v>
      </c>
      <c r="G89">
        <f>(C89-E89)/C89*100</f>
        <v>23.032844637155829</v>
      </c>
      <c r="H89">
        <f>(D89-F89)/D89*100</f>
        <v>24.03895132677097</v>
      </c>
    </row>
    <row r="90" spans="2:8" x14ac:dyDescent="0.15">
      <c r="B90" s="9" t="s">
        <v>268</v>
      </c>
      <c r="C90" s="25">
        <f>(C88-C89)/C88*100</f>
        <v>65.588921196664757</v>
      </c>
      <c r="D90" s="25">
        <f t="shared" ref="D90:F90" si="1">(D88-D89)/D88*100</f>
        <v>30.72508393156264</v>
      </c>
      <c r="E90" s="25">
        <f t="shared" si="1"/>
        <v>44.064390610715684</v>
      </c>
      <c r="F90" s="25">
        <f t="shared" si="1"/>
        <v>-23.004030796402279</v>
      </c>
    </row>
    <row r="91" spans="2:8" x14ac:dyDescent="0.15">
      <c r="B91" s="9" t="s">
        <v>266</v>
      </c>
    </row>
    <row r="92" spans="2:8" x14ac:dyDescent="0.15">
      <c r="B92">
        <v>2022</v>
      </c>
      <c r="C92">
        <v>99124.31</v>
      </c>
      <c r="D92">
        <v>11300171</v>
      </c>
      <c r="E92">
        <v>46159.98</v>
      </c>
      <c r="F92">
        <v>4754478</v>
      </c>
      <c r="G92">
        <f>(C92-E92)/C92*100</f>
        <v>53.432230701025809</v>
      </c>
      <c r="H92">
        <f>(D92-F92)/D92*100</f>
        <v>57.925610152271148</v>
      </c>
    </row>
    <row r="93" spans="2:8" x14ac:dyDescent="0.15">
      <c r="B93">
        <v>2023</v>
      </c>
      <c r="C93">
        <v>31970.83</v>
      </c>
      <c r="D93">
        <v>7337306</v>
      </c>
      <c r="E93">
        <v>24411.200000000001</v>
      </c>
      <c r="F93">
        <v>5529137</v>
      </c>
      <c r="G93">
        <f>(C93-E93)/C93*100</f>
        <v>23.645398008121781</v>
      </c>
      <c r="H93">
        <f>(D93-F93)/D93*100</f>
        <v>24.643499943984889</v>
      </c>
    </row>
    <row r="94" spans="2:8" x14ac:dyDescent="0.15">
      <c r="B94" s="9" t="s">
        <v>268</v>
      </c>
      <c r="C94" s="25">
        <f>(C92-C93)/C92*100</f>
        <v>67.746731351774343</v>
      </c>
      <c r="D94" s="25">
        <f t="shared" ref="D94:F94" si="2">(D92-D93)/D92*100</f>
        <v>35.069071078658901</v>
      </c>
      <c r="E94" s="25">
        <f t="shared" si="2"/>
        <v>47.116094937649457</v>
      </c>
      <c r="F94" s="25">
        <f t="shared" si="2"/>
        <v>-16.293250279000134</v>
      </c>
    </row>
    <row r="96" spans="2:8" ht="28" x14ac:dyDescent="0.15">
      <c r="B96" s="31" t="s">
        <v>272</v>
      </c>
    </row>
    <row r="97" spans="2:8" x14ac:dyDescent="0.15">
      <c r="B97">
        <v>2022</v>
      </c>
      <c r="C97">
        <f>(C88-C92)/C88*100</f>
        <v>5.5313866707075263</v>
      </c>
      <c r="D97">
        <f t="shared" ref="D97:F97" si="3">(D88-D92)/D88*100</f>
        <v>5.5314116260983166</v>
      </c>
      <c r="E97">
        <f t="shared" si="3"/>
        <v>7.0910343211825575</v>
      </c>
      <c r="F97">
        <f t="shared" si="3"/>
        <v>7.0910320593603995</v>
      </c>
    </row>
    <row r="98" spans="2:8" x14ac:dyDescent="0.15">
      <c r="B98">
        <v>2023</v>
      </c>
      <c r="C98">
        <f>(C89-C93)/C89*100</f>
        <v>11.455215282593709</v>
      </c>
      <c r="D98">
        <f t="shared" ref="D98:F98" si="4">(D89-D93)/D89*100</f>
        <v>11.455205648384062</v>
      </c>
      <c r="E98">
        <f t="shared" si="4"/>
        <v>12.159910760871519</v>
      </c>
      <c r="F98">
        <f t="shared" si="4"/>
        <v>12.159904094781707</v>
      </c>
    </row>
    <row r="100" spans="2:8" x14ac:dyDescent="0.15">
      <c r="B100" s="9" t="s">
        <v>273</v>
      </c>
    </row>
    <row r="101" spans="2:8" x14ac:dyDescent="0.15">
      <c r="C101" s="44" t="s">
        <v>270</v>
      </c>
      <c r="D101" s="44"/>
      <c r="E101" s="44" t="s">
        <v>271</v>
      </c>
      <c r="F101" s="44"/>
      <c r="G101" s="45" t="s">
        <v>276</v>
      </c>
      <c r="H101" s="30"/>
    </row>
    <row r="102" spans="2:8" x14ac:dyDescent="0.15">
      <c r="B102" s="29" t="s">
        <v>265</v>
      </c>
      <c r="C102" s="29" t="s">
        <v>274</v>
      </c>
      <c r="D102" s="29" t="s">
        <v>275</v>
      </c>
      <c r="E102" s="29" t="s">
        <v>274</v>
      </c>
      <c r="F102" s="29" t="s">
        <v>275</v>
      </c>
      <c r="G102" s="46"/>
    </row>
    <row r="103" spans="2:8" x14ac:dyDescent="0.15">
      <c r="B103" s="9" t="s">
        <v>98</v>
      </c>
    </row>
    <row r="104" spans="2:8" x14ac:dyDescent="0.15">
      <c r="B104" s="9">
        <v>2022</v>
      </c>
      <c r="C104">
        <v>543719.5</v>
      </c>
      <c r="D104">
        <v>22</v>
      </c>
      <c r="E104">
        <v>243683.4</v>
      </c>
      <c r="F104">
        <v>21</v>
      </c>
      <c r="G104">
        <f>(C104-E104)/C104*100</f>
        <v>55.182148148080024</v>
      </c>
    </row>
    <row r="105" spans="2:8" x14ac:dyDescent="0.15">
      <c r="B105" s="9">
        <v>2023</v>
      </c>
      <c r="C105">
        <v>306909.09999999998</v>
      </c>
      <c r="D105">
        <v>27</v>
      </c>
      <c r="E105">
        <v>233131.4</v>
      </c>
      <c r="F105" s="15">
        <v>27</v>
      </c>
      <c r="G105">
        <f>(C105-E105)/C105*100</f>
        <v>24.038941823491054</v>
      </c>
    </row>
    <row r="106" spans="2:8" x14ac:dyDescent="0.15">
      <c r="B106" s="9" t="s">
        <v>268</v>
      </c>
      <c r="C106" s="25">
        <f>(C104-C105)/C104*100</f>
        <v>43.55378094771293</v>
      </c>
      <c r="D106" s="25"/>
      <c r="E106" s="25">
        <f>(E104-E105)/E104*100</f>
        <v>4.3302087873035262</v>
      </c>
    </row>
    <row r="107" spans="2:8" x14ac:dyDescent="0.15">
      <c r="B107" s="9" t="s">
        <v>266</v>
      </c>
    </row>
    <row r="108" spans="2:8" x14ac:dyDescent="0.15">
      <c r="B108">
        <v>2022</v>
      </c>
      <c r="C108">
        <v>513644.1</v>
      </c>
      <c r="D108">
        <v>22</v>
      </c>
      <c r="E108">
        <v>226403.7</v>
      </c>
      <c r="F108">
        <v>21</v>
      </c>
      <c r="G108">
        <f>(C108-E108)/C108*100</f>
        <v>55.922067439302815</v>
      </c>
    </row>
    <row r="109" spans="2:8" x14ac:dyDescent="0.15">
      <c r="B109">
        <v>2023</v>
      </c>
      <c r="C109">
        <v>271666.90000000002</v>
      </c>
      <c r="D109">
        <v>27</v>
      </c>
      <c r="E109">
        <v>204782.9</v>
      </c>
      <c r="F109" s="15">
        <v>27</v>
      </c>
      <c r="G109">
        <f>(C109-E109)/C109*100</f>
        <v>24.619856154724783</v>
      </c>
    </row>
    <row r="110" spans="2:8" x14ac:dyDescent="0.15">
      <c r="B110" s="9" t="s">
        <v>268</v>
      </c>
      <c r="C110" s="25">
        <f>(C108-C109)/C108*100</f>
        <v>47.109895742986232</v>
      </c>
      <c r="D110" s="25"/>
      <c r="E110" s="25">
        <f>(E108-E109)/E108*100</f>
        <v>9.5496672536712151</v>
      </c>
    </row>
    <row r="112" spans="2:8" ht="28" x14ac:dyDescent="0.15">
      <c r="B112" s="31" t="s">
        <v>272</v>
      </c>
    </row>
    <row r="113" spans="2:5" x14ac:dyDescent="0.15">
      <c r="B113">
        <v>2022</v>
      </c>
      <c r="C113">
        <f>(C104-C108)/C104*100</f>
        <v>5.5314183140387687</v>
      </c>
      <c r="E113">
        <f>(E104-E108)/E104*100</f>
        <v>7.09104518403797</v>
      </c>
    </row>
    <row r="114" spans="2:5" x14ac:dyDescent="0.15">
      <c r="B114">
        <v>2023</v>
      </c>
      <c r="C114">
        <f>(C105-C109)/C105*100</f>
        <v>11.482943972661598</v>
      </c>
      <c r="E114">
        <f>(E105-E109)/E105*100</f>
        <v>12.159880650997678</v>
      </c>
    </row>
  </sheetData>
  <mergeCells count="7">
    <mergeCell ref="E101:F101"/>
    <mergeCell ref="C101:D101"/>
    <mergeCell ref="G85:H85"/>
    <mergeCell ref="G101:G102"/>
    <mergeCell ref="C47:E47"/>
    <mergeCell ref="C85:D85"/>
    <mergeCell ref="E85:F85"/>
  </mergeCell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AB66D-4B0E-604D-8304-580E1FD46046}">
  <dimension ref="A1:E37"/>
  <sheetViews>
    <sheetView workbookViewId="0">
      <selection activeCell="H22" sqref="H22"/>
    </sheetView>
  </sheetViews>
  <sheetFormatPr baseColWidth="10" defaultRowHeight="13" x14ac:dyDescent="0.15"/>
  <cols>
    <col min="2" max="2" width="13.6640625" bestFit="1" customWidth="1"/>
    <col min="4" max="4" width="20.5" bestFit="1" customWidth="1"/>
    <col min="5" max="5" width="13.5" bestFit="1" customWidth="1"/>
  </cols>
  <sheetData>
    <row r="1" spans="1:3" ht="16" x14ac:dyDescent="0.2">
      <c r="A1" s="9" t="s">
        <v>117</v>
      </c>
      <c r="B1" s="21" t="s">
        <v>115</v>
      </c>
      <c r="C1" s="21" t="s">
        <v>116</v>
      </c>
    </row>
    <row r="2" spans="1:3" ht="16" x14ac:dyDescent="0.2">
      <c r="A2" s="9" t="s">
        <v>118</v>
      </c>
      <c r="B2" s="21">
        <v>11.44</v>
      </c>
      <c r="C2" s="21">
        <v>12.48</v>
      </c>
    </row>
    <row r="3" spans="1:3" ht="16" x14ac:dyDescent="0.2">
      <c r="A3" s="9" t="s">
        <v>118</v>
      </c>
      <c r="B3" s="21">
        <v>14.98</v>
      </c>
      <c r="C3" s="21">
        <v>13.06</v>
      </c>
    </row>
    <row r="4" spans="1:3" ht="16" x14ac:dyDescent="0.2">
      <c r="A4" s="9" t="s">
        <v>118</v>
      </c>
      <c r="B4" s="21">
        <v>12.49</v>
      </c>
      <c r="C4" s="21">
        <v>12.4</v>
      </c>
    </row>
    <row r="5" spans="1:3" ht="16" x14ac:dyDescent="0.2">
      <c r="A5" s="9" t="s">
        <v>118</v>
      </c>
      <c r="B5" s="21">
        <v>13.7</v>
      </c>
      <c r="C5" s="21">
        <v>12.91</v>
      </c>
    </row>
    <row r="6" spans="1:3" ht="16" x14ac:dyDescent="0.2">
      <c r="A6" s="9" t="s">
        <v>118</v>
      </c>
      <c r="B6" s="21">
        <v>14.41</v>
      </c>
      <c r="C6" s="21">
        <v>16.52</v>
      </c>
    </row>
    <row r="7" spans="1:3" ht="16" x14ac:dyDescent="0.2">
      <c r="A7" s="9" t="s">
        <v>118</v>
      </c>
      <c r="B7" s="21">
        <v>19.28</v>
      </c>
      <c r="C7" s="21">
        <v>16.63</v>
      </c>
    </row>
    <row r="8" spans="1:3" ht="16" x14ac:dyDescent="0.2">
      <c r="A8" s="9" t="s">
        <v>118</v>
      </c>
      <c r="B8" s="21">
        <v>18.579999999999998</v>
      </c>
      <c r="C8" s="21">
        <v>15.66</v>
      </c>
    </row>
    <row r="9" spans="1:3" ht="16" x14ac:dyDescent="0.2">
      <c r="A9" s="9" t="s">
        <v>118</v>
      </c>
      <c r="B9" s="21">
        <v>13.33</v>
      </c>
      <c r="C9" s="21">
        <v>14.59</v>
      </c>
    </row>
    <row r="10" spans="1:3" ht="16" x14ac:dyDescent="0.2">
      <c r="A10" s="9" t="s">
        <v>118</v>
      </c>
      <c r="B10" s="21">
        <v>17.47</v>
      </c>
      <c r="C10" s="21">
        <v>17.149999999999999</v>
      </c>
    </row>
    <row r="11" spans="1:3" ht="16" x14ac:dyDescent="0.2">
      <c r="A11" s="9" t="s">
        <v>118</v>
      </c>
      <c r="B11" s="21">
        <v>11.89</v>
      </c>
      <c r="C11" s="21">
        <v>12.06</v>
      </c>
    </row>
    <row r="12" spans="1:3" ht="16" x14ac:dyDescent="0.2">
      <c r="A12" s="9" t="s">
        <v>118</v>
      </c>
      <c r="B12" s="21">
        <v>17.829999999999998</v>
      </c>
      <c r="C12" s="21">
        <v>15.75</v>
      </c>
    </row>
    <row r="13" spans="1:3" ht="16" x14ac:dyDescent="0.2">
      <c r="A13" s="9" t="s">
        <v>118</v>
      </c>
      <c r="B13" s="21">
        <v>14.16</v>
      </c>
      <c r="C13" s="21">
        <v>13.71</v>
      </c>
    </row>
    <row r="14" spans="1:3" ht="16" x14ac:dyDescent="0.2">
      <c r="A14" s="9" t="s">
        <v>119</v>
      </c>
      <c r="B14" s="21">
        <v>10.24</v>
      </c>
      <c r="C14" s="21">
        <v>11.45</v>
      </c>
    </row>
    <row r="15" spans="1:3" ht="16" x14ac:dyDescent="0.2">
      <c r="A15" s="9" t="s">
        <v>119</v>
      </c>
      <c r="B15" s="21">
        <v>11.06</v>
      </c>
      <c r="C15" s="21">
        <v>12.19</v>
      </c>
    </row>
    <row r="16" spans="1:3" ht="16" x14ac:dyDescent="0.2">
      <c r="A16" s="9" t="s">
        <v>119</v>
      </c>
      <c r="B16" s="21">
        <v>9.64</v>
      </c>
      <c r="C16" s="21">
        <v>10.87</v>
      </c>
    </row>
    <row r="17" spans="1:5" ht="16" x14ac:dyDescent="0.2">
      <c r="A17" s="9" t="s">
        <v>119</v>
      </c>
      <c r="B17" s="21">
        <v>9.3800000000000008</v>
      </c>
      <c r="C17" s="21">
        <v>10.130000000000001</v>
      </c>
    </row>
    <row r="18" spans="1:5" ht="16" x14ac:dyDescent="0.2">
      <c r="A18" s="9" t="s">
        <v>119</v>
      </c>
      <c r="B18" s="21">
        <v>10.28</v>
      </c>
      <c r="C18" s="21">
        <v>11.13</v>
      </c>
    </row>
    <row r="19" spans="1:5" ht="16" x14ac:dyDescent="0.2">
      <c r="A19" s="9" t="s">
        <v>119</v>
      </c>
      <c r="B19" s="21">
        <v>10.63</v>
      </c>
      <c r="C19" s="21">
        <v>11.67</v>
      </c>
    </row>
    <row r="20" spans="1:5" ht="16" x14ac:dyDescent="0.2">
      <c r="A20" s="9" t="s">
        <v>119</v>
      </c>
      <c r="B20" s="21">
        <v>8.98</v>
      </c>
      <c r="C20" s="21">
        <v>10.14</v>
      </c>
    </row>
    <row r="21" spans="1:5" ht="16" x14ac:dyDescent="0.2">
      <c r="A21" s="9" t="s">
        <v>119</v>
      </c>
      <c r="B21" s="21">
        <v>10.15</v>
      </c>
      <c r="C21" s="21">
        <v>11.32</v>
      </c>
    </row>
    <row r="22" spans="1:5" ht="16" x14ac:dyDescent="0.2">
      <c r="A22" s="9" t="s">
        <v>119</v>
      </c>
      <c r="B22" s="21">
        <v>9.27</v>
      </c>
      <c r="C22" s="21">
        <v>10.130000000000001</v>
      </c>
    </row>
    <row r="23" spans="1:5" ht="16" x14ac:dyDescent="0.2">
      <c r="A23" s="9" t="s">
        <v>119</v>
      </c>
      <c r="B23" s="21">
        <v>10.11</v>
      </c>
      <c r="C23" s="21">
        <v>11.26</v>
      </c>
    </row>
    <row r="24" spans="1:5" ht="16" x14ac:dyDescent="0.2">
      <c r="A24" s="9"/>
      <c r="B24" s="21"/>
      <c r="C24" s="21"/>
    </row>
    <row r="25" spans="1:5" ht="16" x14ac:dyDescent="0.2">
      <c r="A25" s="9"/>
      <c r="B25" s="21"/>
      <c r="C25" s="21"/>
    </row>
    <row r="29" spans="1:5" x14ac:dyDescent="0.15">
      <c r="A29" s="9"/>
      <c r="B29" s="9"/>
      <c r="C29" s="9"/>
      <c r="D29" s="9"/>
      <c r="E29" s="9"/>
    </row>
    <row r="30" spans="1:5" x14ac:dyDescent="0.15">
      <c r="B30" s="9"/>
      <c r="C30" s="9"/>
      <c r="D30" s="9"/>
      <c r="E30" s="9"/>
    </row>
    <row r="31" spans="1:5" x14ac:dyDescent="0.15">
      <c r="B31" s="9"/>
      <c r="C31" s="9"/>
      <c r="D31" s="9"/>
      <c r="E31" s="9"/>
    </row>
    <row r="32" spans="1:5" x14ac:dyDescent="0.15">
      <c r="B32" s="9"/>
      <c r="C32" s="9"/>
      <c r="D32" s="9"/>
      <c r="E32" s="9"/>
    </row>
    <row r="33" spans="2:5" x14ac:dyDescent="0.15">
      <c r="B33" s="9"/>
      <c r="C33" s="9"/>
      <c r="D33" s="9"/>
      <c r="E33" s="9"/>
    </row>
    <row r="34" spans="2:5" x14ac:dyDescent="0.15">
      <c r="B34" s="9"/>
      <c r="C34" s="9"/>
      <c r="D34" s="9"/>
      <c r="E34" s="9"/>
    </row>
    <row r="35" spans="2:5" x14ac:dyDescent="0.15">
      <c r="B35" s="9"/>
      <c r="C35" s="9"/>
      <c r="D35" s="9"/>
      <c r="E35" s="9"/>
    </row>
    <row r="36" spans="2:5" x14ac:dyDescent="0.15">
      <c r="B36" s="9"/>
      <c r="C36" s="9"/>
      <c r="D36" s="9"/>
      <c r="E36" s="9"/>
    </row>
    <row r="37" spans="2:5" x14ac:dyDescent="0.15">
      <c r="B37" s="9"/>
      <c r="C37" s="9"/>
      <c r="D37" s="9"/>
      <c r="E37" s="9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E0B33-0E0D-E941-8F85-F337B59C48A9}">
  <dimension ref="A1:F191"/>
  <sheetViews>
    <sheetView topLeftCell="A43" workbookViewId="0">
      <selection activeCell="G21" sqref="G21"/>
    </sheetView>
  </sheetViews>
  <sheetFormatPr baseColWidth="10" defaultRowHeight="13" x14ac:dyDescent="0.15"/>
  <cols>
    <col min="1" max="1" width="13.1640625" bestFit="1" customWidth="1"/>
    <col min="2" max="2" width="14.33203125" bestFit="1" customWidth="1"/>
    <col min="3" max="3" width="11.1640625" bestFit="1" customWidth="1"/>
    <col min="4" max="5" width="13.5" bestFit="1" customWidth="1"/>
    <col min="6" max="6" width="12.1640625" bestFit="1" customWidth="1"/>
    <col min="7" max="7" width="10.83203125" bestFit="1" customWidth="1"/>
  </cols>
  <sheetData>
    <row r="1" spans="1:6" x14ac:dyDescent="0.15">
      <c r="A1" s="17" t="s">
        <v>68</v>
      </c>
    </row>
    <row r="2" spans="1:6" x14ac:dyDescent="0.15">
      <c r="A2" s="17" t="s">
        <v>24</v>
      </c>
      <c r="B2" s="17" t="s">
        <v>29</v>
      </c>
      <c r="C2" s="17" t="s">
        <v>25</v>
      </c>
      <c r="D2" s="17" t="s">
        <v>27</v>
      </c>
      <c r="E2" s="17" t="s">
        <v>26</v>
      </c>
      <c r="F2" t="s">
        <v>69</v>
      </c>
    </row>
    <row r="3" spans="1:6" x14ac:dyDescent="0.15">
      <c r="A3" t="s">
        <v>18</v>
      </c>
      <c r="B3" t="s">
        <v>30</v>
      </c>
      <c r="C3">
        <v>1</v>
      </c>
      <c r="D3" t="s">
        <v>22</v>
      </c>
      <c r="E3" t="s">
        <v>5</v>
      </c>
      <c r="F3">
        <v>0</v>
      </c>
    </row>
    <row r="4" spans="1:6" x14ac:dyDescent="0.15">
      <c r="E4" t="s">
        <v>6</v>
      </c>
      <c r="F4">
        <v>0</v>
      </c>
    </row>
    <row r="5" spans="1:6" x14ac:dyDescent="0.15">
      <c r="E5" t="s">
        <v>7</v>
      </c>
      <c r="F5">
        <v>0</v>
      </c>
    </row>
    <row r="6" spans="1:6" x14ac:dyDescent="0.15">
      <c r="E6" t="s">
        <v>9</v>
      </c>
      <c r="F6">
        <v>0</v>
      </c>
    </row>
    <row r="7" spans="1:6" x14ac:dyDescent="0.15">
      <c r="D7" t="s">
        <v>23</v>
      </c>
      <c r="E7" t="s">
        <v>5</v>
      </c>
      <c r="F7">
        <v>39457.307166554463</v>
      </c>
    </row>
    <row r="8" spans="1:6" x14ac:dyDescent="0.15">
      <c r="E8" t="s">
        <v>6</v>
      </c>
      <c r="F8">
        <v>140888.15994434635</v>
      </c>
    </row>
    <row r="9" spans="1:6" x14ac:dyDescent="0.15">
      <c r="E9" t="s">
        <v>7</v>
      </c>
      <c r="F9">
        <v>54351.578438066899</v>
      </c>
    </row>
    <row r="10" spans="1:6" x14ac:dyDescent="0.15">
      <c r="C10">
        <v>2</v>
      </c>
      <c r="D10" t="s">
        <v>21</v>
      </c>
      <c r="E10" t="s">
        <v>5</v>
      </c>
      <c r="F10">
        <v>0</v>
      </c>
    </row>
    <row r="11" spans="1:6" x14ac:dyDescent="0.15">
      <c r="E11" t="s">
        <v>6</v>
      </c>
      <c r="F11">
        <v>0</v>
      </c>
    </row>
    <row r="12" spans="1:6" x14ac:dyDescent="0.15">
      <c r="E12" t="s">
        <v>7</v>
      </c>
      <c r="F12">
        <v>0</v>
      </c>
    </row>
    <row r="13" spans="1:6" x14ac:dyDescent="0.15">
      <c r="E13" t="s">
        <v>9</v>
      </c>
      <c r="F13">
        <v>0</v>
      </c>
    </row>
    <row r="14" spans="1:6" x14ac:dyDescent="0.15">
      <c r="C14">
        <v>3</v>
      </c>
      <c r="D14" t="s">
        <v>21</v>
      </c>
      <c r="E14" t="s">
        <v>5</v>
      </c>
      <c r="F14">
        <v>0</v>
      </c>
    </row>
    <row r="15" spans="1:6" x14ac:dyDescent="0.15">
      <c r="E15" t="s">
        <v>6</v>
      </c>
      <c r="F15">
        <v>0</v>
      </c>
    </row>
    <row r="16" spans="1:6" x14ac:dyDescent="0.15">
      <c r="E16" t="s">
        <v>7</v>
      </c>
      <c r="F16">
        <v>0</v>
      </c>
    </row>
    <row r="17" spans="3:6" x14ac:dyDescent="0.15">
      <c r="E17" t="s">
        <v>9</v>
      </c>
      <c r="F17">
        <v>0</v>
      </c>
    </row>
    <row r="18" spans="3:6" x14ac:dyDescent="0.15">
      <c r="C18">
        <v>4</v>
      </c>
      <c r="D18" t="s">
        <v>21</v>
      </c>
      <c r="E18" t="s">
        <v>5</v>
      </c>
      <c r="F18">
        <v>0</v>
      </c>
    </row>
    <row r="19" spans="3:6" x14ac:dyDescent="0.15">
      <c r="E19" t="s">
        <v>6</v>
      </c>
      <c r="F19">
        <v>0</v>
      </c>
    </row>
    <row r="20" spans="3:6" x14ac:dyDescent="0.15">
      <c r="E20" t="s">
        <v>7</v>
      </c>
      <c r="F20">
        <v>0</v>
      </c>
    </row>
    <row r="21" spans="3:6" x14ac:dyDescent="0.15">
      <c r="E21" t="s">
        <v>9</v>
      </c>
      <c r="F21">
        <v>0</v>
      </c>
    </row>
    <row r="22" spans="3:6" x14ac:dyDescent="0.15">
      <c r="C22">
        <v>5</v>
      </c>
      <c r="D22" t="s">
        <v>22</v>
      </c>
      <c r="E22" t="s">
        <v>5</v>
      </c>
      <c r="F22">
        <v>0</v>
      </c>
    </row>
    <row r="23" spans="3:6" x14ac:dyDescent="0.15">
      <c r="E23" t="s">
        <v>6</v>
      </c>
      <c r="F23">
        <v>0</v>
      </c>
    </row>
    <row r="24" spans="3:6" x14ac:dyDescent="0.15">
      <c r="E24" t="s">
        <v>7</v>
      </c>
      <c r="F24">
        <v>0</v>
      </c>
    </row>
    <row r="25" spans="3:6" x14ac:dyDescent="0.15">
      <c r="E25" t="s">
        <v>9</v>
      </c>
      <c r="F25">
        <v>0</v>
      </c>
    </row>
    <row r="26" spans="3:6" x14ac:dyDescent="0.15">
      <c r="D26" t="s">
        <v>23</v>
      </c>
      <c r="E26" t="s">
        <v>5</v>
      </c>
      <c r="F26">
        <v>8665.5599568707148</v>
      </c>
    </row>
    <row r="27" spans="3:6" x14ac:dyDescent="0.15">
      <c r="E27" t="s">
        <v>6</v>
      </c>
      <c r="F27">
        <v>50623.243892390135</v>
      </c>
    </row>
    <row r="28" spans="3:6" x14ac:dyDescent="0.15">
      <c r="E28" t="s">
        <v>7</v>
      </c>
      <c r="F28">
        <v>48049.777456824631</v>
      </c>
    </row>
    <row r="29" spans="3:6" x14ac:dyDescent="0.15">
      <c r="C29">
        <v>6</v>
      </c>
      <c r="D29" t="s">
        <v>21</v>
      </c>
      <c r="E29" t="s">
        <v>5</v>
      </c>
      <c r="F29">
        <v>0</v>
      </c>
    </row>
    <row r="30" spans="3:6" x14ac:dyDescent="0.15">
      <c r="E30" t="s">
        <v>6</v>
      </c>
      <c r="F30">
        <v>0</v>
      </c>
    </row>
    <row r="31" spans="3:6" x14ac:dyDescent="0.15">
      <c r="E31" t="s">
        <v>7</v>
      </c>
      <c r="F31">
        <v>0</v>
      </c>
    </row>
    <row r="32" spans="3:6" x14ac:dyDescent="0.15">
      <c r="E32" t="s">
        <v>9</v>
      </c>
      <c r="F32">
        <v>178775.89488984778</v>
      </c>
    </row>
    <row r="33" spans="3:6" x14ac:dyDescent="0.15">
      <c r="C33">
        <v>7</v>
      </c>
      <c r="D33" t="s">
        <v>21</v>
      </c>
      <c r="E33" t="s">
        <v>5</v>
      </c>
      <c r="F33">
        <v>0</v>
      </c>
    </row>
    <row r="34" spans="3:6" x14ac:dyDescent="0.15">
      <c r="E34" t="s">
        <v>6</v>
      </c>
      <c r="F34">
        <v>0</v>
      </c>
    </row>
    <row r="35" spans="3:6" x14ac:dyDescent="0.15">
      <c r="E35" t="s">
        <v>7</v>
      </c>
      <c r="F35">
        <v>0</v>
      </c>
    </row>
    <row r="36" spans="3:6" x14ac:dyDescent="0.15">
      <c r="E36" t="s">
        <v>9</v>
      </c>
      <c r="F36">
        <v>0</v>
      </c>
    </row>
    <row r="37" spans="3:6" x14ac:dyDescent="0.15">
      <c r="C37">
        <v>8</v>
      </c>
      <c r="D37" t="s">
        <v>21</v>
      </c>
      <c r="E37" t="s">
        <v>5</v>
      </c>
      <c r="F37">
        <v>0</v>
      </c>
    </row>
    <row r="38" spans="3:6" x14ac:dyDescent="0.15">
      <c r="E38" t="s">
        <v>6</v>
      </c>
      <c r="F38">
        <v>70986.245957016159</v>
      </c>
    </row>
    <row r="39" spans="3:6" x14ac:dyDescent="0.15">
      <c r="E39" t="s">
        <v>7</v>
      </c>
      <c r="F39">
        <v>0</v>
      </c>
    </row>
    <row r="40" spans="3:6" x14ac:dyDescent="0.15">
      <c r="E40" t="s">
        <v>9</v>
      </c>
      <c r="F40">
        <v>0</v>
      </c>
    </row>
    <row r="41" spans="3:6" x14ac:dyDescent="0.15">
      <c r="C41">
        <v>9</v>
      </c>
      <c r="D41" t="s">
        <v>21</v>
      </c>
      <c r="E41" t="s">
        <v>5</v>
      </c>
      <c r="F41">
        <v>0</v>
      </c>
    </row>
    <row r="42" spans="3:6" x14ac:dyDescent="0.15">
      <c r="E42" t="s">
        <v>6</v>
      </c>
      <c r="F42">
        <v>0</v>
      </c>
    </row>
    <row r="43" spans="3:6" x14ac:dyDescent="0.15">
      <c r="E43" t="s">
        <v>7</v>
      </c>
      <c r="F43">
        <v>0</v>
      </c>
    </row>
    <row r="44" spans="3:6" x14ac:dyDescent="0.15">
      <c r="E44" t="s">
        <v>9</v>
      </c>
      <c r="F44">
        <v>0</v>
      </c>
    </row>
    <row r="45" spans="3:6" x14ac:dyDescent="0.15">
      <c r="C45">
        <v>10</v>
      </c>
      <c r="D45" t="s">
        <v>21</v>
      </c>
      <c r="E45" t="s">
        <v>5</v>
      </c>
      <c r="F45">
        <v>0</v>
      </c>
    </row>
    <row r="46" spans="3:6" x14ac:dyDescent="0.15">
      <c r="E46" t="s">
        <v>6</v>
      </c>
      <c r="F46">
        <v>0</v>
      </c>
    </row>
    <row r="47" spans="3:6" x14ac:dyDescent="0.15">
      <c r="E47" t="s">
        <v>7</v>
      </c>
      <c r="F47">
        <v>0</v>
      </c>
    </row>
    <row r="48" spans="3:6" x14ac:dyDescent="0.15">
      <c r="E48" t="s">
        <v>9</v>
      </c>
      <c r="F48">
        <v>0</v>
      </c>
    </row>
    <row r="49" spans="2:6" x14ac:dyDescent="0.15">
      <c r="C49">
        <v>11</v>
      </c>
      <c r="D49" t="s">
        <v>21</v>
      </c>
      <c r="E49" t="s">
        <v>5</v>
      </c>
      <c r="F49">
        <v>0</v>
      </c>
    </row>
    <row r="50" spans="2:6" x14ac:dyDescent="0.15">
      <c r="E50" t="s">
        <v>6</v>
      </c>
      <c r="F50">
        <v>0</v>
      </c>
    </row>
    <row r="51" spans="2:6" x14ac:dyDescent="0.15">
      <c r="E51" t="s">
        <v>7</v>
      </c>
      <c r="F51">
        <v>0</v>
      </c>
    </row>
    <row r="52" spans="2:6" x14ac:dyDescent="0.15">
      <c r="E52" t="s">
        <v>9</v>
      </c>
      <c r="F52">
        <v>31484.12360460695</v>
      </c>
    </row>
    <row r="53" spans="2:6" x14ac:dyDescent="0.15">
      <c r="C53">
        <v>12</v>
      </c>
      <c r="D53" t="s">
        <v>21</v>
      </c>
      <c r="E53" t="s">
        <v>5</v>
      </c>
      <c r="F53">
        <v>0</v>
      </c>
    </row>
    <row r="54" spans="2:6" x14ac:dyDescent="0.15">
      <c r="E54" t="s">
        <v>6</v>
      </c>
      <c r="F54">
        <v>0</v>
      </c>
    </row>
    <row r="55" spans="2:6" x14ac:dyDescent="0.15">
      <c r="E55" t="s">
        <v>7</v>
      </c>
      <c r="F55">
        <v>0</v>
      </c>
    </row>
    <row r="56" spans="2:6" x14ac:dyDescent="0.15">
      <c r="E56" t="s">
        <v>9</v>
      </c>
      <c r="F56">
        <v>0</v>
      </c>
    </row>
    <row r="57" spans="2:6" x14ac:dyDescent="0.15">
      <c r="B57" t="s">
        <v>168</v>
      </c>
      <c r="F57">
        <v>623281.89130652405</v>
      </c>
    </row>
    <row r="58" spans="2:6" x14ac:dyDescent="0.15">
      <c r="B58" t="s">
        <v>32</v>
      </c>
      <c r="C58">
        <v>13</v>
      </c>
      <c r="D58" t="s">
        <v>22</v>
      </c>
      <c r="E58" t="s">
        <v>5</v>
      </c>
      <c r="F58">
        <v>80795.387928872602</v>
      </c>
    </row>
    <row r="59" spans="2:6" x14ac:dyDescent="0.15">
      <c r="E59" t="s">
        <v>6</v>
      </c>
      <c r="F59">
        <v>1161040.5124343741</v>
      </c>
    </row>
    <row r="60" spans="2:6" x14ac:dyDescent="0.15">
      <c r="E60" t="s">
        <v>7</v>
      </c>
      <c r="F60">
        <v>1115802.3021377169</v>
      </c>
    </row>
    <row r="61" spans="2:6" x14ac:dyDescent="0.15">
      <c r="E61" t="s">
        <v>9</v>
      </c>
      <c r="F61">
        <v>539413.49529946526</v>
      </c>
    </row>
    <row r="62" spans="2:6" x14ac:dyDescent="0.15">
      <c r="D62" t="s">
        <v>23</v>
      </c>
      <c r="E62" t="s">
        <v>5</v>
      </c>
      <c r="F62">
        <v>118383.47870750439</v>
      </c>
    </row>
    <row r="63" spans="2:6" x14ac:dyDescent="0.15">
      <c r="E63" t="s">
        <v>6</v>
      </c>
      <c r="F63">
        <v>221176.34068629731</v>
      </c>
    </row>
    <row r="64" spans="2:6" x14ac:dyDescent="0.15">
      <c r="E64" t="s">
        <v>7</v>
      </c>
      <c r="F64">
        <v>0</v>
      </c>
    </row>
    <row r="65" spans="3:6" x14ac:dyDescent="0.15">
      <c r="C65">
        <v>14</v>
      </c>
      <c r="D65" t="s">
        <v>21</v>
      </c>
      <c r="E65" t="s">
        <v>5</v>
      </c>
      <c r="F65">
        <v>164302.4046690806</v>
      </c>
    </row>
    <row r="66" spans="3:6" x14ac:dyDescent="0.15">
      <c r="E66" t="s">
        <v>6</v>
      </c>
      <c r="F66">
        <v>56848.656897273453</v>
      </c>
    </row>
    <row r="67" spans="3:6" x14ac:dyDescent="0.15">
      <c r="E67" t="s">
        <v>7</v>
      </c>
      <c r="F67">
        <v>88521.087832157529</v>
      </c>
    </row>
    <row r="68" spans="3:6" x14ac:dyDescent="0.15">
      <c r="E68" t="s">
        <v>9</v>
      </c>
      <c r="F68">
        <v>109242.00838955432</v>
      </c>
    </row>
    <row r="69" spans="3:6" x14ac:dyDescent="0.15">
      <c r="C69">
        <v>15</v>
      </c>
      <c r="D69" t="s">
        <v>21</v>
      </c>
      <c r="E69" t="s">
        <v>5</v>
      </c>
      <c r="F69">
        <v>54246.84167641605</v>
      </c>
    </row>
    <row r="70" spans="3:6" x14ac:dyDescent="0.15">
      <c r="E70" t="s">
        <v>6</v>
      </c>
      <c r="F70">
        <v>119519.31982910133</v>
      </c>
    </row>
    <row r="71" spans="3:6" x14ac:dyDescent="0.15">
      <c r="E71" t="s">
        <v>7</v>
      </c>
      <c r="F71">
        <v>4251.700983909227</v>
      </c>
    </row>
    <row r="72" spans="3:6" x14ac:dyDescent="0.15">
      <c r="E72" t="s">
        <v>9</v>
      </c>
      <c r="F72">
        <v>0</v>
      </c>
    </row>
    <row r="73" spans="3:6" x14ac:dyDescent="0.15">
      <c r="C73">
        <v>16</v>
      </c>
      <c r="D73" t="s">
        <v>21</v>
      </c>
      <c r="E73" t="s">
        <v>5</v>
      </c>
      <c r="F73">
        <v>103454.06855539128</v>
      </c>
    </row>
    <row r="74" spans="3:6" x14ac:dyDescent="0.15">
      <c r="E74" t="s">
        <v>6</v>
      </c>
      <c r="F74">
        <v>134437.8412818494</v>
      </c>
    </row>
    <row r="75" spans="3:6" x14ac:dyDescent="0.15">
      <c r="E75" t="s">
        <v>7</v>
      </c>
      <c r="F75">
        <v>171035.86327634033</v>
      </c>
    </row>
    <row r="76" spans="3:6" x14ac:dyDescent="0.15">
      <c r="E76" t="s">
        <v>9</v>
      </c>
      <c r="F76">
        <v>126609.07999980845</v>
      </c>
    </row>
    <row r="77" spans="3:6" x14ac:dyDescent="0.15">
      <c r="C77">
        <v>17</v>
      </c>
      <c r="D77" t="s">
        <v>21</v>
      </c>
      <c r="E77" t="s">
        <v>5</v>
      </c>
      <c r="F77">
        <v>7277.9288920837635</v>
      </c>
    </row>
    <row r="78" spans="3:6" x14ac:dyDescent="0.15">
      <c r="E78" t="s">
        <v>6</v>
      </c>
      <c r="F78">
        <v>13330.481049262751</v>
      </c>
    </row>
    <row r="79" spans="3:6" x14ac:dyDescent="0.15">
      <c r="E79" t="s">
        <v>7</v>
      </c>
      <c r="F79">
        <v>71164.958148501144</v>
      </c>
    </row>
    <row r="80" spans="3:6" x14ac:dyDescent="0.15">
      <c r="E80" t="s">
        <v>9</v>
      </c>
      <c r="F80">
        <v>28096.982060547769</v>
      </c>
    </row>
    <row r="81" spans="1:6" x14ac:dyDescent="0.15">
      <c r="C81">
        <v>18</v>
      </c>
      <c r="D81" t="s">
        <v>21</v>
      </c>
      <c r="E81" t="s">
        <v>5</v>
      </c>
      <c r="F81">
        <v>81926.982800862417</v>
      </c>
    </row>
    <row r="82" spans="1:6" x14ac:dyDescent="0.15">
      <c r="E82" t="s">
        <v>6</v>
      </c>
      <c r="F82">
        <v>192509.81943769936</v>
      </c>
    </row>
    <row r="83" spans="1:6" x14ac:dyDescent="0.15">
      <c r="E83" t="s">
        <v>7</v>
      </c>
      <c r="F83">
        <v>512952.4162167937</v>
      </c>
    </row>
    <row r="84" spans="1:6" x14ac:dyDescent="0.15">
      <c r="E84" t="s">
        <v>9</v>
      </c>
      <c r="F84">
        <v>127661.86624855662</v>
      </c>
    </row>
    <row r="85" spans="1:6" x14ac:dyDescent="0.15">
      <c r="C85">
        <v>35</v>
      </c>
      <c r="D85" t="s">
        <v>21</v>
      </c>
      <c r="E85" t="s">
        <v>5</v>
      </c>
      <c r="F85">
        <v>11934.90316988861</v>
      </c>
    </row>
    <row r="86" spans="1:6" x14ac:dyDescent="0.15">
      <c r="E86" t="s">
        <v>6</v>
      </c>
      <c r="F86">
        <v>101140.24535373019</v>
      </c>
    </row>
    <row r="87" spans="1:6" x14ac:dyDescent="0.15">
      <c r="E87" t="s">
        <v>7</v>
      </c>
      <c r="F87">
        <v>5463.3466494413788</v>
      </c>
    </row>
    <row r="88" spans="1:6" x14ac:dyDescent="0.15">
      <c r="E88" t="s">
        <v>9</v>
      </c>
      <c r="F88">
        <v>0</v>
      </c>
    </row>
    <row r="89" spans="1:6" x14ac:dyDescent="0.15">
      <c r="C89">
        <v>36</v>
      </c>
      <c r="D89" t="s">
        <v>21</v>
      </c>
      <c r="E89" t="s">
        <v>5</v>
      </c>
      <c r="F89">
        <v>61407.577867885935</v>
      </c>
    </row>
    <row r="90" spans="1:6" x14ac:dyDescent="0.15">
      <c r="E90" t="s">
        <v>6</v>
      </c>
      <c r="F90">
        <v>0</v>
      </c>
    </row>
    <row r="91" spans="1:6" x14ac:dyDescent="0.15">
      <c r="E91" t="s">
        <v>7</v>
      </c>
      <c r="F91">
        <v>75584.13355066537</v>
      </c>
    </row>
    <row r="92" spans="1:6" x14ac:dyDescent="0.15">
      <c r="E92" t="s">
        <v>9</v>
      </c>
      <c r="F92">
        <v>0</v>
      </c>
    </row>
    <row r="93" spans="1:6" x14ac:dyDescent="0.15">
      <c r="B93" t="s">
        <v>169</v>
      </c>
      <c r="F93">
        <v>5659532.0320310313</v>
      </c>
    </row>
    <row r="94" spans="1:6" x14ac:dyDescent="0.15">
      <c r="A94" t="s">
        <v>70</v>
      </c>
      <c r="F94">
        <v>6282813.9233375546</v>
      </c>
    </row>
    <row r="95" spans="1:6" x14ac:dyDescent="0.15">
      <c r="A95" t="s">
        <v>3</v>
      </c>
      <c r="B95" t="s">
        <v>31</v>
      </c>
      <c r="C95">
        <v>25</v>
      </c>
      <c r="D95" t="s">
        <v>22</v>
      </c>
      <c r="E95" t="s">
        <v>5</v>
      </c>
      <c r="F95">
        <v>0</v>
      </c>
    </row>
    <row r="96" spans="1:6" x14ac:dyDescent="0.15">
      <c r="E96" t="s">
        <v>6</v>
      </c>
      <c r="F96">
        <v>0</v>
      </c>
    </row>
    <row r="97" spans="3:6" x14ac:dyDescent="0.15">
      <c r="E97" t="s">
        <v>7</v>
      </c>
      <c r="F97">
        <v>0</v>
      </c>
    </row>
    <row r="98" spans="3:6" x14ac:dyDescent="0.15">
      <c r="E98" t="s">
        <v>9</v>
      </c>
      <c r="F98">
        <v>0</v>
      </c>
    </row>
    <row r="99" spans="3:6" x14ac:dyDescent="0.15">
      <c r="D99" t="s">
        <v>23</v>
      </c>
      <c r="E99" t="s">
        <v>5</v>
      </c>
      <c r="F99">
        <v>3931.1643459102138</v>
      </c>
    </row>
    <row r="100" spans="3:6" x14ac:dyDescent="0.15">
      <c r="E100" t="s">
        <v>6</v>
      </c>
      <c r="F100">
        <v>2448.8507254329688</v>
      </c>
    </row>
    <row r="101" spans="3:6" x14ac:dyDescent="0.15">
      <c r="E101" t="s">
        <v>7</v>
      </c>
      <c r="F101">
        <v>2740.1508325896816</v>
      </c>
    </row>
    <row r="102" spans="3:6" x14ac:dyDescent="0.15">
      <c r="E102" t="s">
        <v>9</v>
      </c>
      <c r="F102">
        <v>1332.3920760430981</v>
      </c>
    </row>
    <row r="103" spans="3:6" x14ac:dyDescent="0.15">
      <c r="C103">
        <v>26</v>
      </c>
      <c r="D103" t="s">
        <v>21</v>
      </c>
      <c r="E103" t="s">
        <v>5</v>
      </c>
      <c r="F103">
        <v>0</v>
      </c>
    </row>
    <row r="104" spans="3:6" x14ac:dyDescent="0.15">
      <c r="E104" t="s">
        <v>6</v>
      </c>
      <c r="F104">
        <v>0</v>
      </c>
    </row>
    <row r="105" spans="3:6" x14ac:dyDescent="0.15">
      <c r="E105" t="s">
        <v>7</v>
      </c>
      <c r="F105">
        <v>0</v>
      </c>
    </row>
    <row r="106" spans="3:6" x14ac:dyDescent="0.15">
      <c r="E106" t="s">
        <v>9</v>
      </c>
      <c r="F106">
        <v>0</v>
      </c>
    </row>
    <row r="107" spans="3:6" x14ac:dyDescent="0.15">
      <c r="C107">
        <v>27</v>
      </c>
      <c r="D107" t="s">
        <v>21</v>
      </c>
      <c r="E107" t="s">
        <v>5</v>
      </c>
      <c r="F107">
        <v>0</v>
      </c>
    </row>
    <row r="108" spans="3:6" x14ac:dyDescent="0.15">
      <c r="E108" t="s">
        <v>6</v>
      </c>
      <c r="F108">
        <v>8684.9966238408633</v>
      </c>
    </row>
    <row r="109" spans="3:6" x14ac:dyDescent="0.15">
      <c r="E109" t="s">
        <v>7</v>
      </c>
      <c r="F109">
        <v>0</v>
      </c>
    </row>
    <row r="110" spans="3:6" x14ac:dyDescent="0.15">
      <c r="E110" t="s">
        <v>9</v>
      </c>
      <c r="F110">
        <v>0</v>
      </c>
    </row>
    <row r="111" spans="3:6" x14ac:dyDescent="0.15">
      <c r="C111">
        <v>28</v>
      </c>
      <c r="D111" t="s">
        <v>21</v>
      </c>
      <c r="E111" t="s">
        <v>5</v>
      </c>
      <c r="F111">
        <v>8997.7678177970902</v>
      </c>
    </row>
    <row r="112" spans="3:6" x14ac:dyDescent="0.15">
      <c r="E112" t="s">
        <v>6</v>
      </c>
      <c r="F112">
        <v>0</v>
      </c>
    </row>
    <row r="113" spans="2:6" x14ac:dyDescent="0.15">
      <c r="E113" t="s">
        <v>7</v>
      </c>
      <c r="F113">
        <v>6321.2195581925989</v>
      </c>
    </row>
    <row r="114" spans="2:6" x14ac:dyDescent="0.15">
      <c r="E114" t="s">
        <v>9</v>
      </c>
      <c r="F114">
        <v>180580.59563940222</v>
      </c>
    </row>
    <row r="115" spans="2:6" x14ac:dyDescent="0.15">
      <c r="C115">
        <v>29</v>
      </c>
      <c r="D115" t="s">
        <v>21</v>
      </c>
      <c r="E115" t="s">
        <v>5</v>
      </c>
      <c r="F115">
        <v>0</v>
      </c>
    </row>
    <row r="116" spans="2:6" x14ac:dyDescent="0.15">
      <c r="E116" t="s">
        <v>6</v>
      </c>
      <c r="F116">
        <v>0</v>
      </c>
    </row>
    <row r="117" spans="2:6" x14ac:dyDescent="0.15">
      <c r="E117" t="s">
        <v>7</v>
      </c>
      <c r="F117">
        <v>0</v>
      </c>
    </row>
    <row r="118" spans="2:6" x14ac:dyDescent="0.15">
      <c r="E118" t="s">
        <v>9</v>
      </c>
      <c r="F118">
        <v>0</v>
      </c>
    </row>
    <row r="119" spans="2:6" x14ac:dyDescent="0.15">
      <c r="C119">
        <v>30</v>
      </c>
      <c r="D119" t="s">
        <v>21</v>
      </c>
      <c r="E119" t="s">
        <v>5</v>
      </c>
      <c r="F119">
        <v>0</v>
      </c>
    </row>
    <row r="120" spans="2:6" x14ac:dyDescent="0.15">
      <c r="E120" t="s">
        <v>6</v>
      </c>
      <c r="F120">
        <v>0</v>
      </c>
    </row>
    <row r="121" spans="2:6" x14ac:dyDescent="0.15">
      <c r="E121" t="s">
        <v>7</v>
      </c>
      <c r="F121">
        <v>0</v>
      </c>
    </row>
    <row r="122" spans="2:6" x14ac:dyDescent="0.15">
      <c r="E122" t="s">
        <v>9</v>
      </c>
      <c r="F122">
        <v>0</v>
      </c>
    </row>
    <row r="123" spans="2:6" x14ac:dyDescent="0.15">
      <c r="B123" t="s">
        <v>170</v>
      </c>
      <c r="F123">
        <v>215037.13761920872</v>
      </c>
    </row>
    <row r="124" spans="2:6" x14ac:dyDescent="0.15">
      <c r="B124" t="s">
        <v>30</v>
      </c>
      <c r="C124">
        <v>19</v>
      </c>
      <c r="D124" t="s">
        <v>22</v>
      </c>
      <c r="E124" t="s">
        <v>5</v>
      </c>
      <c r="F124">
        <v>0</v>
      </c>
    </row>
    <row r="125" spans="2:6" x14ac:dyDescent="0.15">
      <c r="E125" t="s">
        <v>6</v>
      </c>
      <c r="F125">
        <v>0</v>
      </c>
    </row>
    <row r="126" spans="2:6" x14ac:dyDescent="0.15">
      <c r="E126" t="s">
        <v>7</v>
      </c>
      <c r="F126">
        <v>150807.91984198571</v>
      </c>
    </row>
    <row r="127" spans="2:6" x14ac:dyDescent="0.15">
      <c r="E127" t="s">
        <v>9</v>
      </c>
      <c r="F127">
        <v>0</v>
      </c>
    </row>
    <row r="128" spans="2:6" x14ac:dyDescent="0.15">
      <c r="D128" t="s">
        <v>23</v>
      </c>
      <c r="E128" t="s">
        <v>5</v>
      </c>
      <c r="F128">
        <v>22516.444050897328</v>
      </c>
    </row>
    <row r="129" spans="3:6" x14ac:dyDescent="0.15">
      <c r="E129" t="s">
        <v>6</v>
      </c>
      <c r="F129">
        <v>41635.657525183582</v>
      </c>
    </row>
    <row r="130" spans="3:6" x14ac:dyDescent="0.15">
      <c r="E130" t="s">
        <v>7</v>
      </c>
      <c r="F130">
        <v>29379.319533461719</v>
      </c>
    </row>
    <row r="131" spans="3:6" x14ac:dyDescent="0.15">
      <c r="E131" t="s">
        <v>9</v>
      </c>
      <c r="F131">
        <v>46031.357779682585</v>
      </c>
    </row>
    <row r="132" spans="3:6" x14ac:dyDescent="0.15">
      <c r="C132">
        <v>20</v>
      </c>
      <c r="D132" t="s">
        <v>22</v>
      </c>
      <c r="E132" t="s">
        <v>5</v>
      </c>
      <c r="F132">
        <v>197821.58082354951</v>
      </c>
    </row>
    <row r="133" spans="3:6" x14ac:dyDescent="0.15">
      <c r="E133" t="s">
        <v>6</v>
      </c>
      <c r="F133">
        <v>0</v>
      </c>
    </row>
    <row r="134" spans="3:6" x14ac:dyDescent="0.15">
      <c r="E134" t="s">
        <v>7</v>
      </c>
      <c r="F134">
        <v>0</v>
      </c>
    </row>
    <row r="135" spans="3:6" x14ac:dyDescent="0.15">
      <c r="E135" t="s">
        <v>9</v>
      </c>
      <c r="F135">
        <v>0</v>
      </c>
    </row>
    <row r="136" spans="3:6" x14ac:dyDescent="0.15">
      <c r="D136" t="s">
        <v>23</v>
      </c>
      <c r="E136" t="s">
        <v>5</v>
      </c>
      <c r="F136">
        <v>3584.1642119571875</v>
      </c>
    </row>
    <row r="137" spans="3:6" x14ac:dyDescent="0.15">
      <c r="E137" t="s">
        <v>6</v>
      </c>
      <c r="F137">
        <v>23266.355301016614</v>
      </c>
    </row>
    <row r="138" spans="3:6" x14ac:dyDescent="0.15">
      <c r="E138" t="s">
        <v>7</v>
      </c>
      <c r="F138">
        <v>6352.3551742193004</v>
      </c>
    </row>
    <row r="139" spans="3:6" x14ac:dyDescent="0.15">
      <c r="E139" t="s">
        <v>9</v>
      </c>
      <c r="F139">
        <v>15556.169630158405</v>
      </c>
    </row>
    <row r="140" spans="3:6" x14ac:dyDescent="0.15">
      <c r="C140">
        <v>21</v>
      </c>
      <c r="D140" t="s">
        <v>22</v>
      </c>
      <c r="E140" t="s">
        <v>5</v>
      </c>
      <c r="F140">
        <v>0</v>
      </c>
    </row>
    <row r="141" spans="3:6" x14ac:dyDescent="0.15">
      <c r="E141" t="s">
        <v>6</v>
      </c>
      <c r="F141">
        <v>0</v>
      </c>
    </row>
    <row r="142" spans="3:6" x14ac:dyDescent="0.15">
      <c r="E142" t="s">
        <v>7</v>
      </c>
      <c r="F142">
        <v>0</v>
      </c>
    </row>
    <row r="143" spans="3:6" x14ac:dyDescent="0.15">
      <c r="E143" t="s">
        <v>9</v>
      </c>
      <c r="F143">
        <v>3297.9168730273523</v>
      </c>
    </row>
    <row r="144" spans="3:6" x14ac:dyDescent="0.15">
      <c r="D144" t="s">
        <v>23</v>
      </c>
      <c r="E144" t="s">
        <v>5</v>
      </c>
      <c r="F144">
        <v>29152.680283026486</v>
      </c>
    </row>
    <row r="145" spans="3:6" x14ac:dyDescent="0.15">
      <c r="E145" t="s">
        <v>6</v>
      </c>
      <c r="F145">
        <v>33811.430994686627</v>
      </c>
    </row>
    <row r="146" spans="3:6" x14ac:dyDescent="0.15">
      <c r="E146" t="s">
        <v>7</v>
      </c>
      <c r="F146">
        <v>5970.6544872025352</v>
      </c>
    </row>
    <row r="147" spans="3:6" x14ac:dyDescent="0.15">
      <c r="E147" t="s">
        <v>9</v>
      </c>
      <c r="F147">
        <v>16533.280670336775</v>
      </c>
    </row>
    <row r="148" spans="3:6" x14ac:dyDescent="0.15">
      <c r="C148">
        <v>22</v>
      </c>
      <c r="D148" t="s">
        <v>22</v>
      </c>
      <c r="E148" t="s">
        <v>5</v>
      </c>
      <c r="F148">
        <v>0</v>
      </c>
    </row>
    <row r="149" spans="3:6" x14ac:dyDescent="0.15">
      <c r="E149" t="s">
        <v>6</v>
      </c>
      <c r="F149">
        <v>107181.24019623187</v>
      </c>
    </row>
    <row r="150" spans="3:6" x14ac:dyDescent="0.15">
      <c r="E150" t="s">
        <v>7</v>
      </c>
      <c r="F150">
        <v>0</v>
      </c>
    </row>
    <row r="151" spans="3:6" x14ac:dyDescent="0.15">
      <c r="E151" t="s">
        <v>9</v>
      </c>
      <c r="F151">
        <v>0</v>
      </c>
    </row>
    <row r="152" spans="3:6" x14ac:dyDescent="0.15">
      <c r="D152" t="s">
        <v>23</v>
      </c>
      <c r="E152" t="s">
        <v>5</v>
      </c>
      <c r="F152">
        <v>0</v>
      </c>
    </row>
    <row r="153" spans="3:6" x14ac:dyDescent="0.15">
      <c r="E153" t="s">
        <v>6</v>
      </c>
      <c r="F153">
        <v>541730.00996335829</v>
      </c>
    </row>
    <row r="154" spans="3:6" x14ac:dyDescent="0.15">
      <c r="E154" t="s">
        <v>7</v>
      </c>
      <c r="F154">
        <v>204607.72216330009</v>
      </c>
    </row>
    <row r="155" spans="3:6" x14ac:dyDescent="0.15">
      <c r="E155" t="s">
        <v>9</v>
      </c>
      <c r="F155">
        <v>157913.28841046485</v>
      </c>
    </row>
    <row r="156" spans="3:6" x14ac:dyDescent="0.15">
      <c r="C156">
        <v>23</v>
      </c>
      <c r="D156" t="s">
        <v>21</v>
      </c>
      <c r="E156" t="s">
        <v>5</v>
      </c>
      <c r="F156">
        <v>0</v>
      </c>
    </row>
    <row r="157" spans="3:6" x14ac:dyDescent="0.15">
      <c r="E157" t="s">
        <v>6</v>
      </c>
      <c r="F157">
        <v>0</v>
      </c>
    </row>
    <row r="158" spans="3:6" x14ac:dyDescent="0.15">
      <c r="E158" t="s">
        <v>7</v>
      </c>
      <c r="F158">
        <v>0</v>
      </c>
    </row>
    <row r="159" spans="3:6" x14ac:dyDescent="0.15">
      <c r="E159" t="s">
        <v>9</v>
      </c>
      <c r="F159">
        <v>0</v>
      </c>
    </row>
    <row r="160" spans="3:6" x14ac:dyDescent="0.15">
      <c r="C160">
        <v>24</v>
      </c>
      <c r="D160" t="s">
        <v>21</v>
      </c>
      <c r="E160" t="s">
        <v>5</v>
      </c>
      <c r="F160">
        <v>0</v>
      </c>
    </row>
    <row r="161" spans="2:6" x14ac:dyDescent="0.15">
      <c r="E161" t="s">
        <v>6</v>
      </c>
      <c r="F161">
        <v>0</v>
      </c>
    </row>
    <row r="162" spans="2:6" x14ac:dyDescent="0.15">
      <c r="E162" t="s">
        <v>7</v>
      </c>
      <c r="F162">
        <v>644773.28831218195</v>
      </c>
    </row>
    <row r="163" spans="2:6" x14ac:dyDescent="0.15">
      <c r="E163" t="s">
        <v>9</v>
      </c>
      <c r="F163">
        <v>0</v>
      </c>
    </row>
    <row r="164" spans="2:6" x14ac:dyDescent="0.15">
      <c r="B164" t="s">
        <v>168</v>
      </c>
      <c r="F164">
        <v>2281922.8362259287</v>
      </c>
    </row>
    <row r="165" spans="2:6" x14ac:dyDescent="0.15">
      <c r="B165" t="s">
        <v>32</v>
      </c>
      <c r="C165">
        <v>31</v>
      </c>
      <c r="D165" t="s">
        <v>22</v>
      </c>
      <c r="E165" t="s">
        <v>5</v>
      </c>
      <c r="F165">
        <v>291774.99295581924</v>
      </c>
    </row>
    <row r="166" spans="2:6" x14ac:dyDescent="0.15">
      <c r="E166" t="s">
        <v>6</v>
      </c>
      <c r="F166">
        <v>0</v>
      </c>
    </row>
    <row r="167" spans="2:6" x14ac:dyDescent="0.15">
      <c r="E167" t="s">
        <v>7</v>
      </c>
      <c r="F167">
        <v>0</v>
      </c>
    </row>
    <row r="168" spans="2:6" x14ac:dyDescent="0.15">
      <c r="E168" t="s">
        <v>9</v>
      </c>
      <c r="F168">
        <v>332322.13525626954</v>
      </c>
    </row>
    <row r="169" spans="2:6" x14ac:dyDescent="0.15">
      <c r="D169" t="s">
        <v>23</v>
      </c>
      <c r="E169" t="s">
        <v>5</v>
      </c>
      <c r="F169">
        <v>419571.34861705452</v>
      </c>
    </row>
    <row r="170" spans="2:6" x14ac:dyDescent="0.15">
      <c r="E170" t="s">
        <v>6</v>
      </c>
      <c r="F170">
        <v>514835.94748859783</v>
      </c>
    </row>
    <row r="171" spans="2:6" x14ac:dyDescent="0.15">
      <c r="E171" t="s">
        <v>7</v>
      </c>
      <c r="F171">
        <v>383233.5494778452</v>
      </c>
    </row>
    <row r="172" spans="2:6" x14ac:dyDescent="0.15">
      <c r="E172" t="s">
        <v>9</v>
      </c>
      <c r="F172">
        <v>275848.70282207697</v>
      </c>
    </row>
    <row r="173" spans="2:6" x14ac:dyDescent="0.15">
      <c r="C173">
        <v>32</v>
      </c>
      <c r="D173" t="s">
        <v>21</v>
      </c>
      <c r="E173" t="s">
        <v>5</v>
      </c>
      <c r="F173">
        <v>685646.62869314849</v>
      </c>
    </row>
    <row r="174" spans="2:6" x14ac:dyDescent="0.15">
      <c r="E174" t="s">
        <v>6</v>
      </c>
      <c r="F174">
        <v>1493655.4008334465</v>
      </c>
    </row>
    <row r="175" spans="2:6" x14ac:dyDescent="0.15">
      <c r="E175" t="s">
        <v>7</v>
      </c>
      <c r="F175">
        <v>880244.89877627161</v>
      </c>
    </row>
    <row r="176" spans="2:6" x14ac:dyDescent="0.15">
      <c r="E176" t="s">
        <v>9</v>
      </c>
      <c r="F176">
        <v>0</v>
      </c>
    </row>
    <row r="177" spans="1:6" x14ac:dyDescent="0.15">
      <c r="C177">
        <v>33</v>
      </c>
      <c r="D177" t="s">
        <v>21</v>
      </c>
      <c r="E177" t="s">
        <v>5</v>
      </c>
      <c r="F177">
        <v>0</v>
      </c>
    </row>
    <row r="178" spans="1:6" x14ac:dyDescent="0.15">
      <c r="E178" t="s">
        <v>6</v>
      </c>
      <c r="F178">
        <v>168558.23877315523</v>
      </c>
    </row>
    <row r="179" spans="1:6" x14ac:dyDescent="0.15">
      <c r="E179" t="s">
        <v>7</v>
      </c>
      <c r="F179">
        <v>0</v>
      </c>
    </row>
    <row r="180" spans="1:6" x14ac:dyDescent="0.15">
      <c r="E180" t="s">
        <v>9</v>
      </c>
      <c r="F180">
        <v>238279.74147537648</v>
      </c>
    </row>
    <row r="181" spans="1:6" x14ac:dyDescent="0.15">
      <c r="C181">
        <v>34</v>
      </c>
      <c r="D181" t="s">
        <v>22</v>
      </c>
      <c r="E181" t="s">
        <v>5</v>
      </c>
      <c r="F181">
        <v>0</v>
      </c>
    </row>
    <row r="182" spans="1:6" x14ac:dyDescent="0.15">
      <c r="E182" t="s">
        <v>6</v>
      </c>
      <c r="F182">
        <v>0</v>
      </c>
    </row>
    <row r="183" spans="1:6" x14ac:dyDescent="0.15">
      <c r="E183" t="s">
        <v>7</v>
      </c>
      <c r="F183">
        <v>300003.81789112196</v>
      </c>
    </row>
    <row r="184" spans="1:6" x14ac:dyDescent="0.15">
      <c r="E184" t="s">
        <v>9</v>
      </c>
      <c r="F184">
        <v>0</v>
      </c>
    </row>
    <row r="185" spans="1:6" x14ac:dyDescent="0.15">
      <c r="D185" t="s">
        <v>23</v>
      </c>
      <c r="E185" t="s">
        <v>5</v>
      </c>
      <c r="F185">
        <v>0</v>
      </c>
    </row>
    <row r="186" spans="1:6" x14ac:dyDescent="0.15">
      <c r="E186" t="s">
        <v>6</v>
      </c>
      <c r="F186">
        <v>0</v>
      </c>
    </row>
    <row r="187" spans="1:6" x14ac:dyDescent="0.15">
      <c r="E187" t="s">
        <v>7</v>
      </c>
      <c r="F187">
        <v>258976.32644237342</v>
      </c>
    </row>
    <row r="188" spans="1:6" x14ac:dyDescent="0.15">
      <c r="E188" t="s">
        <v>9</v>
      </c>
      <c r="F188">
        <v>0</v>
      </c>
    </row>
    <row r="189" spans="1:6" x14ac:dyDescent="0.15">
      <c r="B189" t="s">
        <v>169</v>
      </c>
      <c r="F189">
        <v>6242951.7295025559</v>
      </c>
    </row>
    <row r="190" spans="1:6" x14ac:dyDescent="0.15">
      <c r="A190" t="s">
        <v>71</v>
      </c>
      <c r="F190">
        <v>8739911.7033476941</v>
      </c>
    </row>
    <row r="191" spans="1:6" x14ac:dyDescent="0.15">
      <c r="A191" t="s">
        <v>65</v>
      </c>
      <c r="F191">
        <v>15022725.626685252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A1E84-6EFE-AA47-B611-6EA1B939AB91}">
  <dimension ref="A1:G182"/>
  <sheetViews>
    <sheetView workbookViewId="0">
      <selection activeCell="A6" sqref="A6"/>
    </sheetView>
  </sheetViews>
  <sheetFormatPr baseColWidth="10" defaultRowHeight="13" x14ac:dyDescent="0.15"/>
  <cols>
    <col min="1" max="1" width="13.1640625" bestFit="1" customWidth="1"/>
    <col min="2" max="2" width="14.33203125" bestFit="1" customWidth="1"/>
    <col min="3" max="4" width="11.1640625" bestFit="1" customWidth="1"/>
    <col min="5" max="6" width="12.1640625" bestFit="1" customWidth="1"/>
  </cols>
  <sheetData>
    <row r="1" spans="1:7" x14ac:dyDescent="0.15">
      <c r="A1" s="18" t="s">
        <v>24</v>
      </c>
      <c r="B1" s="18" t="s">
        <v>25</v>
      </c>
      <c r="C1" s="18" t="s">
        <v>27</v>
      </c>
      <c r="D1" s="18" t="s">
        <v>26</v>
      </c>
      <c r="E1" t="s">
        <v>69</v>
      </c>
      <c r="F1" s="22" t="s">
        <v>132</v>
      </c>
      <c r="G1" s="22" t="s">
        <v>133</v>
      </c>
    </row>
    <row r="2" spans="1:7" x14ac:dyDescent="0.15">
      <c r="A2" s="20" t="s">
        <v>18</v>
      </c>
      <c r="B2" s="20">
        <v>1</v>
      </c>
      <c r="C2" s="9" t="s">
        <v>22</v>
      </c>
      <c r="D2" t="s">
        <v>5</v>
      </c>
      <c r="E2">
        <v>0</v>
      </c>
      <c r="F2" s="23" t="str">
        <f>A2&amp;"-"&amp;TEXT(B2,"0#")&amp;"-"&amp;C2</f>
        <v>GM-01-CTRL</v>
      </c>
      <c r="G2">
        <f>VLOOKUP(F2,teams!$A$2:$B$47,2,)</f>
        <v>1</v>
      </c>
    </row>
    <row r="3" spans="1:7" x14ac:dyDescent="0.15">
      <c r="A3" s="20" t="s">
        <v>18</v>
      </c>
      <c r="B3" s="20">
        <v>1</v>
      </c>
      <c r="C3" s="9" t="s">
        <v>22</v>
      </c>
      <c r="D3" t="s">
        <v>6</v>
      </c>
      <c r="E3">
        <v>0</v>
      </c>
      <c r="F3" s="23" t="str">
        <f t="shared" ref="F3:F66" si="0">A3&amp;"-"&amp;TEXT(B3,"0#")&amp;"-"&amp;C3</f>
        <v>GM-01-CTRL</v>
      </c>
      <c r="G3">
        <f>VLOOKUP(F3,teams!$A$2:$B$47,2,)</f>
        <v>1</v>
      </c>
    </row>
    <row r="4" spans="1:7" x14ac:dyDescent="0.15">
      <c r="A4" s="20" t="s">
        <v>18</v>
      </c>
      <c r="B4" s="20">
        <v>1</v>
      </c>
      <c r="C4" s="9" t="s">
        <v>22</v>
      </c>
      <c r="D4" t="s">
        <v>7</v>
      </c>
      <c r="E4">
        <v>0</v>
      </c>
      <c r="F4" s="23" t="str">
        <f t="shared" si="0"/>
        <v>GM-01-CTRL</v>
      </c>
      <c r="G4">
        <f>VLOOKUP(F4,teams!$A$2:$B$47,2,)</f>
        <v>1</v>
      </c>
    </row>
    <row r="5" spans="1:7" x14ac:dyDescent="0.15">
      <c r="A5" s="20" t="s">
        <v>18</v>
      </c>
      <c r="B5" s="20">
        <v>1</v>
      </c>
      <c r="C5" s="9" t="s">
        <v>22</v>
      </c>
      <c r="D5" t="s">
        <v>9</v>
      </c>
      <c r="E5">
        <v>0</v>
      </c>
      <c r="F5" s="23" t="str">
        <f t="shared" si="0"/>
        <v>GM-01-CTRL</v>
      </c>
      <c r="G5">
        <f>VLOOKUP(F5,teams!$A$2:$B$47,2,)</f>
        <v>1</v>
      </c>
    </row>
    <row r="6" spans="1:7" x14ac:dyDescent="0.15">
      <c r="A6" s="20" t="s">
        <v>18</v>
      </c>
      <c r="B6" s="20">
        <v>1</v>
      </c>
      <c r="C6" t="s">
        <v>23</v>
      </c>
      <c r="D6" t="s">
        <v>5</v>
      </c>
      <c r="E6">
        <v>39457.307166554463</v>
      </c>
      <c r="F6" s="23" t="str">
        <f t="shared" si="0"/>
        <v>GM-01-EX</v>
      </c>
      <c r="G6">
        <f>VLOOKUP(F6,teams!$A$2:$B$47,2,)</f>
        <v>1</v>
      </c>
    </row>
    <row r="7" spans="1:7" x14ac:dyDescent="0.15">
      <c r="A7" s="20" t="s">
        <v>18</v>
      </c>
      <c r="B7" s="20">
        <v>1</v>
      </c>
      <c r="C7" t="s">
        <v>23</v>
      </c>
      <c r="D7" t="s">
        <v>6</v>
      </c>
      <c r="E7">
        <v>140888.15994434635</v>
      </c>
      <c r="F7" s="23" t="str">
        <f t="shared" si="0"/>
        <v>GM-01-EX</v>
      </c>
      <c r="G7">
        <f>VLOOKUP(F7,teams!$A$2:$B$47,2,)</f>
        <v>1</v>
      </c>
    </row>
    <row r="8" spans="1:7" x14ac:dyDescent="0.15">
      <c r="A8" s="20" t="s">
        <v>18</v>
      </c>
      <c r="B8" s="20">
        <v>1</v>
      </c>
      <c r="C8" t="s">
        <v>23</v>
      </c>
      <c r="D8" t="s">
        <v>7</v>
      </c>
      <c r="E8">
        <v>54351.578438066899</v>
      </c>
      <c r="F8" s="23" t="str">
        <f t="shared" si="0"/>
        <v>GM-01-EX</v>
      </c>
      <c r="G8">
        <f>VLOOKUP(F8,teams!$A$2:$B$47,2,)</f>
        <v>1</v>
      </c>
    </row>
    <row r="9" spans="1:7" x14ac:dyDescent="0.15">
      <c r="A9" s="20" t="s">
        <v>18</v>
      </c>
      <c r="B9" s="20">
        <v>2</v>
      </c>
      <c r="C9" t="s">
        <v>21</v>
      </c>
      <c r="D9" t="s">
        <v>5</v>
      </c>
      <c r="E9">
        <v>0</v>
      </c>
      <c r="F9" s="23" t="str">
        <f t="shared" si="0"/>
        <v>GM-02-NA</v>
      </c>
      <c r="G9">
        <f>VLOOKUP(F9,teams!$A$2:$B$47,2,)</f>
        <v>2</v>
      </c>
    </row>
    <row r="10" spans="1:7" x14ac:dyDescent="0.15">
      <c r="A10" s="20" t="s">
        <v>18</v>
      </c>
      <c r="B10" s="20">
        <v>2</v>
      </c>
      <c r="C10" t="s">
        <v>21</v>
      </c>
      <c r="D10" t="s">
        <v>6</v>
      </c>
      <c r="E10">
        <v>0</v>
      </c>
      <c r="F10" s="23" t="str">
        <f t="shared" si="0"/>
        <v>GM-02-NA</v>
      </c>
      <c r="G10">
        <f>VLOOKUP(F10,teams!$A$2:$B$47,2,)</f>
        <v>2</v>
      </c>
    </row>
    <row r="11" spans="1:7" x14ac:dyDescent="0.15">
      <c r="A11" s="20" t="s">
        <v>18</v>
      </c>
      <c r="B11" s="20">
        <v>2</v>
      </c>
      <c r="C11" t="s">
        <v>21</v>
      </c>
      <c r="D11" t="s">
        <v>7</v>
      </c>
      <c r="E11">
        <v>0</v>
      </c>
      <c r="F11" s="23" t="str">
        <f t="shared" si="0"/>
        <v>GM-02-NA</v>
      </c>
      <c r="G11">
        <f>VLOOKUP(F11,teams!$A$2:$B$47,2,)</f>
        <v>2</v>
      </c>
    </row>
    <row r="12" spans="1:7" x14ac:dyDescent="0.15">
      <c r="A12" s="20" t="s">
        <v>18</v>
      </c>
      <c r="B12" s="20">
        <v>2</v>
      </c>
      <c r="C12" t="s">
        <v>21</v>
      </c>
      <c r="D12" t="s">
        <v>9</v>
      </c>
      <c r="E12">
        <v>0</v>
      </c>
      <c r="F12" s="23" t="str">
        <f t="shared" si="0"/>
        <v>GM-02-NA</v>
      </c>
      <c r="G12">
        <f>VLOOKUP(F12,teams!$A$2:$B$47,2,)</f>
        <v>2</v>
      </c>
    </row>
    <row r="13" spans="1:7" x14ac:dyDescent="0.15">
      <c r="A13" s="20" t="s">
        <v>18</v>
      </c>
      <c r="B13" s="20">
        <v>3</v>
      </c>
      <c r="C13" t="s">
        <v>21</v>
      </c>
      <c r="D13" t="s">
        <v>5</v>
      </c>
      <c r="E13">
        <v>0</v>
      </c>
      <c r="F13" s="23" t="str">
        <f t="shared" si="0"/>
        <v>GM-03-NA</v>
      </c>
      <c r="G13">
        <f>VLOOKUP(F13,teams!$A$2:$B$47,2,)</f>
        <v>2</v>
      </c>
    </row>
    <row r="14" spans="1:7" x14ac:dyDescent="0.15">
      <c r="A14" s="20" t="s">
        <v>18</v>
      </c>
      <c r="B14" s="20">
        <v>3</v>
      </c>
      <c r="C14" t="s">
        <v>21</v>
      </c>
      <c r="D14" t="s">
        <v>6</v>
      </c>
      <c r="E14">
        <v>0</v>
      </c>
      <c r="F14" s="23" t="str">
        <f t="shared" si="0"/>
        <v>GM-03-NA</v>
      </c>
      <c r="G14">
        <f>VLOOKUP(F14,teams!$A$2:$B$47,2,)</f>
        <v>2</v>
      </c>
    </row>
    <row r="15" spans="1:7" x14ac:dyDescent="0.15">
      <c r="A15" s="20" t="s">
        <v>18</v>
      </c>
      <c r="B15" s="20">
        <v>3</v>
      </c>
      <c r="C15" t="s">
        <v>21</v>
      </c>
      <c r="D15" t="s">
        <v>7</v>
      </c>
      <c r="E15">
        <v>0</v>
      </c>
      <c r="F15" s="23" t="str">
        <f t="shared" si="0"/>
        <v>GM-03-NA</v>
      </c>
      <c r="G15">
        <f>VLOOKUP(F15,teams!$A$2:$B$47,2,)</f>
        <v>2</v>
      </c>
    </row>
    <row r="16" spans="1:7" x14ac:dyDescent="0.15">
      <c r="A16" s="20" t="s">
        <v>18</v>
      </c>
      <c r="B16" s="20">
        <v>3</v>
      </c>
      <c r="C16" t="s">
        <v>21</v>
      </c>
      <c r="D16" t="s">
        <v>9</v>
      </c>
      <c r="E16">
        <v>0</v>
      </c>
      <c r="F16" s="23" t="str">
        <f t="shared" si="0"/>
        <v>GM-03-NA</v>
      </c>
      <c r="G16">
        <f>VLOOKUP(F16,teams!$A$2:$B$47,2,)</f>
        <v>2</v>
      </c>
    </row>
    <row r="17" spans="1:7" x14ac:dyDescent="0.15">
      <c r="A17" s="20" t="s">
        <v>18</v>
      </c>
      <c r="B17" s="20">
        <v>4</v>
      </c>
      <c r="C17" t="s">
        <v>21</v>
      </c>
      <c r="D17" t="s">
        <v>5</v>
      </c>
      <c r="E17">
        <v>0</v>
      </c>
      <c r="F17" s="23" t="str">
        <f t="shared" si="0"/>
        <v>GM-04-NA</v>
      </c>
      <c r="G17">
        <f>VLOOKUP(F17,teams!$A$2:$B$47,2,)</f>
        <v>2</v>
      </c>
    </row>
    <row r="18" spans="1:7" x14ac:dyDescent="0.15">
      <c r="A18" s="20" t="s">
        <v>18</v>
      </c>
      <c r="B18" s="20">
        <v>4</v>
      </c>
      <c r="C18" t="s">
        <v>21</v>
      </c>
      <c r="D18" t="s">
        <v>6</v>
      </c>
      <c r="E18">
        <v>0</v>
      </c>
      <c r="F18" s="23" t="str">
        <f t="shared" si="0"/>
        <v>GM-04-NA</v>
      </c>
      <c r="G18">
        <f>VLOOKUP(F18,teams!$A$2:$B$47,2,)</f>
        <v>2</v>
      </c>
    </row>
    <row r="19" spans="1:7" x14ac:dyDescent="0.15">
      <c r="A19" s="20" t="s">
        <v>18</v>
      </c>
      <c r="B19" s="20">
        <v>4</v>
      </c>
      <c r="C19" t="s">
        <v>21</v>
      </c>
      <c r="D19" t="s">
        <v>7</v>
      </c>
      <c r="E19">
        <v>0</v>
      </c>
      <c r="F19" s="23" t="str">
        <f t="shared" si="0"/>
        <v>GM-04-NA</v>
      </c>
      <c r="G19">
        <f>VLOOKUP(F19,teams!$A$2:$B$47,2,)</f>
        <v>2</v>
      </c>
    </row>
    <row r="20" spans="1:7" x14ac:dyDescent="0.15">
      <c r="A20" s="20" t="s">
        <v>18</v>
      </c>
      <c r="B20" s="20">
        <v>4</v>
      </c>
      <c r="C20" t="s">
        <v>21</v>
      </c>
      <c r="D20" t="s">
        <v>9</v>
      </c>
      <c r="E20">
        <v>0</v>
      </c>
      <c r="F20" s="23" t="str">
        <f t="shared" si="0"/>
        <v>GM-04-NA</v>
      </c>
      <c r="G20">
        <f>VLOOKUP(F20,teams!$A$2:$B$47,2,)</f>
        <v>2</v>
      </c>
    </row>
    <row r="21" spans="1:7" x14ac:dyDescent="0.15">
      <c r="A21" s="20" t="s">
        <v>18</v>
      </c>
      <c r="B21" s="20">
        <v>5</v>
      </c>
      <c r="C21" t="s">
        <v>22</v>
      </c>
      <c r="D21" t="s">
        <v>5</v>
      </c>
      <c r="E21">
        <v>0</v>
      </c>
      <c r="F21" s="23" t="str">
        <f t="shared" si="0"/>
        <v>GM-05-CTRL</v>
      </c>
      <c r="G21">
        <f>VLOOKUP(F21,teams!$A$2:$B$47,2,)</f>
        <v>1</v>
      </c>
    </row>
    <row r="22" spans="1:7" x14ac:dyDescent="0.15">
      <c r="A22" s="20" t="s">
        <v>18</v>
      </c>
      <c r="B22" s="20">
        <v>5</v>
      </c>
      <c r="C22" t="s">
        <v>22</v>
      </c>
      <c r="D22" t="s">
        <v>6</v>
      </c>
      <c r="E22">
        <v>0</v>
      </c>
      <c r="F22" s="23" t="str">
        <f t="shared" si="0"/>
        <v>GM-05-CTRL</v>
      </c>
      <c r="G22">
        <f>VLOOKUP(F22,teams!$A$2:$B$47,2,)</f>
        <v>1</v>
      </c>
    </row>
    <row r="23" spans="1:7" x14ac:dyDescent="0.15">
      <c r="A23" s="20" t="s">
        <v>18</v>
      </c>
      <c r="B23" s="20">
        <v>5</v>
      </c>
      <c r="C23" t="s">
        <v>22</v>
      </c>
      <c r="D23" t="s">
        <v>7</v>
      </c>
      <c r="E23">
        <v>0</v>
      </c>
      <c r="F23" s="23" t="str">
        <f t="shared" si="0"/>
        <v>GM-05-CTRL</v>
      </c>
      <c r="G23">
        <f>VLOOKUP(F23,teams!$A$2:$B$47,2,)</f>
        <v>1</v>
      </c>
    </row>
    <row r="24" spans="1:7" x14ac:dyDescent="0.15">
      <c r="A24" s="20" t="s">
        <v>18</v>
      </c>
      <c r="B24" s="20">
        <v>5</v>
      </c>
      <c r="C24" t="s">
        <v>22</v>
      </c>
      <c r="D24" t="s">
        <v>9</v>
      </c>
      <c r="E24">
        <v>0</v>
      </c>
      <c r="F24" s="23" t="str">
        <f t="shared" si="0"/>
        <v>GM-05-CTRL</v>
      </c>
      <c r="G24">
        <f>VLOOKUP(F24,teams!$A$2:$B$47,2,)</f>
        <v>1</v>
      </c>
    </row>
    <row r="25" spans="1:7" x14ac:dyDescent="0.15">
      <c r="A25" s="20" t="s">
        <v>18</v>
      </c>
      <c r="B25" s="20">
        <v>5</v>
      </c>
      <c r="C25" t="s">
        <v>23</v>
      </c>
      <c r="D25" t="s">
        <v>5</v>
      </c>
      <c r="E25">
        <v>8665.5599568707148</v>
      </c>
      <c r="F25" s="23" t="str">
        <f t="shared" si="0"/>
        <v>GM-05-EX</v>
      </c>
      <c r="G25">
        <f>VLOOKUP(F25,teams!$A$2:$B$47,2,)</f>
        <v>1</v>
      </c>
    </row>
    <row r="26" spans="1:7" x14ac:dyDescent="0.15">
      <c r="A26" s="20" t="s">
        <v>18</v>
      </c>
      <c r="B26" s="20">
        <v>5</v>
      </c>
      <c r="C26" t="s">
        <v>23</v>
      </c>
      <c r="D26" t="s">
        <v>6</v>
      </c>
      <c r="E26">
        <v>50623.243892390135</v>
      </c>
      <c r="F26" s="23" t="str">
        <f t="shared" si="0"/>
        <v>GM-05-EX</v>
      </c>
      <c r="G26">
        <f>VLOOKUP(F26,teams!$A$2:$B$47,2,)</f>
        <v>1</v>
      </c>
    </row>
    <row r="27" spans="1:7" x14ac:dyDescent="0.15">
      <c r="A27" s="20" t="s">
        <v>18</v>
      </c>
      <c r="B27" s="20">
        <v>5</v>
      </c>
      <c r="C27" t="s">
        <v>23</v>
      </c>
      <c r="D27" t="s">
        <v>7</v>
      </c>
      <c r="E27">
        <v>48049.777456824631</v>
      </c>
      <c r="F27" s="23" t="str">
        <f t="shared" si="0"/>
        <v>GM-05-EX</v>
      </c>
      <c r="G27">
        <f>VLOOKUP(F27,teams!$A$2:$B$47,2,)</f>
        <v>1</v>
      </c>
    </row>
    <row r="28" spans="1:7" x14ac:dyDescent="0.15">
      <c r="A28" s="20" t="s">
        <v>18</v>
      </c>
      <c r="B28" s="20">
        <v>6</v>
      </c>
      <c r="C28" t="s">
        <v>21</v>
      </c>
      <c r="D28" t="s">
        <v>5</v>
      </c>
      <c r="E28">
        <v>0</v>
      </c>
      <c r="F28" s="23" t="str">
        <f t="shared" si="0"/>
        <v>GM-06-NA</v>
      </c>
      <c r="G28">
        <f>VLOOKUP(F28,teams!$A$2:$B$47,2,)</f>
        <v>1</v>
      </c>
    </row>
    <row r="29" spans="1:7" x14ac:dyDescent="0.15">
      <c r="A29" s="20" t="s">
        <v>18</v>
      </c>
      <c r="B29" s="20">
        <v>6</v>
      </c>
      <c r="C29" t="s">
        <v>21</v>
      </c>
      <c r="D29" t="s">
        <v>6</v>
      </c>
      <c r="E29">
        <v>0</v>
      </c>
      <c r="F29" s="23" t="str">
        <f t="shared" si="0"/>
        <v>GM-06-NA</v>
      </c>
      <c r="G29">
        <f>VLOOKUP(F29,teams!$A$2:$B$47,2,)</f>
        <v>1</v>
      </c>
    </row>
    <row r="30" spans="1:7" x14ac:dyDescent="0.15">
      <c r="A30" s="20" t="s">
        <v>18</v>
      </c>
      <c r="B30" s="20">
        <v>6</v>
      </c>
      <c r="C30" t="s">
        <v>21</v>
      </c>
      <c r="D30" t="s">
        <v>7</v>
      </c>
      <c r="E30">
        <v>0</v>
      </c>
      <c r="F30" s="23" t="str">
        <f t="shared" si="0"/>
        <v>GM-06-NA</v>
      </c>
      <c r="G30">
        <f>VLOOKUP(F30,teams!$A$2:$B$47,2,)</f>
        <v>1</v>
      </c>
    </row>
    <row r="31" spans="1:7" x14ac:dyDescent="0.15">
      <c r="A31" s="20" t="s">
        <v>18</v>
      </c>
      <c r="B31" s="20">
        <v>6</v>
      </c>
      <c r="C31" t="s">
        <v>21</v>
      </c>
      <c r="D31" t="s">
        <v>9</v>
      </c>
      <c r="E31">
        <v>178775.89488984778</v>
      </c>
      <c r="F31" s="23" t="str">
        <f t="shared" si="0"/>
        <v>GM-06-NA</v>
      </c>
      <c r="G31">
        <f>VLOOKUP(F31,teams!$A$2:$B$47,2,)</f>
        <v>1</v>
      </c>
    </row>
    <row r="32" spans="1:7" x14ac:dyDescent="0.15">
      <c r="A32" s="20" t="s">
        <v>18</v>
      </c>
      <c r="B32" s="20">
        <v>7</v>
      </c>
      <c r="C32" t="s">
        <v>21</v>
      </c>
      <c r="D32" t="s">
        <v>5</v>
      </c>
      <c r="E32">
        <v>0</v>
      </c>
      <c r="F32" s="23" t="str">
        <f t="shared" si="0"/>
        <v>GM-07-NA</v>
      </c>
      <c r="G32">
        <f>VLOOKUP(F32,teams!$A$2:$B$47,2,)</f>
        <v>1</v>
      </c>
    </row>
    <row r="33" spans="1:7" x14ac:dyDescent="0.15">
      <c r="A33" s="20" t="s">
        <v>18</v>
      </c>
      <c r="B33" s="20">
        <v>7</v>
      </c>
      <c r="C33" t="s">
        <v>21</v>
      </c>
      <c r="D33" t="s">
        <v>6</v>
      </c>
      <c r="E33">
        <v>0</v>
      </c>
      <c r="F33" s="23" t="str">
        <f t="shared" si="0"/>
        <v>GM-07-NA</v>
      </c>
      <c r="G33">
        <f>VLOOKUP(F33,teams!$A$2:$B$47,2,)</f>
        <v>1</v>
      </c>
    </row>
    <row r="34" spans="1:7" x14ac:dyDescent="0.15">
      <c r="A34" s="20" t="s">
        <v>18</v>
      </c>
      <c r="B34" s="20">
        <v>7</v>
      </c>
      <c r="C34" t="s">
        <v>21</v>
      </c>
      <c r="D34" t="s">
        <v>7</v>
      </c>
      <c r="E34">
        <v>0</v>
      </c>
      <c r="F34" s="23" t="str">
        <f t="shared" si="0"/>
        <v>GM-07-NA</v>
      </c>
      <c r="G34">
        <f>VLOOKUP(F34,teams!$A$2:$B$47,2,)</f>
        <v>1</v>
      </c>
    </row>
    <row r="35" spans="1:7" x14ac:dyDescent="0.15">
      <c r="A35" s="20" t="s">
        <v>18</v>
      </c>
      <c r="B35" s="20">
        <v>7</v>
      </c>
      <c r="C35" t="s">
        <v>21</v>
      </c>
      <c r="D35" t="s">
        <v>9</v>
      </c>
      <c r="E35">
        <v>0</v>
      </c>
      <c r="F35" s="23" t="str">
        <f t="shared" si="0"/>
        <v>GM-07-NA</v>
      </c>
      <c r="G35">
        <f>VLOOKUP(F35,teams!$A$2:$B$47,2,)</f>
        <v>1</v>
      </c>
    </row>
    <row r="36" spans="1:7" x14ac:dyDescent="0.15">
      <c r="A36" s="20" t="s">
        <v>18</v>
      </c>
      <c r="B36" s="20">
        <v>8</v>
      </c>
      <c r="C36" t="s">
        <v>21</v>
      </c>
      <c r="D36" t="s">
        <v>5</v>
      </c>
      <c r="E36">
        <v>0</v>
      </c>
      <c r="F36" s="23" t="str">
        <f t="shared" si="0"/>
        <v>GM-08-NA</v>
      </c>
      <c r="G36">
        <f>VLOOKUP(F36,teams!$A$2:$B$47,2,)</f>
        <v>1</v>
      </c>
    </row>
    <row r="37" spans="1:7" x14ac:dyDescent="0.15">
      <c r="A37" s="20" t="s">
        <v>18</v>
      </c>
      <c r="B37" s="20">
        <v>8</v>
      </c>
      <c r="C37" t="s">
        <v>21</v>
      </c>
      <c r="D37" t="s">
        <v>6</v>
      </c>
      <c r="E37">
        <v>70986.245957016159</v>
      </c>
      <c r="F37" s="23" t="str">
        <f t="shared" si="0"/>
        <v>GM-08-NA</v>
      </c>
      <c r="G37">
        <f>VLOOKUP(F37,teams!$A$2:$B$47,2,)</f>
        <v>1</v>
      </c>
    </row>
    <row r="38" spans="1:7" x14ac:dyDescent="0.15">
      <c r="A38" s="20" t="s">
        <v>18</v>
      </c>
      <c r="B38" s="20">
        <v>8</v>
      </c>
      <c r="C38" t="s">
        <v>21</v>
      </c>
      <c r="D38" t="s">
        <v>7</v>
      </c>
      <c r="E38">
        <v>0</v>
      </c>
      <c r="F38" s="23" t="str">
        <f t="shared" si="0"/>
        <v>GM-08-NA</v>
      </c>
      <c r="G38">
        <f>VLOOKUP(F38,teams!$A$2:$B$47,2,)</f>
        <v>1</v>
      </c>
    </row>
    <row r="39" spans="1:7" x14ac:dyDescent="0.15">
      <c r="A39" s="20" t="s">
        <v>18</v>
      </c>
      <c r="B39" s="20">
        <v>8</v>
      </c>
      <c r="C39" t="s">
        <v>21</v>
      </c>
      <c r="D39" t="s">
        <v>9</v>
      </c>
      <c r="E39">
        <v>0</v>
      </c>
      <c r="F39" s="23" t="str">
        <f t="shared" si="0"/>
        <v>GM-08-NA</v>
      </c>
      <c r="G39">
        <f>VLOOKUP(F39,teams!$A$2:$B$47,2,)</f>
        <v>1</v>
      </c>
    </row>
    <row r="40" spans="1:7" x14ac:dyDescent="0.15">
      <c r="A40" s="20" t="s">
        <v>18</v>
      </c>
      <c r="B40" s="20">
        <v>9</v>
      </c>
      <c r="C40" t="s">
        <v>21</v>
      </c>
      <c r="D40" t="s">
        <v>5</v>
      </c>
      <c r="E40">
        <v>0</v>
      </c>
      <c r="F40" s="23" t="str">
        <f t="shared" si="0"/>
        <v>GM-09-NA</v>
      </c>
      <c r="G40">
        <f>VLOOKUP(F40,teams!$A$2:$B$47,2,)</f>
        <v>2</v>
      </c>
    </row>
    <row r="41" spans="1:7" x14ac:dyDescent="0.15">
      <c r="A41" s="20" t="s">
        <v>18</v>
      </c>
      <c r="B41" s="20">
        <v>9</v>
      </c>
      <c r="C41" t="s">
        <v>21</v>
      </c>
      <c r="D41" t="s">
        <v>6</v>
      </c>
      <c r="E41">
        <v>0</v>
      </c>
      <c r="F41" s="23" t="str">
        <f t="shared" si="0"/>
        <v>GM-09-NA</v>
      </c>
      <c r="G41">
        <f>VLOOKUP(F41,teams!$A$2:$B$47,2,)</f>
        <v>2</v>
      </c>
    </row>
    <row r="42" spans="1:7" x14ac:dyDescent="0.15">
      <c r="A42" s="20" t="s">
        <v>18</v>
      </c>
      <c r="B42" s="20">
        <v>9</v>
      </c>
      <c r="C42" t="s">
        <v>21</v>
      </c>
      <c r="D42" t="s">
        <v>7</v>
      </c>
      <c r="E42">
        <v>0</v>
      </c>
      <c r="F42" s="23" t="str">
        <f t="shared" si="0"/>
        <v>GM-09-NA</v>
      </c>
      <c r="G42">
        <f>VLOOKUP(F42,teams!$A$2:$B$47,2,)</f>
        <v>2</v>
      </c>
    </row>
    <row r="43" spans="1:7" x14ac:dyDescent="0.15">
      <c r="A43" s="20" t="s">
        <v>18</v>
      </c>
      <c r="B43" s="20">
        <v>9</v>
      </c>
      <c r="C43" t="s">
        <v>21</v>
      </c>
      <c r="D43" t="s">
        <v>9</v>
      </c>
      <c r="E43">
        <v>0</v>
      </c>
      <c r="F43" s="23" t="str">
        <f t="shared" si="0"/>
        <v>GM-09-NA</v>
      </c>
      <c r="G43">
        <f>VLOOKUP(F43,teams!$A$2:$B$47,2,)</f>
        <v>2</v>
      </c>
    </row>
    <row r="44" spans="1:7" x14ac:dyDescent="0.15">
      <c r="A44" s="20" t="s">
        <v>18</v>
      </c>
      <c r="B44" s="20">
        <v>10</v>
      </c>
      <c r="C44" t="s">
        <v>21</v>
      </c>
      <c r="D44" t="s">
        <v>5</v>
      </c>
      <c r="E44">
        <v>0</v>
      </c>
      <c r="F44" s="23" t="str">
        <f t="shared" si="0"/>
        <v>GM-10-NA</v>
      </c>
      <c r="G44">
        <f>VLOOKUP(F44,teams!$A$2:$B$47,2,)</f>
        <v>2</v>
      </c>
    </row>
    <row r="45" spans="1:7" x14ac:dyDescent="0.15">
      <c r="A45" s="20" t="s">
        <v>18</v>
      </c>
      <c r="B45" s="20">
        <v>10</v>
      </c>
      <c r="C45" t="s">
        <v>21</v>
      </c>
      <c r="D45" t="s">
        <v>6</v>
      </c>
      <c r="E45">
        <v>0</v>
      </c>
      <c r="F45" s="23" t="str">
        <f t="shared" si="0"/>
        <v>GM-10-NA</v>
      </c>
      <c r="G45">
        <f>VLOOKUP(F45,teams!$A$2:$B$47,2,)</f>
        <v>2</v>
      </c>
    </row>
    <row r="46" spans="1:7" x14ac:dyDescent="0.15">
      <c r="A46" s="20" t="s">
        <v>18</v>
      </c>
      <c r="B46" s="20">
        <v>10</v>
      </c>
      <c r="C46" t="s">
        <v>21</v>
      </c>
      <c r="D46" t="s">
        <v>7</v>
      </c>
      <c r="E46">
        <v>0</v>
      </c>
      <c r="F46" s="23" t="str">
        <f t="shared" si="0"/>
        <v>GM-10-NA</v>
      </c>
      <c r="G46">
        <f>VLOOKUP(F46,teams!$A$2:$B$47,2,)</f>
        <v>2</v>
      </c>
    </row>
    <row r="47" spans="1:7" x14ac:dyDescent="0.15">
      <c r="A47" s="20" t="s">
        <v>18</v>
      </c>
      <c r="B47" s="20">
        <v>10</v>
      </c>
      <c r="C47" t="s">
        <v>21</v>
      </c>
      <c r="D47" t="s">
        <v>9</v>
      </c>
      <c r="E47">
        <v>0</v>
      </c>
      <c r="F47" s="23" t="str">
        <f t="shared" si="0"/>
        <v>GM-10-NA</v>
      </c>
      <c r="G47">
        <f>VLOOKUP(F47,teams!$A$2:$B$47,2,)</f>
        <v>2</v>
      </c>
    </row>
    <row r="48" spans="1:7" x14ac:dyDescent="0.15">
      <c r="A48" s="20" t="s">
        <v>18</v>
      </c>
      <c r="B48" s="20">
        <v>11</v>
      </c>
      <c r="C48" t="s">
        <v>21</v>
      </c>
      <c r="D48" t="s">
        <v>5</v>
      </c>
      <c r="E48">
        <v>0</v>
      </c>
      <c r="F48" s="23" t="str">
        <f t="shared" si="0"/>
        <v>GM-11-NA</v>
      </c>
      <c r="G48">
        <f>VLOOKUP(F48,teams!$A$2:$B$47,2,)</f>
        <v>2</v>
      </c>
    </row>
    <row r="49" spans="1:7" x14ac:dyDescent="0.15">
      <c r="A49" s="20" t="s">
        <v>18</v>
      </c>
      <c r="B49" s="20">
        <v>11</v>
      </c>
      <c r="C49" t="s">
        <v>21</v>
      </c>
      <c r="D49" t="s">
        <v>6</v>
      </c>
      <c r="E49">
        <v>0</v>
      </c>
      <c r="F49" s="23" t="str">
        <f t="shared" si="0"/>
        <v>GM-11-NA</v>
      </c>
      <c r="G49">
        <f>VLOOKUP(F49,teams!$A$2:$B$47,2,)</f>
        <v>2</v>
      </c>
    </row>
    <row r="50" spans="1:7" x14ac:dyDescent="0.15">
      <c r="A50" s="20" t="s">
        <v>18</v>
      </c>
      <c r="B50" s="20">
        <v>11</v>
      </c>
      <c r="C50" t="s">
        <v>21</v>
      </c>
      <c r="D50" t="s">
        <v>7</v>
      </c>
      <c r="E50">
        <v>0</v>
      </c>
      <c r="F50" s="23" t="str">
        <f t="shared" si="0"/>
        <v>GM-11-NA</v>
      </c>
      <c r="G50">
        <f>VLOOKUP(F50,teams!$A$2:$B$47,2,)</f>
        <v>2</v>
      </c>
    </row>
    <row r="51" spans="1:7" x14ac:dyDescent="0.15">
      <c r="A51" s="20" t="s">
        <v>18</v>
      </c>
      <c r="B51" s="20">
        <v>11</v>
      </c>
      <c r="C51" t="s">
        <v>21</v>
      </c>
      <c r="D51" t="s">
        <v>9</v>
      </c>
      <c r="E51">
        <v>31484.12360460695</v>
      </c>
      <c r="F51" s="23" t="str">
        <f t="shared" si="0"/>
        <v>GM-11-NA</v>
      </c>
      <c r="G51">
        <f>VLOOKUP(F51,teams!$A$2:$B$47,2,)</f>
        <v>2</v>
      </c>
    </row>
    <row r="52" spans="1:7" x14ac:dyDescent="0.15">
      <c r="A52" s="20" t="s">
        <v>18</v>
      </c>
      <c r="B52" s="20">
        <v>12</v>
      </c>
      <c r="C52" t="s">
        <v>21</v>
      </c>
      <c r="D52" t="s">
        <v>5</v>
      </c>
      <c r="E52">
        <v>0</v>
      </c>
      <c r="F52" s="23" t="str">
        <f t="shared" si="0"/>
        <v>GM-12-NA</v>
      </c>
      <c r="G52">
        <f>VLOOKUP(F52,teams!$A$2:$B$47,2,)</f>
        <v>2</v>
      </c>
    </row>
    <row r="53" spans="1:7" x14ac:dyDescent="0.15">
      <c r="A53" s="20" t="s">
        <v>18</v>
      </c>
      <c r="B53" s="20">
        <v>12</v>
      </c>
      <c r="C53" t="s">
        <v>21</v>
      </c>
      <c r="D53" t="s">
        <v>6</v>
      </c>
      <c r="E53">
        <v>0</v>
      </c>
      <c r="F53" s="23" t="str">
        <f t="shared" si="0"/>
        <v>GM-12-NA</v>
      </c>
      <c r="G53">
        <f>VLOOKUP(F53,teams!$A$2:$B$47,2,)</f>
        <v>2</v>
      </c>
    </row>
    <row r="54" spans="1:7" x14ac:dyDescent="0.15">
      <c r="A54" s="20" t="s">
        <v>18</v>
      </c>
      <c r="B54" s="20">
        <v>12</v>
      </c>
      <c r="C54" t="s">
        <v>21</v>
      </c>
      <c r="D54" t="s">
        <v>7</v>
      </c>
      <c r="E54">
        <v>0</v>
      </c>
      <c r="F54" s="23" t="str">
        <f t="shared" si="0"/>
        <v>GM-12-NA</v>
      </c>
      <c r="G54">
        <f>VLOOKUP(F54,teams!$A$2:$B$47,2,)</f>
        <v>2</v>
      </c>
    </row>
    <row r="55" spans="1:7" x14ac:dyDescent="0.15">
      <c r="A55" s="20" t="s">
        <v>18</v>
      </c>
      <c r="B55" s="20">
        <v>12</v>
      </c>
      <c r="C55" t="s">
        <v>21</v>
      </c>
      <c r="D55" t="s">
        <v>9</v>
      </c>
      <c r="E55">
        <v>0</v>
      </c>
      <c r="F55" s="23" t="str">
        <f t="shared" si="0"/>
        <v>GM-12-NA</v>
      </c>
      <c r="G55">
        <f>VLOOKUP(F55,teams!$A$2:$B$47,2,)</f>
        <v>2</v>
      </c>
    </row>
    <row r="56" spans="1:7" x14ac:dyDescent="0.15">
      <c r="A56" s="20" t="s">
        <v>18</v>
      </c>
      <c r="B56" s="20">
        <v>13</v>
      </c>
      <c r="C56" t="s">
        <v>22</v>
      </c>
      <c r="D56" t="s">
        <v>5</v>
      </c>
      <c r="E56">
        <v>80795.387928872602</v>
      </c>
      <c r="F56" s="23" t="str">
        <f t="shared" si="0"/>
        <v>GM-13-CTRL</v>
      </c>
      <c r="G56">
        <f>VLOOKUP(F56,teams!$A$2:$B$47,2,)</f>
        <v>2</v>
      </c>
    </row>
    <row r="57" spans="1:7" x14ac:dyDescent="0.15">
      <c r="A57" s="20" t="s">
        <v>18</v>
      </c>
      <c r="B57" s="20">
        <v>13</v>
      </c>
      <c r="C57" t="s">
        <v>22</v>
      </c>
      <c r="D57" t="s">
        <v>6</v>
      </c>
      <c r="E57">
        <v>1161040.5124343741</v>
      </c>
      <c r="F57" s="23" t="str">
        <f t="shared" si="0"/>
        <v>GM-13-CTRL</v>
      </c>
      <c r="G57">
        <f>VLOOKUP(F57,teams!$A$2:$B$47,2,)</f>
        <v>2</v>
      </c>
    </row>
    <row r="58" spans="1:7" x14ac:dyDescent="0.15">
      <c r="A58" s="20" t="s">
        <v>18</v>
      </c>
      <c r="B58" s="20">
        <v>13</v>
      </c>
      <c r="C58" t="s">
        <v>22</v>
      </c>
      <c r="D58" t="s">
        <v>7</v>
      </c>
      <c r="E58">
        <v>1115802.3021377169</v>
      </c>
      <c r="F58" s="23" t="str">
        <f t="shared" si="0"/>
        <v>GM-13-CTRL</v>
      </c>
      <c r="G58">
        <f>VLOOKUP(F58,teams!$A$2:$B$47,2,)</f>
        <v>2</v>
      </c>
    </row>
    <row r="59" spans="1:7" x14ac:dyDescent="0.15">
      <c r="A59" s="20" t="s">
        <v>18</v>
      </c>
      <c r="B59" s="20">
        <v>13</v>
      </c>
      <c r="C59" t="s">
        <v>22</v>
      </c>
      <c r="D59" t="s">
        <v>9</v>
      </c>
      <c r="E59">
        <v>539413.49529946526</v>
      </c>
      <c r="F59" s="23" t="str">
        <f t="shared" si="0"/>
        <v>GM-13-CTRL</v>
      </c>
      <c r="G59">
        <f>VLOOKUP(F59,teams!$A$2:$B$47,2,)</f>
        <v>2</v>
      </c>
    </row>
    <row r="60" spans="1:7" x14ac:dyDescent="0.15">
      <c r="A60" s="20" t="s">
        <v>18</v>
      </c>
      <c r="B60" s="20">
        <v>13</v>
      </c>
      <c r="C60" t="s">
        <v>23</v>
      </c>
      <c r="D60" t="s">
        <v>5</v>
      </c>
      <c r="E60">
        <v>118383.47870750439</v>
      </c>
      <c r="F60" s="23" t="str">
        <f t="shared" si="0"/>
        <v>GM-13-EX</v>
      </c>
      <c r="G60">
        <f>VLOOKUP(F60,teams!$A$2:$B$47,2,)</f>
        <v>2</v>
      </c>
    </row>
    <row r="61" spans="1:7" x14ac:dyDescent="0.15">
      <c r="A61" s="20" t="s">
        <v>18</v>
      </c>
      <c r="B61" s="20">
        <v>13</v>
      </c>
      <c r="C61" t="s">
        <v>23</v>
      </c>
      <c r="D61" t="s">
        <v>6</v>
      </c>
      <c r="E61">
        <v>221176.34068629731</v>
      </c>
      <c r="F61" s="23" t="str">
        <f t="shared" si="0"/>
        <v>GM-13-EX</v>
      </c>
      <c r="G61">
        <f>VLOOKUP(F61,teams!$A$2:$B$47,2,)</f>
        <v>2</v>
      </c>
    </row>
    <row r="62" spans="1:7" x14ac:dyDescent="0.15">
      <c r="A62" s="20" t="s">
        <v>18</v>
      </c>
      <c r="B62" s="20">
        <v>13</v>
      </c>
      <c r="C62" t="s">
        <v>23</v>
      </c>
      <c r="D62" t="s">
        <v>7</v>
      </c>
      <c r="E62">
        <v>0</v>
      </c>
      <c r="F62" s="23" t="str">
        <f t="shared" si="0"/>
        <v>GM-13-EX</v>
      </c>
      <c r="G62">
        <f>VLOOKUP(F62,teams!$A$2:$B$47,2,)</f>
        <v>2</v>
      </c>
    </row>
    <row r="63" spans="1:7" x14ac:dyDescent="0.15">
      <c r="A63" s="20" t="s">
        <v>18</v>
      </c>
      <c r="B63" s="20">
        <v>14</v>
      </c>
      <c r="C63" t="s">
        <v>21</v>
      </c>
      <c r="D63" t="s">
        <v>5</v>
      </c>
      <c r="E63">
        <v>164302.4046690806</v>
      </c>
      <c r="F63" s="23" t="str">
        <f t="shared" si="0"/>
        <v>GM-14-NA</v>
      </c>
      <c r="G63">
        <f>VLOOKUP(F63,teams!$A$2:$B$47,2,)</f>
        <v>1</v>
      </c>
    </row>
    <row r="64" spans="1:7" x14ac:dyDescent="0.15">
      <c r="A64" s="20" t="s">
        <v>18</v>
      </c>
      <c r="B64" s="20">
        <v>14</v>
      </c>
      <c r="C64" t="s">
        <v>21</v>
      </c>
      <c r="D64" t="s">
        <v>6</v>
      </c>
      <c r="E64">
        <v>56848.656897273453</v>
      </c>
      <c r="F64" s="23" t="str">
        <f t="shared" si="0"/>
        <v>GM-14-NA</v>
      </c>
      <c r="G64">
        <f>VLOOKUP(F64,teams!$A$2:$B$47,2,)</f>
        <v>1</v>
      </c>
    </row>
    <row r="65" spans="1:7" x14ac:dyDescent="0.15">
      <c r="A65" s="20" t="s">
        <v>18</v>
      </c>
      <c r="B65" s="20">
        <v>14</v>
      </c>
      <c r="C65" t="s">
        <v>21</v>
      </c>
      <c r="D65" t="s">
        <v>7</v>
      </c>
      <c r="E65">
        <v>88521.087832157529</v>
      </c>
      <c r="F65" s="23" t="str">
        <f t="shared" si="0"/>
        <v>GM-14-NA</v>
      </c>
      <c r="G65">
        <f>VLOOKUP(F65,teams!$A$2:$B$47,2,)</f>
        <v>1</v>
      </c>
    </row>
    <row r="66" spans="1:7" x14ac:dyDescent="0.15">
      <c r="A66" s="20" t="s">
        <v>18</v>
      </c>
      <c r="B66" s="20">
        <v>14</v>
      </c>
      <c r="C66" t="s">
        <v>21</v>
      </c>
      <c r="D66" t="s">
        <v>9</v>
      </c>
      <c r="E66">
        <v>109242.00838955432</v>
      </c>
      <c r="F66" s="23" t="str">
        <f t="shared" si="0"/>
        <v>GM-14-NA</v>
      </c>
      <c r="G66">
        <f>VLOOKUP(F66,teams!$A$2:$B$47,2,)</f>
        <v>1</v>
      </c>
    </row>
    <row r="67" spans="1:7" x14ac:dyDescent="0.15">
      <c r="A67" s="20" t="s">
        <v>18</v>
      </c>
      <c r="B67" s="20">
        <v>15</v>
      </c>
      <c r="C67" t="s">
        <v>21</v>
      </c>
      <c r="D67" t="s">
        <v>5</v>
      </c>
      <c r="E67">
        <v>54246.84167641605</v>
      </c>
      <c r="F67" s="23" t="str">
        <f t="shared" ref="F67:F130" si="1">A67&amp;"-"&amp;TEXT(B67,"0#")&amp;"-"&amp;C67</f>
        <v>GM-15-NA</v>
      </c>
      <c r="G67">
        <f>VLOOKUP(F67,teams!$A$2:$B$47,2,)</f>
        <v>1</v>
      </c>
    </row>
    <row r="68" spans="1:7" x14ac:dyDescent="0.15">
      <c r="A68" s="20" t="s">
        <v>18</v>
      </c>
      <c r="B68" s="20">
        <v>15</v>
      </c>
      <c r="C68" t="s">
        <v>21</v>
      </c>
      <c r="D68" t="s">
        <v>6</v>
      </c>
      <c r="E68">
        <v>119519.31982910133</v>
      </c>
      <c r="F68" s="23" t="str">
        <f t="shared" si="1"/>
        <v>GM-15-NA</v>
      </c>
      <c r="G68">
        <f>VLOOKUP(F68,teams!$A$2:$B$47,2,)</f>
        <v>1</v>
      </c>
    </row>
    <row r="69" spans="1:7" x14ac:dyDescent="0.15">
      <c r="A69" s="20" t="s">
        <v>18</v>
      </c>
      <c r="B69" s="20">
        <v>15</v>
      </c>
      <c r="C69" t="s">
        <v>21</v>
      </c>
      <c r="D69" t="s">
        <v>7</v>
      </c>
      <c r="E69">
        <v>4251.700983909227</v>
      </c>
      <c r="F69" s="23" t="str">
        <f t="shared" si="1"/>
        <v>GM-15-NA</v>
      </c>
      <c r="G69">
        <f>VLOOKUP(F69,teams!$A$2:$B$47,2,)</f>
        <v>1</v>
      </c>
    </row>
    <row r="70" spans="1:7" x14ac:dyDescent="0.15">
      <c r="A70" s="20" t="s">
        <v>18</v>
      </c>
      <c r="B70" s="20">
        <v>15</v>
      </c>
      <c r="C70" t="s">
        <v>21</v>
      </c>
      <c r="D70" t="s">
        <v>9</v>
      </c>
      <c r="E70">
        <v>0</v>
      </c>
      <c r="F70" s="23" t="str">
        <f t="shared" si="1"/>
        <v>GM-15-NA</v>
      </c>
      <c r="G70">
        <f>VLOOKUP(F70,teams!$A$2:$B$47,2,)</f>
        <v>1</v>
      </c>
    </row>
    <row r="71" spans="1:7" x14ac:dyDescent="0.15">
      <c r="A71" s="20" t="s">
        <v>18</v>
      </c>
      <c r="B71" s="20">
        <v>16</v>
      </c>
      <c r="C71" t="s">
        <v>21</v>
      </c>
      <c r="D71" t="s">
        <v>5</v>
      </c>
      <c r="E71">
        <v>103454.06855539128</v>
      </c>
      <c r="F71" s="23" t="str">
        <f t="shared" si="1"/>
        <v>GM-16-NA</v>
      </c>
      <c r="G71">
        <f>VLOOKUP(F71,teams!$A$2:$B$47,2,)</f>
        <v>1</v>
      </c>
    </row>
    <row r="72" spans="1:7" x14ac:dyDescent="0.15">
      <c r="A72" s="20" t="s">
        <v>18</v>
      </c>
      <c r="B72" s="20">
        <v>16</v>
      </c>
      <c r="C72" t="s">
        <v>21</v>
      </c>
      <c r="D72" t="s">
        <v>6</v>
      </c>
      <c r="E72">
        <v>134437.8412818494</v>
      </c>
      <c r="F72" s="23" t="str">
        <f t="shared" si="1"/>
        <v>GM-16-NA</v>
      </c>
      <c r="G72">
        <f>VLOOKUP(F72,teams!$A$2:$B$47,2,)</f>
        <v>1</v>
      </c>
    </row>
    <row r="73" spans="1:7" x14ac:dyDescent="0.15">
      <c r="A73" s="20" t="s">
        <v>18</v>
      </c>
      <c r="B73" s="20">
        <v>16</v>
      </c>
      <c r="C73" t="s">
        <v>21</v>
      </c>
      <c r="D73" t="s">
        <v>7</v>
      </c>
      <c r="E73">
        <v>171035.86327634033</v>
      </c>
      <c r="F73" s="23" t="str">
        <f t="shared" si="1"/>
        <v>GM-16-NA</v>
      </c>
      <c r="G73">
        <f>VLOOKUP(F73,teams!$A$2:$B$47,2,)</f>
        <v>1</v>
      </c>
    </row>
    <row r="74" spans="1:7" x14ac:dyDescent="0.15">
      <c r="A74" s="20" t="s">
        <v>18</v>
      </c>
      <c r="B74" s="20">
        <v>16</v>
      </c>
      <c r="C74" t="s">
        <v>21</v>
      </c>
      <c r="D74" t="s">
        <v>9</v>
      </c>
      <c r="E74">
        <v>126609.07999980845</v>
      </c>
      <c r="F74" s="23" t="str">
        <f t="shared" si="1"/>
        <v>GM-16-NA</v>
      </c>
      <c r="G74">
        <f>VLOOKUP(F74,teams!$A$2:$B$47,2,)</f>
        <v>1</v>
      </c>
    </row>
    <row r="75" spans="1:7" x14ac:dyDescent="0.15">
      <c r="A75" s="20" t="s">
        <v>18</v>
      </c>
      <c r="B75" s="20">
        <v>17</v>
      </c>
      <c r="C75" t="s">
        <v>21</v>
      </c>
      <c r="D75" t="s">
        <v>5</v>
      </c>
      <c r="E75">
        <v>7277.9288920837635</v>
      </c>
      <c r="F75" s="23" t="str">
        <f t="shared" si="1"/>
        <v>GM-17-NA</v>
      </c>
      <c r="G75">
        <f>VLOOKUP(F75,teams!$A$2:$B$47,2,)</f>
        <v>2</v>
      </c>
    </row>
    <row r="76" spans="1:7" x14ac:dyDescent="0.15">
      <c r="A76" s="20" t="s">
        <v>18</v>
      </c>
      <c r="B76" s="20">
        <v>17</v>
      </c>
      <c r="C76" t="s">
        <v>21</v>
      </c>
      <c r="D76" t="s">
        <v>6</v>
      </c>
      <c r="E76">
        <v>13330.481049262751</v>
      </c>
      <c r="F76" s="23" t="str">
        <f t="shared" si="1"/>
        <v>GM-17-NA</v>
      </c>
      <c r="G76">
        <f>VLOOKUP(F76,teams!$A$2:$B$47,2,)</f>
        <v>2</v>
      </c>
    </row>
    <row r="77" spans="1:7" x14ac:dyDescent="0.15">
      <c r="A77" s="20" t="s">
        <v>18</v>
      </c>
      <c r="B77" s="20">
        <v>17</v>
      </c>
      <c r="C77" t="s">
        <v>21</v>
      </c>
      <c r="D77" t="s">
        <v>7</v>
      </c>
      <c r="E77">
        <v>71164.958148501144</v>
      </c>
      <c r="F77" s="23" t="str">
        <f t="shared" si="1"/>
        <v>GM-17-NA</v>
      </c>
      <c r="G77">
        <f>VLOOKUP(F77,teams!$A$2:$B$47,2,)</f>
        <v>2</v>
      </c>
    </row>
    <row r="78" spans="1:7" x14ac:dyDescent="0.15">
      <c r="A78" s="20" t="s">
        <v>18</v>
      </c>
      <c r="B78" s="20">
        <v>17</v>
      </c>
      <c r="C78" t="s">
        <v>21</v>
      </c>
      <c r="D78" t="s">
        <v>9</v>
      </c>
      <c r="E78">
        <v>28096.982060547769</v>
      </c>
      <c r="F78" s="23" t="str">
        <f t="shared" si="1"/>
        <v>GM-17-NA</v>
      </c>
      <c r="G78">
        <f>VLOOKUP(F78,teams!$A$2:$B$47,2,)</f>
        <v>2</v>
      </c>
    </row>
    <row r="79" spans="1:7" x14ac:dyDescent="0.15">
      <c r="A79" s="20" t="s">
        <v>18</v>
      </c>
      <c r="B79" s="20">
        <v>18</v>
      </c>
      <c r="C79" t="s">
        <v>21</v>
      </c>
      <c r="D79" t="s">
        <v>5</v>
      </c>
      <c r="E79">
        <v>81926.982800862417</v>
      </c>
      <c r="F79" s="23" t="str">
        <f t="shared" si="1"/>
        <v>GM-18-NA</v>
      </c>
      <c r="G79">
        <f>VLOOKUP(F79,teams!$A$2:$B$47,2,)</f>
        <v>1</v>
      </c>
    </row>
    <row r="80" spans="1:7" x14ac:dyDescent="0.15">
      <c r="A80" s="20" t="s">
        <v>18</v>
      </c>
      <c r="B80" s="20">
        <v>18</v>
      </c>
      <c r="C80" t="s">
        <v>21</v>
      </c>
      <c r="D80" t="s">
        <v>6</v>
      </c>
      <c r="E80">
        <v>192509.81943769936</v>
      </c>
      <c r="F80" s="23" t="str">
        <f t="shared" si="1"/>
        <v>GM-18-NA</v>
      </c>
      <c r="G80">
        <f>VLOOKUP(F80,teams!$A$2:$B$47,2,)</f>
        <v>1</v>
      </c>
    </row>
    <row r="81" spans="1:7" x14ac:dyDescent="0.15">
      <c r="A81" s="20" t="s">
        <v>18</v>
      </c>
      <c r="B81" s="20">
        <v>18</v>
      </c>
      <c r="C81" t="s">
        <v>21</v>
      </c>
      <c r="D81" t="s">
        <v>7</v>
      </c>
      <c r="E81">
        <v>512952.4162167937</v>
      </c>
      <c r="F81" s="23" t="str">
        <f t="shared" si="1"/>
        <v>GM-18-NA</v>
      </c>
      <c r="G81">
        <f>VLOOKUP(F81,teams!$A$2:$B$47,2,)</f>
        <v>1</v>
      </c>
    </row>
    <row r="82" spans="1:7" x14ac:dyDescent="0.15">
      <c r="A82" s="20" t="s">
        <v>18</v>
      </c>
      <c r="B82" s="20">
        <v>18</v>
      </c>
      <c r="C82" t="s">
        <v>21</v>
      </c>
      <c r="D82" t="s">
        <v>9</v>
      </c>
      <c r="E82">
        <v>127661.86624855662</v>
      </c>
      <c r="F82" s="23" t="str">
        <f t="shared" si="1"/>
        <v>GM-18-NA</v>
      </c>
      <c r="G82">
        <f>VLOOKUP(F82,teams!$A$2:$B$47,2,)</f>
        <v>1</v>
      </c>
    </row>
    <row r="83" spans="1:7" x14ac:dyDescent="0.15">
      <c r="A83" s="20" t="s">
        <v>18</v>
      </c>
      <c r="B83" s="20">
        <v>35</v>
      </c>
      <c r="C83" t="s">
        <v>21</v>
      </c>
      <c r="D83" t="s">
        <v>5</v>
      </c>
      <c r="E83">
        <v>11934.90316988861</v>
      </c>
      <c r="F83" s="23" t="str">
        <f t="shared" si="1"/>
        <v>GM-35-NA</v>
      </c>
      <c r="G83">
        <f>VLOOKUP(F83,teams!$A$2:$B$47,2,)</f>
        <v>2</v>
      </c>
    </row>
    <row r="84" spans="1:7" x14ac:dyDescent="0.15">
      <c r="A84" s="20" t="s">
        <v>18</v>
      </c>
      <c r="B84" s="20">
        <v>35</v>
      </c>
      <c r="C84" t="s">
        <v>21</v>
      </c>
      <c r="D84" t="s">
        <v>6</v>
      </c>
      <c r="E84">
        <v>101140.24535373019</v>
      </c>
      <c r="F84" s="23" t="str">
        <f t="shared" si="1"/>
        <v>GM-35-NA</v>
      </c>
      <c r="G84">
        <f>VLOOKUP(F84,teams!$A$2:$B$47,2,)</f>
        <v>2</v>
      </c>
    </row>
    <row r="85" spans="1:7" x14ac:dyDescent="0.15">
      <c r="A85" s="20" t="s">
        <v>18</v>
      </c>
      <c r="B85" s="20">
        <v>35</v>
      </c>
      <c r="C85" t="s">
        <v>21</v>
      </c>
      <c r="D85" t="s">
        <v>7</v>
      </c>
      <c r="E85">
        <v>5463.3466494413788</v>
      </c>
      <c r="F85" s="23" t="str">
        <f t="shared" si="1"/>
        <v>GM-35-NA</v>
      </c>
      <c r="G85">
        <f>VLOOKUP(F85,teams!$A$2:$B$47,2,)</f>
        <v>2</v>
      </c>
    </row>
    <row r="86" spans="1:7" x14ac:dyDescent="0.15">
      <c r="A86" s="20" t="s">
        <v>18</v>
      </c>
      <c r="B86" s="20">
        <v>35</v>
      </c>
      <c r="C86" t="s">
        <v>21</v>
      </c>
      <c r="D86" t="s">
        <v>9</v>
      </c>
      <c r="E86">
        <v>0</v>
      </c>
      <c r="F86" s="23" t="str">
        <f t="shared" si="1"/>
        <v>GM-35-NA</v>
      </c>
      <c r="G86">
        <f>VLOOKUP(F86,teams!$A$2:$B$47,2,)</f>
        <v>2</v>
      </c>
    </row>
    <row r="87" spans="1:7" x14ac:dyDescent="0.15">
      <c r="A87" s="20" t="s">
        <v>18</v>
      </c>
      <c r="B87" s="20">
        <v>36</v>
      </c>
      <c r="C87" t="s">
        <v>21</v>
      </c>
      <c r="D87" t="s">
        <v>5</v>
      </c>
      <c r="E87">
        <v>61407.577867885935</v>
      </c>
      <c r="F87" s="23" t="str">
        <f t="shared" si="1"/>
        <v>GM-36-NA</v>
      </c>
      <c r="G87">
        <f>VLOOKUP(F87,teams!$A$2:$B$47,2,)</f>
        <v>1</v>
      </c>
    </row>
    <row r="88" spans="1:7" x14ac:dyDescent="0.15">
      <c r="A88" s="20" t="s">
        <v>18</v>
      </c>
      <c r="B88" s="20">
        <v>36</v>
      </c>
      <c r="C88" t="s">
        <v>21</v>
      </c>
      <c r="D88" t="s">
        <v>6</v>
      </c>
      <c r="E88">
        <v>0</v>
      </c>
      <c r="F88" s="23" t="str">
        <f t="shared" si="1"/>
        <v>GM-36-NA</v>
      </c>
      <c r="G88">
        <f>VLOOKUP(F88,teams!$A$2:$B$47,2,)</f>
        <v>1</v>
      </c>
    </row>
    <row r="89" spans="1:7" x14ac:dyDescent="0.15">
      <c r="A89" s="20" t="s">
        <v>18</v>
      </c>
      <c r="B89" s="20">
        <v>36</v>
      </c>
      <c r="C89" t="s">
        <v>21</v>
      </c>
      <c r="D89" t="s">
        <v>7</v>
      </c>
      <c r="E89">
        <v>75584.13355066537</v>
      </c>
      <c r="F89" s="23" t="str">
        <f t="shared" si="1"/>
        <v>GM-36-NA</v>
      </c>
      <c r="G89">
        <f>VLOOKUP(F89,teams!$A$2:$B$47,2,)</f>
        <v>1</v>
      </c>
    </row>
    <row r="90" spans="1:7" x14ac:dyDescent="0.15">
      <c r="A90" s="20" t="s">
        <v>18</v>
      </c>
      <c r="B90" s="20">
        <v>36</v>
      </c>
      <c r="C90" t="s">
        <v>21</v>
      </c>
      <c r="D90" t="s">
        <v>9</v>
      </c>
      <c r="E90">
        <v>0</v>
      </c>
      <c r="F90" s="23" t="str">
        <f t="shared" si="1"/>
        <v>GM-36-NA</v>
      </c>
      <c r="G90">
        <f>VLOOKUP(F90,teams!$A$2:$B$47,2,)</f>
        <v>1</v>
      </c>
    </row>
    <row r="91" spans="1:7" x14ac:dyDescent="0.15">
      <c r="A91" s="20" t="s">
        <v>3</v>
      </c>
      <c r="B91" s="20">
        <v>19</v>
      </c>
      <c r="C91" t="s">
        <v>22</v>
      </c>
      <c r="D91" t="s">
        <v>5</v>
      </c>
      <c r="E91">
        <v>0</v>
      </c>
      <c r="F91" s="23" t="str">
        <f t="shared" si="1"/>
        <v>TN-19-CTRL</v>
      </c>
      <c r="G91">
        <f>VLOOKUP(F91,teams!$A$2:$B$47,2,)</f>
        <v>1</v>
      </c>
    </row>
    <row r="92" spans="1:7" x14ac:dyDescent="0.15">
      <c r="A92" s="20" t="s">
        <v>3</v>
      </c>
      <c r="B92" s="20">
        <v>19</v>
      </c>
      <c r="C92" t="s">
        <v>22</v>
      </c>
      <c r="D92" t="s">
        <v>6</v>
      </c>
      <c r="E92">
        <v>0</v>
      </c>
      <c r="F92" s="23" t="str">
        <f t="shared" si="1"/>
        <v>TN-19-CTRL</v>
      </c>
      <c r="G92">
        <f>VLOOKUP(F92,teams!$A$2:$B$47,2,)</f>
        <v>1</v>
      </c>
    </row>
    <row r="93" spans="1:7" x14ac:dyDescent="0.15">
      <c r="A93" s="20" t="s">
        <v>3</v>
      </c>
      <c r="B93" s="20">
        <v>19</v>
      </c>
      <c r="C93" t="s">
        <v>22</v>
      </c>
      <c r="D93" t="s">
        <v>7</v>
      </c>
      <c r="E93">
        <v>150807.91984198571</v>
      </c>
      <c r="F93" s="23" t="str">
        <f t="shared" si="1"/>
        <v>TN-19-CTRL</v>
      </c>
      <c r="G93">
        <f>VLOOKUP(F93,teams!$A$2:$B$47,2,)</f>
        <v>1</v>
      </c>
    </row>
    <row r="94" spans="1:7" x14ac:dyDescent="0.15">
      <c r="A94" s="20" t="s">
        <v>3</v>
      </c>
      <c r="B94" s="20">
        <v>19</v>
      </c>
      <c r="C94" t="s">
        <v>22</v>
      </c>
      <c r="D94" t="s">
        <v>9</v>
      </c>
      <c r="E94">
        <v>0</v>
      </c>
      <c r="F94" s="23" t="str">
        <f t="shared" si="1"/>
        <v>TN-19-CTRL</v>
      </c>
      <c r="G94">
        <f>VLOOKUP(F94,teams!$A$2:$B$47,2,)</f>
        <v>1</v>
      </c>
    </row>
    <row r="95" spans="1:7" x14ac:dyDescent="0.15">
      <c r="A95" s="20" t="s">
        <v>3</v>
      </c>
      <c r="B95" s="20">
        <v>19</v>
      </c>
      <c r="C95" t="s">
        <v>23</v>
      </c>
      <c r="D95" t="s">
        <v>5</v>
      </c>
      <c r="E95">
        <v>22516.444050897328</v>
      </c>
      <c r="F95" s="23" t="str">
        <f t="shared" si="1"/>
        <v>TN-19-EX</v>
      </c>
      <c r="G95">
        <f>VLOOKUP(F95,teams!$A$2:$B$47,2,)</f>
        <v>1</v>
      </c>
    </row>
    <row r="96" spans="1:7" x14ac:dyDescent="0.15">
      <c r="A96" s="20" t="s">
        <v>3</v>
      </c>
      <c r="B96" s="20">
        <v>19</v>
      </c>
      <c r="C96" t="s">
        <v>23</v>
      </c>
      <c r="D96" t="s">
        <v>6</v>
      </c>
      <c r="E96">
        <v>41635.657525183582</v>
      </c>
      <c r="F96" s="23" t="str">
        <f t="shared" si="1"/>
        <v>TN-19-EX</v>
      </c>
      <c r="G96">
        <f>VLOOKUP(F96,teams!$A$2:$B$47,2,)</f>
        <v>1</v>
      </c>
    </row>
    <row r="97" spans="1:7" x14ac:dyDescent="0.15">
      <c r="A97" s="20" t="s">
        <v>3</v>
      </c>
      <c r="B97" s="20">
        <v>19</v>
      </c>
      <c r="C97" t="s">
        <v>23</v>
      </c>
      <c r="D97" t="s">
        <v>7</v>
      </c>
      <c r="E97">
        <v>29379.319533461719</v>
      </c>
      <c r="F97" s="23" t="str">
        <f t="shared" si="1"/>
        <v>TN-19-EX</v>
      </c>
      <c r="G97">
        <f>VLOOKUP(F97,teams!$A$2:$B$47,2,)</f>
        <v>1</v>
      </c>
    </row>
    <row r="98" spans="1:7" x14ac:dyDescent="0.15">
      <c r="A98" s="20" t="s">
        <v>3</v>
      </c>
      <c r="B98" s="20">
        <v>19</v>
      </c>
      <c r="C98" t="s">
        <v>23</v>
      </c>
      <c r="D98" t="s">
        <v>9</v>
      </c>
      <c r="E98">
        <v>46031.357779682585</v>
      </c>
      <c r="F98" s="23" t="str">
        <f t="shared" si="1"/>
        <v>TN-19-EX</v>
      </c>
      <c r="G98">
        <f>VLOOKUP(F98,teams!$A$2:$B$47,2,)</f>
        <v>1</v>
      </c>
    </row>
    <row r="99" spans="1:7" x14ac:dyDescent="0.15">
      <c r="A99" s="20" t="s">
        <v>3</v>
      </c>
      <c r="B99" s="20">
        <v>20</v>
      </c>
      <c r="C99" t="s">
        <v>22</v>
      </c>
      <c r="D99" t="s">
        <v>5</v>
      </c>
      <c r="E99">
        <v>197821.58082354951</v>
      </c>
      <c r="F99" s="23" t="str">
        <f t="shared" si="1"/>
        <v>TN-20-CTRL</v>
      </c>
      <c r="G99">
        <f>VLOOKUP(F99,teams!$A$2:$B$47,2,)</f>
        <v>2</v>
      </c>
    </row>
    <row r="100" spans="1:7" x14ac:dyDescent="0.15">
      <c r="A100" s="20" t="s">
        <v>3</v>
      </c>
      <c r="B100" s="20">
        <v>20</v>
      </c>
      <c r="C100" t="s">
        <v>22</v>
      </c>
      <c r="D100" t="s">
        <v>6</v>
      </c>
      <c r="E100">
        <v>0</v>
      </c>
      <c r="F100" s="23" t="str">
        <f t="shared" si="1"/>
        <v>TN-20-CTRL</v>
      </c>
      <c r="G100">
        <f>VLOOKUP(F100,teams!$A$2:$B$47,2,)</f>
        <v>2</v>
      </c>
    </row>
    <row r="101" spans="1:7" x14ac:dyDescent="0.15">
      <c r="A101" s="20" t="s">
        <v>3</v>
      </c>
      <c r="B101" s="20">
        <v>20</v>
      </c>
      <c r="C101" t="s">
        <v>22</v>
      </c>
      <c r="D101" t="s">
        <v>7</v>
      </c>
      <c r="E101">
        <v>0</v>
      </c>
      <c r="F101" s="23" t="str">
        <f t="shared" si="1"/>
        <v>TN-20-CTRL</v>
      </c>
      <c r="G101">
        <f>VLOOKUP(F101,teams!$A$2:$B$47,2,)</f>
        <v>2</v>
      </c>
    </row>
    <row r="102" spans="1:7" x14ac:dyDescent="0.15">
      <c r="A102" s="20" t="s">
        <v>3</v>
      </c>
      <c r="B102" s="20">
        <v>20</v>
      </c>
      <c r="C102" t="s">
        <v>22</v>
      </c>
      <c r="D102" t="s">
        <v>9</v>
      </c>
      <c r="E102">
        <v>0</v>
      </c>
      <c r="F102" s="23" t="str">
        <f t="shared" si="1"/>
        <v>TN-20-CTRL</v>
      </c>
      <c r="G102">
        <f>VLOOKUP(F102,teams!$A$2:$B$47,2,)</f>
        <v>2</v>
      </c>
    </row>
    <row r="103" spans="1:7" x14ac:dyDescent="0.15">
      <c r="A103" s="20" t="s">
        <v>3</v>
      </c>
      <c r="B103" s="20">
        <v>20</v>
      </c>
      <c r="C103" t="s">
        <v>23</v>
      </c>
      <c r="D103" t="s">
        <v>5</v>
      </c>
      <c r="E103">
        <v>3584.1642119571875</v>
      </c>
      <c r="F103" s="23" t="str">
        <f t="shared" si="1"/>
        <v>TN-20-EX</v>
      </c>
      <c r="G103">
        <f>VLOOKUP(F103,teams!$A$2:$B$47,2,)</f>
        <v>2</v>
      </c>
    </row>
    <row r="104" spans="1:7" x14ac:dyDescent="0.15">
      <c r="A104" s="20" t="s">
        <v>3</v>
      </c>
      <c r="B104" s="20">
        <v>20</v>
      </c>
      <c r="C104" t="s">
        <v>23</v>
      </c>
      <c r="D104" t="s">
        <v>6</v>
      </c>
      <c r="E104">
        <v>23266.355301016614</v>
      </c>
      <c r="F104" s="23" t="str">
        <f t="shared" si="1"/>
        <v>TN-20-EX</v>
      </c>
      <c r="G104">
        <f>VLOOKUP(F104,teams!$A$2:$B$47,2,)</f>
        <v>2</v>
      </c>
    </row>
    <row r="105" spans="1:7" x14ac:dyDescent="0.15">
      <c r="A105" s="20" t="s">
        <v>3</v>
      </c>
      <c r="B105" s="20">
        <v>20</v>
      </c>
      <c r="C105" t="s">
        <v>23</v>
      </c>
      <c r="D105" t="s">
        <v>7</v>
      </c>
      <c r="E105">
        <v>6352.3551742193004</v>
      </c>
      <c r="F105" s="23" t="str">
        <f t="shared" si="1"/>
        <v>TN-20-EX</v>
      </c>
      <c r="G105">
        <f>VLOOKUP(F105,teams!$A$2:$B$47,2,)</f>
        <v>2</v>
      </c>
    </row>
    <row r="106" spans="1:7" x14ac:dyDescent="0.15">
      <c r="A106" s="20" t="s">
        <v>3</v>
      </c>
      <c r="B106" s="20">
        <v>20</v>
      </c>
      <c r="C106" t="s">
        <v>23</v>
      </c>
      <c r="D106" t="s">
        <v>9</v>
      </c>
      <c r="E106">
        <v>15556.169630158405</v>
      </c>
      <c r="F106" s="23" t="str">
        <f t="shared" si="1"/>
        <v>TN-20-EX</v>
      </c>
      <c r="G106">
        <f>VLOOKUP(F106,teams!$A$2:$B$47,2,)</f>
        <v>2</v>
      </c>
    </row>
    <row r="107" spans="1:7" x14ac:dyDescent="0.15">
      <c r="A107" s="20" t="s">
        <v>3</v>
      </c>
      <c r="B107" s="20">
        <v>21</v>
      </c>
      <c r="C107" t="s">
        <v>22</v>
      </c>
      <c r="D107" t="s">
        <v>5</v>
      </c>
      <c r="E107">
        <v>0</v>
      </c>
      <c r="F107" s="23" t="str">
        <f t="shared" si="1"/>
        <v>TN-21-CTRL</v>
      </c>
      <c r="G107">
        <f>VLOOKUP(F107,teams!$A$2:$B$47,2,)</f>
        <v>1</v>
      </c>
    </row>
    <row r="108" spans="1:7" x14ac:dyDescent="0.15">
      <c r="A108" s="20" t="s">
        <v>3</v>
      </c>
      <c r="B108" s="20">
        <v>21</v>
      </c>
      <c r="C108" t="s">
        <v>22</v>
      </c>
      <c r="D108" t="s">
        <v>6</v>
      </c>
      <c r="E108">
        <v>0</v>
      </c>
      <c r="F108" s="23" t="str">
        <f t="shared" si="1"/>
        <v>TN-21-CTRL</v>
      </c>
      <c r="G108">
        <f>VLOOKUP(F108,teams!$A$2:$B$47,2,)</f>
        <v>1</v>
      </c>
    </row>
    <row r="109" spans="1:7" x14ac:dyDescent="0.15">
      <c r="A109" s="20" t="s">
        <v>3</v>
      </c>
      <c r="B109" s="20">
        <v>21</v>
      </c>
      <c r="C109" t="s">
        <v>22</v>
      </c>
      <c r="D109" t="s">
        <v>7</v>
      </c>
      <c r="E109">
        <v>0</v>
      </c>
      <c r="F109" s="23" t="str">
        <f t="shared" si="1"/>
        <v>TN-21-CTRL</v>
      </c>
      <c r="G109">
        <f>VLOOKUP(F109,teams!$A$2:$B$47,2,)</f>
        <v>1</v>
      </c>
    </row>
    <row r="110" spans="1:7" x14ac:dyDescent="0.15">
      <c r="A110" s="20" t="s">
        <v>3</v>
      </c>
      <c r="B110" s="20">
        <v>21</v>
      </c>
      <c r="C110" t="s">
        <v>22</v>
      </c>
      <c r="D110" t="s">
        <v>9</v>
      </c>
      <c r="E110">
        <v>3297.9168730273523</v>
      </c>
      <c r="F110" s="23" t="str">
        <f t="shared" si="1"/>
        <v>TN-21-CTRL</v>
      </c>
      <c r="G110">
        <f>VLOOKUP(F110,teams!$A$2:$B$47,2,)</f>
        <v>1</v>
      </c>
    </row>
    <row r="111" spans="1:7" x14ac:dyDescent="0.15">
      <c r="A111" s="20" t="s">
        <v>3</v>
      </c>
      <c r="B111" s="20">
        <v>21</v>
      </c>
      <c r="C111" t="s">
        <v>23</v>
      </c>
      <c r="D111" t="s">
        <v>5</v>
      </c>
      <c r="E111">
        <v>29152.680283026486</v>
      </c>
      <c r="F111" s="23" t="str">
        <f t="shared" si="1"/>
        <v>TN-21-EX</v>
      </c>
      <c r="G111">
        <f>VLOOKUP(F111,teams!$A$2:$B$47,2,)</f>
        <v>1</v>
      </c>
    </row>
    <row r="112" spans="1:7" x14ac:dyDescent="0.15">
      <c r="A112" s="20" t="s">
        <v>3</v>
      </c>
      <c r="B112" s="20">
        <v>21</v>
      </c>
      <c r="C112" t="s">
        <v>23</v>
      </c>
      <c r="D112" t="s">
        <v>6</v>
      </c>
      <c r="E112">
        <v>33811.430994686627</v>
      </c>
      <c r="F112" s="23" t="str">
        <f t="shared" si="1"/>
        <v>TN-21-EX</v>
      </c>
      <c r="G112">
        <f>VLOOKUP(F112,teams!$A$2:$B$47,2,)</f>
        <v>1</v>
      </c>
    </row>
    <row r="113" spans="1:7" x14ac:dyDescent="0.15">
      <c r="A113" s="20" t="s">
        <v>3</v>
      </c>
      <c r="B113" s="20">
        <v>21</v>
      </c>
      <c r="C113" t="s">
        <v>23</v>
      </c>
      <c r="D113" t="s">
        <v>7</v>
      </c>
      <c r="E113">
        <v>5970.6544872025352</v>
      </c>
      <c r="F113" s="23" t="str">
        <f t="shared" si="1"/>
        <v>TN-21-EX</v>
      </c>
      <c r="G113">
        <f>VLOOKUP(F113,teams!$A$2:$B$47,2,)</f>
        <v>1</v>
      </c>
    </row>
    <row r="114" spans="1:7" x14ac:dyDescent="0.15">
      <c r="A114" s="20" t="s">
        <v>3</v>
      </c>
      <c r="B114" s="20">
        <v>21</v>
      </c>
      <c r="C114" t="s">
        <v>23</v>
      </c>
      <c r="D114" t="s">
        <v>9</v>
      </c>
      <c r="E114">
        <v>16533.280670336775</v>
      </c>
      <c r="F114" s="23" t="str">
        <f t="shared" si="1"/>
        <v>TN-21-EX</v>
      </c>
      <c r="G114">
        <f>VLOOKUP(F114,teams!$A$2:$B$47,2,)</f>
        <v>1</v>
      </c>
    </row>
    <row r="115" spans="1:7" x14ac:dyDescent="0.15">
      <c r="A115" s="20" t="s">
        <v>3</v>
      </c>
      <c r="B115" s="20">
        <v>22</v>
      </c>
      <c r="C115" t="s">
        <v>22</v>
      </c>
      <c r="D115" t="s">
        <v>5</v>
      </c>
      <c r="E115">
        <v>0</v>
      </c>
      <c r="F115" s="23" t="str">
        <f t="shared" si="1"/>
        <v>TN-22-CTRL</v>
      </c>
      <c r="G115">
        <f>VLOOKUP(F115,teams!$A$2:$B$47,2,)</f>
        <v>1</v>
      </c>
    </row>
    <row r="116" spans="1:7" x14ac:dyDescent="0.15">
      <c r="A116" s="20" t="s">
        <v>3</v>
      </c>
      <c r="B116" s="20">
        <v>22</v>
      </c>
      <c r="C116" t="s">
        <v>22</v>
      </c>
      <c r="D116" t="s">
        <v>6</v>
      </c>
      <c r="E116">
        <v>107181.24019623187</v>
      </c>
      <c r="F116" s="23" t="str">
        <f t="shared" si="1"/>
        <v>TN-22-CTRL</v>
      </c>
      <c r="G116">
        <f>VLOOKUP(F116,teams!$A$2:$B$47,2,)</f>
        <v>1</v>
      </c>
    </row>
    <row r="117" spans="1:7" x14ac:dyDescent="0.15">
      <c r="A117" s="20" t="s">
        <v>3</v>
      </c>
      <c r="B117" s="20">
        <v>22</v>
      </c>
      <c r="C117" t="s">
        <v>22</v>
      </c>
      <c r="D117" t="s">
        <v>7</v>
      </c>
      <c r="E117">
        <v>0</v>
      </c>
      <c r="F117" s="23" t="str">
        <f t="shared" si="1"/>
        <v>TN-22-CTRL</v>
      </c>
      <c r="G117">
        <f>VLOOKUP(F117,teams!$A$2:$B$47,2,)</f>
        <v>1</v>
      </c>
    </row>
    <row r="118" spans="1:7" x14ac:dyDescent="0.15">
      <c r="A118" s="20" t="s">
        <v>3</v>
      </c>
      <c r="B118" s="20">
        <v>22</v>
      </c>
      <c r="C118" t="s">
        <v>22</v>
      </c>
      <c r="D118" t="s">
        <v>9</v>
      </c>
      <c r="E118">
        <v>0</v>
      </c>
      <c r="F118" s="23" t="str">
        <f t="shared" si="1"/>
        <v>TN-22-CTRL</v>
      </c>
      <c r="G118">
        <f>VLOOKUP(F118,teams!$A$2:$B$47,2,)</f>
        <v>1</v>
      </c>
    </row>
    <row r="119" spans="1:7" x14ac:dyDescent="0.15">
      <c r="A119" s="20" t="s">
        <v>3</v>
      </c>
      <c r="B119" s="20">
        <v>22</v>
      </c>
      <c r="C119" t="s">
        <v>23</v>
      </c>
      <c r="D119" t="s">
        <v>5</v>
      </c>
      <c r="E119">
        <v>0</v>
      </c>
      <c r="F119" s="23" t="str">
        <f t="shared" si="1"/>
        <v>TN-22-EX</v>
      </c>
      <c r="G119">
        <f>VLOOKUP(F119,teams!$A$2:$B$47,2,)</f>
        <v>1</v>
      </c>
    </row>
    <row r="120" spans="1:7" x14ac:dyDescent="0.15">
      <c r="A120" s="20" t="s">
        <v>3</v>
      </c>
      <c r="B120" s="20">
        <v>22</v>
      </c>
      <c r="C120" t="s">
        <v>23</v>
      </c>
      <c r="D120" t="s">
        <v>6</v>
      </c>
      <c r="E120">
        <v>541730.00996335829</v>
      </c>
      <c r="F120" s="23" t="str">
        <f t="shared" si="1"/>
        <v>TN-22-EX</v>
      </c>
      <c r="G120">
        <f>VLOOKUP(F120,teams!$A$2:$B$47,2,)</f>
        <v>1</v>
      </c>
    </row>
    <row r="121" spans="1:7" x14ac:dyDescent="0.15">
      <c r="A121" s="20" t="s">
        <v>3</v>
      </c>
      <c r="B121" s="20">
        <v>22</v>
      </c>
      <c r="C121" t="s">
        <v>23</v>
      </c>
      <c r="D121" t="s">
        <v>7</v>
      </c>
      <c r="E121">
        <v>204607.72216330009</v>
      </c>
      <c r="F121" s="23" t="str">
        <f t="shared" si="1"/>
        <v>TN-22-EX</v>
      </c>
      <c r="G121">
        <f>VLOOKUP(F121,teams!$A$2:$B$47,2,)</f>
        <v>1</v>
      </c>
    </row>
    <row r="122" spans="1:7" x14ac:dyDescent="0.15">
      <c r="A122" s="20" t="s">
        <v>3</v>
      </c>
      <c r="B122" s="20">
        <v>22</v>
      </c>
      <c r="C122" t="s">
        <v>23</v>
      </c>
      <c r="D122" t="s">
        <v>9</v>
      </c>
      <c r="E122">
        <v>157913.28841046485</v>
      </c>
      <c r="F122" s="23" t="str">
        <f t="shared" si="1"/>
        <v>TN-22-EX</v>
      </c>
      <c r="G122">
        <f>VLOOKUP(F122,teams!$A$2:$B$47,2,)</f>
        <v>1</v>
      </c>
    </row>
    <row r="123" spans="1:7" x14ac:dyDescent="0.15">
      <c r="A123" s="20" t="s">
        <v>3</v>
      </c>
      <c r="B123" s="20">
        <v>23</v>
      </c>
      <c r="C123" t="s">
        <v>21</v>
      </c>
      <c r="D123" t="s">
        <v>5</v>
      </c>
      <c r="E123">
        <v>0</v>
      </c>
      <c r="F123" s="23" t="str">
        <f t="shared" si="1"/>
        <v>TN-23-NA</v>
      </c>
      <c r="G123">
        <f>VLOOKUP(F123,teams!$A$2:$B$47,2,)</f>
        <v>2</v>
      </c>
    </row>
    <row r="124" spans="1:7" x14ac:dyDescent="0.15">
      <c r="A124" s="20" t="s">
        <v>3</v>
      </c>
      <c r="B124" s="20">
        <v>23</v>
      </c>
      <c r="C124" t="s">
        <v>21</v>
      </c>
      <c r="D124" t="s">
        <v>6</v>
      </c>
      <c r="E124">
        <v>0</v>
      </c>
      <c r="F124" s="23" t="str">
        <f t="shared" si="1"/>
        <v>TN-23-NA</v>
      </c>
      <c r="G124">
        <f>VLOOKUP(F124,teams!$A$2:$B$47,2,)</f>
        <v>2</v>
      </c>
    </row>
    <row r="125" spans="1:7" x14ac:dyDescent="0.15">
      <c r="A125" s="20" t="s">
        <v>3</v>
      </c>
      <c r="B125" s="20">
        <v>23</v>
      </c>
      <c r="C125" t="s">
        <v>21</v>
      </c>
      <c r="D125" t="s">
        <v>7</v>
      </c>
      <c r="E125">
        <v>0</v>
      </c>
      <c r="F125" s="23" t="str">
        <f t="shared" si="1"/>
        <v>TN-23-NA</v>
      </c>
      <c r="G125">
        <f>VLOOKUP(F125,teams!$A$2:$B$47,2,)</f>
        <v>2</v>
      </c>
    </row>
    <row r="126" spans="1:7" x14ac:dyDescent="0.15">
      <c r="A126" s="20" t="s">
        <v>3</v>
      </c>
      <c r="B126" s="20">
        <v>23</v>
      </c>
      <c r="C126" t="s">
        <v>21</v>
      </c>
      <c r="D126" t="s">
        <v>9</v>
      </c>
      <c r="E126">
        <v>0</v>
      </c>
      <c r="F126" s="23" t="str">
        <f t="shared" si="1"/>
        <v>TN-23-NA</v>
      </c>
      <c r="G126">
        <f>VLOOKUP(F126,teams!$A$2:$B$47,2,)</f>
        <v>2</v>
      </c>
    </row>
    <row r="127" spans="1:7" x14ac:dyDescent="0.15">
      <c r="A127" s="20" t="s">
        <v>3</v>
      </c>
      <c r="B127" s="20">
        <v>24</v>
      </c>
      <c r="C127" t="s">
        <v>21</v>
      </c>
      <c r="D127" t="s">
        <v>5</v>
      </c>
      <c r="E127">
        <v>0</v>
      </c>
      <c r="F127" s="23" t="str">
        <f t="shared" si="1"/>
        <v>TN-24-NA</v>
      </c>
      <c r="G127">
        <f>VLOOKUP(F127,teams!$A$2:$B$47,2,)</f>
        <v>1</v>
      </c>
    </row>
    <row r="128" spans="1:7" x14ac:dyDescent="0.15">
      <c r="A128" s="20" t="s">
        <v>3</v>
      </c>
      <c r="B128" s="20">
        <v>24</v>
      </c>
      <c r="C128" t="s">
        <v>21</v>
      </c>
      <c r="D128" t="s">
        <v>6</v>
      </c>
      <c r="E128">
        <v>0</v>
      </c>
      <c r="F128" s="23" t="str">
        <f t="shared" si="1"/>
        <v>TN-24-NA</v>
      </c>
      <c r="G128">
        <f>VLOOKUP(F128,teams!$A$2:$B$47,2,)</f>
        <v>1</v>
      </c>
    </row>
    <row r="129" spans="1:7" x14ac:dyDescent="0.15">
      <c r="A129" s="20" t="s">
        <v>3</v>
      </c>
      <c r="B129" s="20">
        <v>24</v>
      </c>
      <c r="C129" t="s">
        <v>21</v>
      </c>
      <c r="D129" t="s">
        <v>7</v>
      </c>
      <c r="E129">
        <v>644773.28831218195</v>
      </c>
      <c r="F129" s="23" t="str">
        <f t="shared" si="1"/>
        <v>TN-24-NA</v>
      </c>
      <c r="G129">
        <f>VLOOKUP(F129,teams!$A$2:$B$47,2,)</f>
        <v>1</v>
      </c>
    </row>
    <row r="130" spans="1:7" x14ac:dyDescent="0.15">
      <c r="A130" s="20" t="s">
        <v>3</v>
      </c>
      <c r="B130" s="20">
        <v>24</v>
      </c>
      <c r="C130" t="s">
        <v>21</v>
      </c>
      <c r="D130" t="s">
        <v>9</v>
      </c>
      <c r="E130">
        <v>0</v>
      </c>
      <c r="F130" s="23" t="str">
        <f t="shared" si="1"/>
        <v>TN-24-NA</v>
      </c>
      <c r="G130">
        <f>VLOOKUP(F130,teams!$A$2:$B$47,2,)</f>
        <v>1</v>
      </c>
    </row>
    <row r="131" spans="1:7" x14ac:dyDescent="0.15">
      <c r="A131" s="20" t="s">
        <v>3</v>
      </c>
      <c r="B131" s="20">
        <v>25</v>
      </c>
      <c r="C131" t="s">
        <v>22</v>
      </c>
      <c r="D131" t="s">
        <v>5</v>
      </c>
      <c r="E131">
        <v>0</v>
      </c>
      <c r="F131" s="23" t="str">
        <f t="shared" ref="F131:F182" si="2">A131&amp;"-"&amp;TEXT(B131,"0#")&amp;"-"&amp;C131</f>
        <v>TN-25-CTRL</v>
      </c>
      <c r="G131">
        <f>VLOOKUP(F131,teams!$A$2:$B$47,2,)</f>
        <v>2</v>
      </c>
    </row>
    <row r="132" spans="1:7" x14ac:dyDescent="0.15">
      <c r="A132" s="20" t="s">
        <v>3</v>
      </c>
      <c r="B132" s="20">
        <v>25</v>
      </c>
      <c r="C132" t="s">
        <v>22</v>
      </c>
      <c r="D132" t="s">
        <v>6</v>
      </c>
      <c r="E132">
        <v>0</v>
      </c>
      <c r="F132" s="23" t="str">
        <f t="shared" si="2"/>
        <v>TN-25-CTRL</v>
      </c>
      <c r="G132">
        <f>VLOOKUP(F132,teams!$A$2:$B$47,2,)</f>
        <v>2</v>
      </c>
    </row>
    <row r="133" spans="1:7" x14ac:dyDescent="0.15">
      <c r="A133" s="20" t="s">
        <v>3</v>
      </c>
      <c r="B133" s="20">
        <v>25</v>
      </c>
      <c r="C133" t="s">
        <v>22</v>
      </c>
      <c r="D133" t="s">
        <v>7</v>
      </c>
      <c r="E133">
        <v>0</v>
      </c>
      <c r="F133" s="23" t="str">
        <f t="shared" si="2"/>
        <v>TN-25-CTRL</v>
      </c>
      <c r="G133">
        <f>VLOOKUP(F133,teams!$A$2:$B$47,2,)</f>
        <v>2</v>
      </c>
    </row>
    <row r="134" spans="1:7" x14ac:dyDescent="0.15">
      <c r="A134" s="20" t="s">
        <v>3</v>
      </c>
      <c r="B134" s="20">
        <v>25</v>
      </c>
      <c r="C134" t="s">
        <v>22</v>
      </c>
      <c r="D134" t="s">
        <v>9</v>
      </c>
      <c r="E134">
        <v>0</v>
      </c>
      <c r="F134" s="23" t="str">
        <f t="shared" si="2"/>
        <v>TN-25-CTRL</v>
      </c>
      <c r="G134">
        <f>VLOOKUP(F134,teams!$A$2:$B$47,2,)</f>
        <v>2</v>
      </c>
    </row>
    <row r="135" spans="1:7" x14ac:dyDescent="0.15">
      <c r="A135" s="20" t="s">
        <v>3</v>
      </c>
      <c r="B135" s="20">
        <v>25</v>
      </c>
      <c r="C135" t="s">
        <v>23</v>
      </c>
      <c r="D135" t="s">
        <v>5</v>
      </c>
      <c r="E135">
        <v>3931.1643459102138</v>
      </c>
      <c r="F135" s="23" t="str">
        <f t="shared" si="2"/>
        <v>TN-25-EX</v>
      </c>
      <c r="G135">
        <f>VLOOKUP(F135,teams!$A$2:$B$47,2,)</f>
        <v>2</v>
      </c>
    </row>
    <row r="136" spans="1:7" x14ac:dyDescent="0.15">
      <c r="A136" s="20" t="s">
        <v>3</v>
      </c>
      <c r="B136" s="20">
        <v>25</v>
      </c>
      <c r="C136" t="s">
        <v>23</v>
      </c>
      <c r="D136" t="s">
        <v>6</v>
      </c>
      <c r="E136">
        <v>2448.8507254329688</v>
      </c>
      <c r="F136" s="23" t="str">
        <f t="shared" si="2"/>
        <v>TN-25-EX</v>
      </c>
      <c r="G136">
        <f>VLOOKUP(F136,teams!$A$2:$B$47,2,)</f>
        <v>2</v>
      </c>
    </row>
    <row r="137" spans="1:7" x14ac:dyDescent="0.15">
      <c r="A137" s="20" t="s">
        <v>3</v>
      </c>
      <c r="B137" s="20">
        <v>25</v>
      </c>
      <c r="C137" t="s">
        <v>23</v>
      </c>
      <c r="D137" t="s">
        <v>7</v>
      </c>
      <c r="E137">
        <v>2740.1508325896816</v>
      </c>
      <c r="F137" s="23" t="str">
        <f t="shared" si="2"/>
        <v>TN-25-EX</v>
      </c>
      <c r="G137">
        <f>VLOOKUP(F137,teams!$A$2:$B$47,2,)</f>
        <v>2</v>
      </c>
    </row>
    <row r="138" spans="1:7" x14ac:dyDescent="0.15">
      <c r="A138" s="20" t="s">
        <v>3</v>
      </c>
      <c r="B138" s="20">
        <v>25</v>
      </c>
      <c r="C138" t="s">
        <v>23</v>
      </c>
      <c r="D138" t="s">
        <v>9</v>
      </c>
      <c r="E138">
        <v>1332.3920760430981</v>
      </c>
      <c r="F138" s="23" t="str">
        <f t="shared" si="2"/>
        <v>TN-25-EX</v>
      </c>
      <c r="G138">
        <f>VLOOKUP(F138,teams!$A$2:$B$47,2,)</f>
        <v>2</v>
      </c>
    </row>
    <row r="139" spans="1:7" x14ac:dyDescent="0.15">
      <c r="A139" s="20" t="s">
        <v>3</v>
      </c>
      <c r="B139" s="20">
        <v>26</v>
      </c>
      <c r="C139" t="s">
        <v>21</v>
      </c>
      <c r="D139" t="s">
        <v>5</v>
      </c>
      <c r="E139">
        <v>0</v>
      </c>
      <c r="F139" s="23" t="str">
        <f t="shared" si="2"/>
        <v>TN-26-NA</v>
      </c>
      <c r="G139">
        <f>VLOOKUP(F139,teams!$A$2:$B$47,2,)</f>
        <v>2</v>
      </c>
    </row>
    <row r="140" spans="1:7" x14ac:dyDescent="0.15">
      <c r="A140" s="20" t="s">
        <v>3</v>
      </c>
      <c r="B140" s="20">
        <v>26</v>
      </c>
      <c r="C140" t="s">
        <v>21</v>
      </c>
      <c r="D140" t="s">
        <v>6</v>
      </c>
      <c r="E140">
        <v>0</v>
      </c>
      <c r="F140" s="23" t="str">
        <f t="shared" si="2"/>
        <v>TN-26-NA</v>
      </c>
      <c r="G140">
        <f>VLOOKUP(F140,teams!$A$2:$B$47,2,)</f>
        <v>2</v>
      </c>
    </row>
    <row r="141" spans="1:7" x14ac:dyDescent="0.15">
      <c r="A141" s="20" t="s">
        <v>3</v>
      </c>
      <c r="B141" s="20">
        <v>26</v>
      </c>
      <c r="C141" t="s">
        <v>21</v>
      </c>
      <c r="D141" t="s">
        <v>7</v>
      </c>
      <c r="E141">
        <v>0</v>
      </c>
      <c r="F141" s="23" t="str">
        <f t="shared" si="2"/>
        <v>TN-26-NA</v>
      </c>
      <c r="G141">
        <f>VLOOKUP(F141,teams!$A$2:$B$47,2,)</f>
        <v>2</v>
      </c>
    </row>
    <row r="142" spans="1:7" x14ac:dyDescent="0.15">
      <c r="A142" s="20" t="s">
        <v>3</v>
      </c>
      <c r="B142" s="20">
        <v>26</v>
      </c>
      <c r="C142" t="s">
        <v>21</v>
      </c>
      <c r="D142" t="s">
        <v>9</v>
      </c>
      <c r="E142">
        <v>0</v>
      </c>
      <c r="F142" s="23" t="str">
        <f t="shared" si="2"/>
        <v>TN-26-NA</v>
      </c>
      <c r="G142">
        <f>VLOOKUP(F142,teams!$A$2:$B$47,2,)</f>
        <v>2</v>
      </c>
    </row>
    <row r="143" spans="1:7" x14ac:dyDescent="0.15">
      <c r="A143" s="20" t="s">
        <v>3</v>
      </c>
      <c r="B143" s="20">
        <v>27</v>
      </c>
      <c r="C143" t="s">
        <v>21</v>
      </c>
      <c r="D143" t="s">
        <v>5</v>
      </c>
      <c r="E143">
        <v>0</v>
      </c>
      <c r="F143" s="23" t="str">
        <f t="shared" si="2"/>
        <v>TN-27-NA</v>
      </c>
      <c r="G143">
        <f>VLOOKUP(F143,teams!$A$2:$B$47,2,)</f>
        <v>1</v>
      </c>
    </row>
    <row r="144" spans="1:7" x14ac:dyDescent="0.15">
      <c r="A144" s="20" t="s">
        <v>3</v>
      </c>
      <c r="B144" s="20">
        <v>27</v>
      </c>
      <c r="C144" t="s">
        <v>21</v>
      </c>
      <c r="D144" t="s">
        <v>6</v>
      </c>
      <c r="E144">
        <v>8684.9966238408633</v>
      </c>
      <c r="F144" s="23" t="str">
        <f t="shared" si="2"/>
        <v>TN-27-NA</v>
      </c>
      <c r="G144">
        <f>VLOOKUP(F144,teams!$A$2:$B$47,2,)</f>
        <v>1</v>
      </c>
    </row>
    <row r="145" spans="1:7" x14ac:dyDescent="0.15">
      <c r="A145" s="20" t="s">
        <v>3</v>
      </c>
      <c r="B145" s="20">
        <v>27</v>
      </c>
      <c r="C145" t="s">
        <v>21</v>
      </c>
      <c r="D145" t="s">
        <v>7</v>
      </c>
      <c r="E145">
        <v>0</v>
      </c>
      <c r="F145" s="23" t="str">
        <f t="shared" si="2"/>
        <v>TN-27-NA</v>
      </c>
      <c r="G145">
        <f>VLOOKUP(F145,teams!$A$2:$B$47,2,)</f>
        <v>1</v>
      </c>
    </row>
    <row r="146" spans="1:7" x14ac:dyDescent="0.15">
      <c r="A146" s="20" t="s">
        <v>3</v>
      </c>
      <c r="B146" s="20">
        <v>27</v>
      </c>
      <c r="C146" t="s">
        <v>21</v>
      </c>
      <c r="D146" t="s">
        <v>9</v>
      </c>
      <c r="E146">
        <v>0</v>
      </c>
      <c r="F146" s="23" t="str">
        <f t="shared" si="2"/>
        <v>TN-27-NA</v>
      </c>
      <c r="G146">
        <f>VLOOKUP(F146,teams!$A$2:$B$47,2,)</f>
        <v>1</v>
      </c>
    </row>
    <row r="147" spans="1:7" x14ac:dyDescent="0.15">
      <c r="A147" s="20" t="s">
        <v>3</v>
      </c>
      <c r="B147" s="20">
        <v>28</v>
      </c>
      <c r="C147" t="s">
        <v>21</v>
      </c>
      <c r="D147" t="s">
        <v>5</v>
      </c>
      <c r="E147">
        <v>8997.7678177970902</v>
      </c>
      <c r="F147" s="23" t="str">
        <f t="shared" si="2"/>
        <v>TN-28-NA</v>
      </c>
      <c r="G147">
        <f>VLOOKUP(F147,teams!$A$2:$B$47,2,)</f>
        <v>1</v>
      </c>
    </row>
    <row r="148" spans="1:7" x14ac:dyDescent="0.15">
      <c r="A148" s="20" t="s">
        <v>3</v>
      </c>
      <c r="B148" s="20">
        <v>28</v>
      </c>
      <c r="C148" t="s">
        <v>21</v>
      </c>
      <c r="D148" t="s">
        <v>6</v>
      </c>
      <c r="E148">
        <v>0</v>
      </c>
      <c r="F148" s="23" t="str">
        <f t="shared" si="2"/>
        <v>TN-28-NA</v>
      </c>
      <c r="G148">
        <f>VLOOKUP(F148,teams!$A$2:$B$47,2,)</f>
        <v>1</v>
      </c>
    </row>
    <row r="149" spans="1:7" x14ac:dyDescent="0.15">
      <c r="A149" s="20" t="s">
        <v>3</v>
      </c>
      <c r="B149" s="20">
        <v>28</v>
      </c>
      <c r="C149" t="s">
        <v>21</v>
      </c>
      <c r="D149" t="s">
        <v>7</v>
      </c>
      <c r="E149">
        <v>6321.2195581925989</v>
      </c>
      <c r="F149" s="23" t="str">
        <f t="shared" si="2"/>
        <v>TN-28-NA</v>
      </c>
      <c r="G149">
        <f>VLOOKUP(F149,teams!$A$2:$B$47,2,)</f>
        <v>1</v>
      </c>
    </row>
    <row r="150" spans="1:7" x14ac:dyDescent="0.15">
      <c r="A150" s="20" t="s">
        <v>3</v>
      </c>
      <c r="B150" s="20">
        <v>28</v>
      </c>
      <c r="C150" t="s">
        <v>21</v>
      </c>
      <c r="D150" t="s">
        <v>9</v>
      </c>
      <c r="E150">
        <v>180580.59563940222</v>
      </c>
      <c r="F150" s="23" t="str">
        <f t="shared" si="2"/>
        <v>TN-28-NA</v>
      </c>
      <c r="G150">
        <f>VLOOKUP(F150,teams!$A$2:$B$47,2,)</f>
        <v>1</v>
      </c>
    </row>
    <row r="151" spans="1:7" x14ac:dyDescent="0.15">
      <c r="A151" s="20" t="s">
        <v>3</v>
      </c>
      <c r="B151" s="20">
        <v>29</v>
      </c>
      <c r="C151" t="s">
        <v>21</v>
      </c>
      <c r="D151" t="s">
        <v>5</v>
      </c>
      <c r="E151">
        <v>0</v>
      </c>
      <c r="F151" s="23" t="str">
        <f t="shared" si="2"/>
        <v>TN-29-NA</v>
      </c>
      <c r="G151">
        <f>VLOOKUP(F151,teams!$A$2:$B$47,2,)</f>
        <v>2</v>
      </c>
    </row>
    <row r="152" spans="1:7" x14ac:dyDescent="0.15">
      <c r="A152" s="20" t="s">
        <v>3</v>
      </c>
      <c r="B152" s="20">
        <v>29</v>
      </c>
      <c r="C152" t="s">
        <v>21</v>
      </c>
      <c r="D152" t="s">
        <v>6</v>
      </c>
      <c r="E152">
        <v>0</v>
      </c>
      <c r="F152" s="23" t="str">
        <f t="shared" si="2"/>
        <v>TN-29-NA</v>
      </c>
      <c r="G152">
        <f>VLOOKUP(F152,teams!$A$2:$B$47,2,)</f>
        <v>2</v>
      </c>
    </row>
    <row r="153" spans="1:7" x14ac:dyDescent="0.15">
      <c r="A153" s="20" t="s">
        <v>3</v>
      </c>
      <c r="B153" s="20">
        <v>29</v>
      </c>
      <c r="C153" t="s">
        <v>21</v>
      </c>
      <c r="D153" t="s">
        <v>7</v>
      </c>
      <c r="E153">
        <v>0</v>
      </c>
      <c r="F153" s="23" t="str">
        <f t="shared" si="2"/>
        <v>TN-29-NA</v>
      </c>
      <c r="G153">
        <f>VLOOKUP(F153,teams!$A$2:$B$47,2,)</f>
        <v>2</v>
      </c>
    </row>
    <row r="154" spans="1:7" x14ac:dyDescent="0.15">
      <c r="A154" s="20" t="s">
        <v>3</v>
      </c>
      <c r="B154" s="20">
        <v>29</v>
      </c>
      <c r="C154" t="s">
        <v>21</v>
      </c>
      <c r="D154" t="s">
        <v>9</v>
      </c>
      <c r="E154">
        <v>0</v>
      </c>
      <c r="F154" s="23" t="str">
        <f t="shared" si="2"/>
        <v>TN-29-NA</v>
      </c>
      <c r="G154">
        <f>VLOOKUP(F154,teams!$A$2:$B$47,2,)</f>
        <v>2</v>
      </c>
    </row>
    <row r="155" spans="1:7" x14ac:dyDescent="0.15">
      <c r="A155" s="20" t="s">
        <v>3</v>
      </c>
      <c r="B155" s="20">
        <v>30</v>
      </c>
      <c r="C155" t="s">
        <v>21</v>
      </c>
      <c r="D155" t="s">
        <v>5</v>
      </c>
      <c r="E155">
        <v>0</v>
      </c>
      <c r="F155" s="23" t="str">
        <f t="shared" si="2"/>
        <v>TN-30-NA</v>
      </c>
      <c r="G155">
        <f>VLOOKUP(F155,teams!$A$2:$B$47,2,)</f>
        <v>1</v>
      </c>
    </row>
    <row r="156" spans="1:7" x14ac:dyDescent="0.15">
      <c r="A156" s="20" t="s">
        <v>3</v>
      </c>
      <c r="B156" s="20">
        <v>30</v>
      </c>
      <c r="C156" t="s">
        <v>21</v>
      </c>
      <c r="D156" t="s">
        <v>6</v>
      </c>
      <c r="E156">
        <v>0</v>
      </c>
      <c r="F156" s="23" t="str">
        <f t="shared" si="2"/>
        <v>TN-30-NA</v>
      </c>
      <c r="G156">
        <f>VLOOKUP(F156,teams!$A$2:$B$47,2,)</f>
        <v>1</v>
      </c>
    </row>
    <row r="157" spans="1:7" x14ac:dyDescent="0.15">
      <c r="A157" s="20" t="s">
        <v>3</v>
      </c>
      <c r="B157" s="20">
        <v>30</v>
      </c>
      <c r="C157" t="s">
        <v>21</v>
      </c>
      <c r="D157" t="s">
        <v>7</v>
      </c>
      <c r="E157">
        <v>0</v>
      </c>
      <c r="F157" s="23" t="str">
        <f t="shared" si="2"/>
        <v>TN-30-NA</v>
      </c>
      <c r="G157">
        <f>VLOOKUP(F157,teams!$A$2:$B$47,2,)</f>
        <v>1</v>
      </c>
    </row>
    <row r="158" spans="1:7" x14ac:dyDescent="0.15">
      <c r="A158" s="20" t="s">
        <v>3</v>
      </c>
      <c r="B158" s="20">
        <v>30</v>
      </c>
      <c r="C158" t="s">
        <v>21</v>
      </c>
      <c r="D158" t="s">
        <v>9</v>
      </c>
      <c r="E158">
        <v>0</v>
      </c>
      <c r="F158" s="23" t="str">
        <f t="shared" si="2"/>
        <v>TN-30-NA</v>
      </c>
      <c r="G158">
        <f>VLOOKUP(F158,teams!$A$2:$B$47,2,)</f>
        <v>1</v>
      </c>
    </row>
    <row r="159" spans="1:7" x14ac:dyDescent="0.15">
      <c r="A159" s="20" t="s">
        <v>3</v>
      </c>
      <c r="B159" s="20">
        <v>31</v>
      </c>
      <c r="C159" t="s">
        <v>22</v>
      </c>
      <c r="D159" t="s">
        <v>5</v>
      </c>
      <c r="E159">
        <v>291774.99295581924</v>
      </c>
      <c r="F159" s="23" t="str">
        <f t="shared" si="2"/>
        <v>TN-31-CTRL</v>
      </c>
      <c r="G159">
        <f>VLOOKUP(F159,teams!$A$2:$B$47,2,)</f>
        <v>1</v>
      </c>
    </row>
    <row r="160" spans="1:7" x14ac:dyDescent="0.15">
      <c r="A160" s="20" t="s">
        <v>3</v>
      </c>
      <c r="B160" s="20">
        <v>31</v>
      </c>
      <c r="C160" t="s">
        <v>22</v>
      </c>
      <c r="D160" t="s">
        <v>6</v>
      </c>
      <c r="E160">
        <v>0</v>
      </c>
      <c r="F160" s="23" t="str">
        <f t="shared" si="2"/>
        <v>TN-31-CTRL</v>
      </c>
      <c r="G160">
        <f>VLOOKUP(F160,teams!$A$2:$B$47,2,)</f>
        <v>1</v>
      </c>
    </row>
    <row r="161" spans="1:7" x14ac:dyDescent="0.15">
      <c r="A161" s="20" t="s">
        <v>3</v>
      </c>
      <c r="B161" s="20">
        <v>31</v>
      </c>
      <c r="C161" t="s">
        <v>22</v>
      </c>
      <c r="D161" t="s">
        <v>7</v>
      </c>
      <c r="E161">
        <v>0</v>
      </c>
      <c r="F161" s="23" t="str">
        <f t="shared" si="2"/>
        <v>TN-31-CTRL</v>
      </c>
      <c r="G161">
        <f>VLOOKUP(F161,teams!$A$2:$B$47,2,)</f>
        <v>1</v>
      </c>
    </row>
    <row r="162" spans="1:7" x14ac:dyDescent="0.15">
      <c r="A162" s="20" t="s">
        <v>3</v>
      </c>
      <c r="B162" s="20">
        <v>31</v>
      </c>
      <c r="C162" t="s">
        <v>22</v>
      </c>
      <c r="D162" t="s">
        <v>9</v>
      </c>
      <c r="E162">
        <v>332322.13525626954</v>
      </c>
      <c r="F162" s="23" t="str">
        <f t="shared" si="2"/>
        <v>TN-31-CTRL</v>
      </c>
      <c r="G162">
        <f>VLOOKUP(F162,teams!$A$2:$B$47,2,)</f>
        <v>1</v>
      </c>
    </row>
    <row r="163" spans="1:7" x14ac:dyDescent="0.15">
      <c r="A163" s="20" t="s">
        <v>3</v>
      </c>
      <c r="B163" s="20">
        <v>31</v>
      </c>
      <c r="C163" t="s">
        <v>23</v>
      </c>
      <c r="D163" t="s">
        <v>5</v>
      </c>
      <c r="E163">
        <v>419571.34861705452</v>
      </c>
      <c r="F163" s="23" t="str">
        <f t="shared" si="2"/>
        <v>TN-31-EX</v>
      </c>
      <c r="G163">
        <f>VLOOKUP(F163,teams!$A$2:$B$47,2,)</f>
        <v>1</v>
      </c>
    </row>
    <row r="164" spans="1:7" x14ac:dyDescent="0.15">
      <c r="A164" s="20" t="s">
        <v>3</v>
      </c>
      <c r="B164" s="20">
        <v>31</v>
      </c>
      <c r="C164" t="s">
        <v>23</v>
      </c>
      <c r="D164" t="s">
        <v>6</v>
      </c>
      <c r="E164">
        <v>514835.94748859783</v>
      </c>
      <c r="F164" s="23" t="str">
        <f t="shared" si="2"/>
        <v>TN-31-EX</v>
      </c>
      <c r="G164">
        <f>VLOOKUP(F164,teams!$A$2:$B$47,2,)</f>
        <v>1</v>
      </c>
    </row>
    <row r="165" spans="1:7" x14ac:dyDescent="0.15">
      <c r="A165" s="20" t="s">
        <v>3</v>
      </c>
      <c r="B165" s="20">
        <v>31</v>
      </c>
      <c r="C165" t="s">
        <v>23</v>
      </c>
      <c r="D165" t="s">
        <v>7</v>
      </c>
      <c r="E165">
        <v>383233.5494778452</v>
      </c>
      <c r="F165" s="23" t="str">
        <f t="shared" si="2"/>
        <v>TN-31-EX</v>
      </c>
      <c r="G165">
        <f>VLOOKUP(F165,teams!$A$2:$B$47,2,)</f>
        <v>1</v>
      </c>
    </row>
    <row r="166" spans="1:7" x14ac:dyDescent="0.15">
      <c r="A166" s="20" t="s">
        <v>3</v>
      </c>
      <c r="B166" s="20">
        <v>31</v>
      </c>
      <c r="C166" t="s">
        <v>23</v>
      </c>
      <c r="D166" t="s">
        <v>9</v>
      </c>
      <c r="E166">
        <v>275848.70282207697</v>
      </c>
      <c r="F166" s="23" t="str">
        <f t="shared" si="2"/>
        <v>TN-31-EX</v>
      </c>
      <c r="G166">
        <f>VLOOKUP(F166,teams!$A$2:$B$47,2,)</f>
        <v>1</v>
      </c>
    </row>
    <row r="167" spans="1:7" x14ac:dyDescent="0.15">
      <c r="A167" s="20" t="s">
        <v>3</v>
      </c>
      <c r="B167" s="20">
        <v>32</v>
      </c>
      <c r="C167" t="s">
        <v>21</v>
      </c>
      <c r="D167" t="s">
        <v>5</v>
      </c>
      <c r="E167">
        <v>685646.62869314849</v>
      </c>
      <c r="F167" s="23" t="str">
        <f t="shared" si="2"/>
        <v>TN-32-NA</v>
      </c>
      <c r="G167">
        <f>VLOOKUP(F167,teams!$A$2:$B$47,2,)</f>
        <v>2</v>
      </c>
    </row>
    <row r="168" spans="1:7" x14ac:dyDescent="0.15">
      <c r="A168" s="20" t="s">
        <v>3</v>
      </c>
      <c r="B168" s="20">
        <v>32</v>
      </c>
      <c r="C168" t="s">
        <v>21</v>
      </c>
      <c r="D168" t="s">
        <v>6</v>
      </c>
      <c r="E168">
        <v>1493655.4008334465</v>
      </c>
      <c r="F168" s="23" t="str">
        <f t="shared" si="2"/>
        <v>TN-32-NA</v>
      </c>
      <c r="G168">
        <f>VLOOKUP(F168,teams!$A$2:$B$47,2,)</f>
        <v>2</v>
      </c>
    </row>
    <row r="169" spans="1:7" x14ac:dyDescent="0.15">
      <c r="A169" s="20" t="s">
        <v>3</v>
      </c>
      <c r="B169" s="20">
        <v>32</v>
      </c>
      <c r="C169" t="s">
        <v>21</v>
      </c>
      <c r="D169" t="s">
        <v>7</v>
      </c>
      <c r="E169">
        <v>880244.89877627161</v>
      </c>
      <c r="F169" s="23" t="str">
        <f t="shared" si="2"/>
        <v>TN-32-NA</v>
      </c>
      <c r="G169">
        <f>VLOOKUP(F169,teams!$A$2:$B$47,2,)</f>
        <v>2</v>
      </c>
    </row>
    <row r="170" spans="1:7" x14ac:dyDescent="0.15">
      <c r="A170" s="20" t="s">
        <v>3</v>
      </c>
      <c r="B170" s="20">
        <v>32</v>
      </c>
      <c r="C170" t="s">
        <v>21</v>
      </c>
      <c r="D170" t="s">
        <v>9</v>
      </c>
      <c r="E170">
        <v>0</v>
      </c>
      <c r="F170" s="23" t="str">
        <f t="shared" si="2"/>
        <v>TN-32-NA</v>
      </c>
      <c r="G170">
        <f>VLOOKUP(F170,teams!$A$2:$B$47,2,)</f>
        <v>2</v>
      </c>
    </row>
    <row r="171" spans="1:7" x14ac:dyDescent="0.15">
      <c r="A171" s="20" t="s">
        <v>3</v>
      </c>
      <c r="B171" s="20">
        <v>33</v>
      </c>
      <c r="C171" t="s">
        <v>21</v>
      </c>
      <c r="D171" t="s">
        <v>5</v>
      </c>
      <c r="E171">
        <v>0</v>
      </c>
      <c r="F171" s="23" t="str">
        <f t="shared" si="2"/>
        <v>TN-33-NA</v>
      </c>
      <c r="G171">
        <f>VLOOKUP(F171,teams!$A$2:$B$47,2,)</f>
        <v>1</v>
      </c>
    </row>
    <row r="172" spans="1:7" x14ac:dyDescent="0.15">
      <c r="A172" s="20" t="s">
        <v>3</v>
      </c>
      <c r="B172" s="20">
        <v>33</v>
      </c>
      <c r="C172" t="s">
        <v>21</v>
      </c>
      <c r="D172" t="s">
        <v>6</v>
      </c>
      <c r="E172">
        <v>168558.23877315523</v>
      </c>
      <c r="F172" s="23" t="str">
        <f t="shared" si="2"/>
        <v>TN-33-NA</v>
      </c>
      <c r="G172">
        <f>VLOOKUP(F172,teams!$A$2:$B$47,2,)</f>
        <v>1</v>
      </c>
    </row>
    <row r="173" spans="1:7" x14ac:dyDescent="0.15">
      <c r="A173" s="20" t="s">
        <v>3</v>
      </c>
      <c r="B173" s="20">
        <v>33</v>
      </c>
      <c r="C173" t="s">
        <v>21</v>
      </c>
      <c r="D173" t="s">
        <v>7</v>
      </c>
      <c r="E173">
        <v>0</v>
      </c>
      <c r="F173" s="23" t="str">
        <f t="shared" si="2"/>
        <v>TN-33-NA</v>
      </c>
      <c r="G173">
        <f>VLOOKUP(F173,teams!$A$2:$B$47,2,)</f>
        <v>1</v>
      </c>
    </row>
    <row r="174" spans="1:7" x14ac:dyDescent="0.15">
      <c r="A174" s="20" t="s">
        <v>3</v>
      </c>
      <c r="B174" s="20">
        <v>33</v>
      </c>
      <c r="C174" t="s">
        <v>21</v>
      </c>
      <c r="D174" t="s">
        <v>9</v>
      </c>
      <c r="E174">
        <v>238279.74147537648</v>
      </c>
      <c r="F174" s="23" t="str">
        <f t="shared" si="2"/>
        <v>TN-33-NA</v>
      </c>
      <c r="G174">
        <f>VLOOKUP(F174,teams!$A$2:$B$47,2,)</f>
        <v>1</v>
      </c>
    </row>
    <row r="175" spans="1:7" x14ac:dyDescent="0.15">
      <c r="A175" s="20" t="s">
        <v>3</v>
      </c>
      <c r="B175" s="20">
        <v>34</v>
      </c>
      <c r="C175" t="s">
        <v>22</v>
      </c>
      <c r="D175" t="s">
        <v>5</v>
      </c>
      <c r="E175">
        <v>0</v>
      </c>
      <c r="F175" s="23" t="str">
        <f t="shared" si="2"/>
        <v>TN-34-CTRL</v>
      </c>
      <c r="G175">
        <f>VLOOKUP(F175,teams!$A$2:$B$47,2,)</f>
        <v>2</v>
      </c>
    </row>
    <row r="176" spans="1:7" x14ac:dyDescent="0.15">
      <c r="A176" s="20" t="s">
        <v>3</v>
      </c>
      <c r="B176" s="20">
        <v>34</v>
      </c>
      <c r="C176" t="s">
        <v>22</v>
      </c>
      <c r="D176" t="s">
        <v>6</v>
      </c>
      <c r="E176">
        <v>0</v>
      </c>
      <c r="F176" s="23" t="str">
        <f t="shared" si="2"/>
        <v>TN-34-CTRL</v>
      </c>
      <c r="G176">
        <f>VLOOKUP(F176,teams!$A$2:$B$47,2,)</f>
        <v>2</v>
      </c>
    </row>
    <row r="177" spans="1:7" x14ac:dyDescent="0.15">
      <c r="A177" s="20" t="s">
        <v>3</v>
      </c>
      <c r="B177" s="20">
        <v>34</v>
      </c>
      <c r="C177" t="s">
        <v>22</v>
      </c>
      <c r="D177" t="s">
        <v>7</v>
      </c>
      <c r="E177">
        <v>300003.81789112196</v>
      </c>
      <c r="F177" s="23" t="str">
        <f t="shared" si="2"/>
        <v>TN-34-CTRL</v>
      </c>
      <c r="G177">
        <f>VLOOKUP(F177,teams!$A$2:$B$47,2,)</f>
        <v>2</v>
      </c>
    </row>
    <row r="178" spans="1:7" x14ac:dyDescent="0.15">
      <c r="A178" s="20" t="s">
        <v>3</v>
      </c>
      <c r="B178" s="20">
        <v>34</v>
      </c>
      <c r="C178" t="s">
        <v>22</v>
      </c>
      <c r="D178" t="s">
        <v>9</v>
      </c>
      <c r="E178">
        <v>0</v>
      </c>
      <c r="F178" s="23" t="str">
        <f t="shared" si="2"/>
        <v>TN-34-CTRL</v>
      </c>
      <c r="G178">
        <f>VLOOKUP(F178,teams!$A$2:$B$47,2,)</f>
        <v>2</v>
      </c>
    </row>
    <row r="179" spans="1:7" x14ac:dyDescent="0.15">
      <c r="A179" s="20" t="s">
        <v>3</v>
      </c>
      <c r="B179" s="20">
        <v>34</v>
      </c>
      <c r="C179" t="s">
        <v>23</v>
      </c>
      <c r="D179" t="s">
        <v>5</v>
      </c>
      <c r="E179">
        <v>0</v>
      </c>
      <c r="F179" s="23" t="str">
        <f t="shared" si="2"/>
        <v>TN-34-EX</v>
      </c>
      <c r="G179">
        <f>VLOOKUP(F179,teams!$A$2:$B$47,2,)</f>
        <v>2</v>
      </c>
    </row>
    <row r="180" spans="1:7" x14ac:dyDescent="0.15">
      <c r="A180" s="20" t="s">
        <v>3</v>
      </c>
      <c r="B180" s="20">
        <v>34</v>
      </c>
      <c r="C180" t="s">
        <v>23</v>
      </c>
      <c r="D180" t="s">
        <v>6</v>
      </c>
      <c r="E180">
        <v>0</v>
      </c>
      <c r="F180" s="23" t="str">
        <f t="shared" si="2"/>
        <v>TN-34-EX</v>
      </c>
      <c r="G180">
        <f>VLOOKUP(F180,teams!$A$2:$B$47,2,)</f>
        <v>2</v>
      </c>
    </row>
    <row r="181" spans="1:7" x14ac:dyDescent="0.15">
      <c r="A181" s="20" t="s">
        <v>3</v>
      </c>
      <c r="B181" s="20">
        <v>34</v>
      </c>
      <c r="C181" t="s">
        <v>23</v>
      </c>
      <c r="D181" t="s">
        <v>7</v>
      </c>
      <c r="E181">
        <v>258976.32644237342</v>
      </c>
      <c r="F181" s="23" t="str">
        <f t="shared" si="2"/>
        <v>TN-34-EX</v>
      </c>
      <c r="G181">
        <f>VLOOKUP(F181,teams!$A$2:$B$47,2,)</f>
        <v>2</v>
      </c>
    </row>
    <row r="182" spans="1:7" x14ac:dyDescent="0.15">
      <c r="A182" s="20" t="s">
        <v>3</v>
      </c>
      <c r="B182" s="20">
        <v>34</v>
      </c>
      <c r="C182" t="s">
        <v>23</v>
      </c>
      <c r="D182" t="s">
        <v>9</v>
      </c>
      <c r="E182">
        <v>0</v>
      </c>
      <c r="F182" s="23" t="str">
        <f t="shared" si="2"/>
        <v>TN-34-EX</v>
      </c>
      <c r="G182">
        <f>VLOOKUP(F182,teams!$A$2:$B$47,2,)</f>
        <v>2</v>
      </c>
    </row>
  </sheetData>
  <autoFilter ref="A1:G1" xr:uid="{933A1E84-6EFE-AA47-B611-6EA1B939AB91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00C78-1155-8D4F-ADC3-8926C4367EAB}">
  <dimension ref="A1:G41"/>
  <sheetViews>
    <sheetView workbookViewId="0">
      <selection activeCell="D32" sqref="D32"/>
    </sheetView>
  </sheetViews>
  <sheetFormatPr baseColWidth="10" defaultRowHeight="16" x14ac:dyDescent="0.2"/>
  <cols>
    <col min="1" max="1" width="21.33203125" style="34" customWidth="1"/>
    <col min="2" max="4" width="23.33203125" style="34" customWidth="1"/>
    <col min="5" max="5" width="42.83203125" style="34" bestFit="1" customWidth="1"/>
    <col min="6" max="6" width="10.83203125" style="34"/>
    <col min="7" max="7" width="15.1640625" style="38" bestFit="1" customWidth="1"/>
    <col min="8" max="16384" width="10.83203125" style="34"/>
  </cols>
  <sheetData>
    <row r="1" spans="1:7" x14ac:dyDescent="0.2">
      <c r="A1" s="39" t="s">
        <v>277</v>
      </c>
      <c r="B1" s="39" t="s">
        <v>278</v>
      </c>
      <c r="C1" s="40" t="s">
        <v>279</v>
      </c>
      <c r="D1" s="32"/>
      <c r="E1" s="32"/>
      <c r="F1" s="32"/>
      <c r="G1" s="33"/>
    </row>
    <row r="2" spans="1:7" x14ac:dyDescent="0.2">
      <c r="A2" t="s">
        <v>10</v>
      </c>
      <c r="B2" s="41" t="s">
        <v>280</v>
      </c>
      <c r="C2" s="42" t="s">
        <v>281</v>
      </c>
      <c r="G2" s="36"/>
    </row>
    <row r="3" spans="1:7" x14ac:dyDescent="0.2">
      <c r="A3" t="s">
        <v>14</v>
      </c>
      <c r="B3" s="41" t="s">
        <v>282</v>
      </c>
      <c r="C3" s="42" t="s">
        <v>283</v>
      </c>
      <c r="G3" s="36"/>
    </row>
    <row r="4" spans="1:7" x14ac:dyDescent="0.2">
      <c r="A4" t="s">
        <v>11</v>
      </c>
      <c r="B4" s="41" t="s">
        <v>282</v>
      </c>
      <c r="C4" s="42" t="s">
        <v>283</v>
      </c>
      <c r="G4" s="36"/>
    </row>
    <row r="5" spans="1:7" x14ac:dyDescent="0.2">
      <c r="A5" t="s">
        <v>15</v>
      </c>
      <c r="B5" s="41" t="s">
        <v>282</v>
      </c>
      <c r="C5" s="42" t="s">
        <v>283</v>
      </c>
      <c r="G5" s="36"/>
    </row>
    <row r="6" spans="1:7" x14ac:dyDescent="0.2">
      <c r="A6" t="s">
        <v>8</v>
      </c>
      <c r="B6" s="41" t="s">
        <v>284</v>
      </c>
      <c r="C6" s="42" t="s">
        <v>285</v>
      </c>
      <c r="G6" s="36"/>
    </row>
    <row r="7" spans="1:7" x14ac:dyDescent="0.2">
      <c r="A7" t="s">
        <v>17</v>
      </c>
      <c r="B7" s="41" t="s">
        <v>282</v>
      </c>
      <c r="C7" s="42" t="s">
        <v>283</v>
      </c>
      <c r="G7" s="36"/>
    </row>
    <row r="8" spans="1:7" x14ac:dyDescent="0.2">
      <c r="A8" t="s">
        <v>12</v>
      </c>
      <c r="B8" s="41" t="s">
        <v>282</v>
      </c>
      <c r="C8" s="42" t="s">
        <v>283</v>
      </c>
      <c r="G8" s="36"/>
    </row>
    <row r="9" spans="1:7" x14ac:dyDescent="0.2">
      <c r="A9" t="s">
        <v>13</v>
      </c>
      <c r="B9" s="41" t="s">
        <v>282</v>
      </c>
      <c r="C9" s="42" t="s">
        <v>283</v>
      </c>
      <c r="G9" s="36"/>
    </row>
    <row r="10" spans="1:7" x14ac:dyDescent="0.2">
      <c r="A10" t="s">
        <v>16</v>
      </c>
      <c r="B10" s="41" t="s">
        <v>282</v>
      </c>
      <c r="C10" s="42" t="s">
        <v>283</v>
      </c>
      <c r="G10" s="36"/>
    </row>
    <row r="11" spans="1:7" x14ac:dyDescent="0.2">
      <c r="A11" t="s">
        <v>19</v>
      </c>
      <c r="B11" s="41" t="s">
        <v>282</v>
      </c>
      <c r="C11" s="42" t="s">
        <v>283</v>
      </c>
      <c r="G11" s="36"/>
    </row>
    <row r="12" spans="1:7" x14ac:dyDescent="0.2">
      <c r="A12" t="s">
        <v>20</v>
      </c>
      <c r="B12" s="41" t="s">
        <v>282</v>
      </c>
      <c r="C12" s="42" t="s">
        <v>283</v>
      </c>
      <c r="D12" s="37"/>
      <c r="G12" s="36"/>
    </row>
    <row r="13" spans="1:7" x14ac:dyDescent="0.2">
      <c r="C13" s="35"/>
      <c r="G13" s="36"/>
    </row>
    <row r="14" spans="1:7" x14ac:dyDescent="0.2">
      <c r="C14" s="35"/>
      <c r="G14" s="36"/>
    </row>
    <row r="15" spans="1:7" x14ac:dyDescent="0.2">
      <c r="C15" s="35"/>
      <c r="G15" s="36"/>
    </row>
    <row r="16" spans="1:7" x14ac:dyDescent="0.2">
      <c r="C16" s="35"/>
      <c r="G16" s="36"/>
    </row>
    <row r="17" spans="1:7" x14ac:dyDescent="0.2">
      <c r="C17" s="35"/>
      <c r="G17" s="36"/>
    </row>
    <row r="18" spans="1:7" x14ac:dyDescent="0.2">
      <c r="C18" s="35"/>
      <c r="G18" s="36"/>
    </row>
    <row r="19" spans="1:7" x14ac:dyDescent="0.2">
      <c r="C19" s="35"/>
      <c r="G19" s="36"/>
    </row>
    <row r="20" spans="1:7" x14ac:dyDescent="0.2">
      <c r="C20" s="35"/>
      <c r="G20" s="36"/>
    </row>
    <row r="21" spans="1:7" x14ac:dyDescent="0.2">
      <c r="C21" s="35"/>
      <c r="G21" s="36"/>
    </row>
    <row r="22" spans="1:7" x14ac:dyDescent="0.2">
      <c r="C22" s="35"/>
      <c r="G22" s="36"/>
    </row>
    <row r="23" spans="1:7" x14ac:dyDescent="0.2">
      <c r="C23" s="35"/>
      <c r="G23" s="36"/>
    </row>
    <row r="24" spans="1:7" x14ac:dyDescent="0.2">
      <c r="A24" s="37"/>
      <c r="B24" s="37"/>
      <c r="C24" s="35"/>
      <c r="D24" s="37"/>
      <c r="G24" s="36"/>
    </row>
    <row r="25" spans="1:7" x14ac:dyDescent="0.2">
      <c r="C25" s="35"/>
      <c r="G25" s="36"/>
    </row>
    <row r="26" spans="1:7" x14ac:dyDescent="0.2">
      <c r="C26" s="35"/>
      <c r="G26" s="36"/>
    </row>
    <row r="27" spans="1:7" x14ac:dyDescent="0.2">
      <c r="C27" s="35"/>
      <c r="G27" s="36"/>
    </row>
    <row r="28" spans="1:7" x14ac:dyDescent="0.2">
      <c r="C28" s="35"/>
      <c r="G28" s="36"/>
    </row>
    <row r="29" spans="1:7" x14ac:dyDescent="0.2">
      <c r="C29" s="35"/>
      <c r="G29" s="36"/>
    </row>
    <row r="30" spans="1:7" x14ac:dyDescent="0.2">
      <c r="C30" s="35"/>
      <c r="G30" s="36"/>
    </row>
    <row r="31" spans="1:7" x14ac:dyDescent="0.2">
      <c r="C31" s="35"/>
      <c r="G31" s="36"/>
    </row>
    <row r="32" spans="1:7" x14ac:dyDescent="0.2">
      <c r="C32" s="35"/>
      <c r="G32" s="36"/>
    </row>
    <row r="33" spans="3:7" x14ac:dyDescent="0.2">
      <c r="C33" s="35"/>
      <c r="G33" s="36"/>
    </row>
    <row r="34" spans="3:7" x14ac:dyDescent="0.2">
      <c r="C34" s="35"/>
      <c r="G34" s="36"/>
    </row>
    <row r="35" spans="3:7" x14ac:dyDescent="0.2">
      <c r="C35" s="35"/>
      <c r="G35" s="36"/>
    </row>
    <row r="36" spans="3:7" x14ac:dyDescent="0.2">
      <c r="C36" s="35"/>
      <c r="G36" s="36"/>
    </row>
    <row r="37" spans="3:7" x14ac:dyDescent="0.2">
      <c r="C37" s="35"/>
      <c r="G37" s="36"/>
    </row>
    <row r="38" spans="3:7" x14ac:dyDescent="0.2">
      <c r="C38" s="35"/>
      <c r="G38" s="36"/>
    </row>
    <row r="39" spans="3:7" x14ac:dyDescent="0.2">
      <c r="C39" s="35"/>
      <c r="G39" s="36"/>
    </row>
    <row r="40" spans="3:7" x14ac:dyDescent="0.2">
      <c r="C40" s="35"/>
      <c r="G40" s="36"/>
    </row>
    <row r="41" spans="3:7" x14ac:dyDescent="0.2">
      <c r="C41" s="35"/>
      <c r="G41" s="3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68C9F-0CAC-B644-AB00-DC16CE2FA215}">
  <dimension ref="A1:AB13"/>
  <sheetViews>
    <sheetView workbookViewId="0">
      <pane xSplit="1" topLeftCell="B1" activePane="topRight" state="frozen"/>
      <selection pane="topRight" activeCell="A3" sqref="A3:A13"/>
    </sheetView>
  </sheetViews>
  <sheetFormatPr baseColWidth="10" defaultRowHeight="13" x14ac:dyDescent="0.15"/>
  <cols>
    <col min="1" max="1" width="10.83203125" customWidth="1"/>
    <col min="2" max="2" width="134.5" customWidth="1"/>
    <col min="3" max="5" width="10.83203125" customWidth="1"/>
    <col min="6" max="6" width="12.6640625" customWidth="1"/>
    <col min="7" max="19" width="10.83203125" customWidth="1"/>
    <col min="20" max="20" width="64.5" customWidth="1"/>
  </cols>
  <sheetData>
    <row r="1" spans="1:28" x14ac:dyDescent="0.15">
      <c r="H1" s="44" t="s">
        <v>262</v>
      </c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26"/>
      <c r="U1" s="44" t="s">
        <v>263</v>
      </c>
      <c r="V1" s="44"/>
      <c r="W1" s="44"/>
      <c r="X1" s="44"/>
      <c r="Y1" s="44"/>
      <c r="Z1" s="44"/>
      <c r="AA1" s="44"/>
      <c r="AB1" s="44"/>
    </row>
    <row r="2" spans="1:28" ht="16" x14ac:dyDescent="0.2">
      <c r="A2" s="9" t="s">
        <v>38</v>
      </c>
      <c r="B2" s="13" t="s">
        <v>42</v>
      </c>
      <c r="C2" s="13" t="s">
        <v>43</v>
      </c>
      <c r="D2" s="13" t="s">
        <v>44</v>
      </c>
      <c r="E2" s="13" t="s">
        <v>45</v>
      </c>
      <c r="F2" s="14" t="s">
        <v>46</v>
      </c>
      <c r="G2" s="13" t="s">
        <v>47</v>
      </c>
      <c r="H2" s="15" t="s">
        <v>48</v>
      </c>
      <c r="I2" s="15" t="s">
        <v>49</v>
      </c>
      <c r="J2" s="15" t="s">
        <v>50</v>
      </c>
      <c r="K2" s="15" t="s">
        <v>51</v>
      </c>
      <c r="L2" s="15" t="s">
        <v>52</v>
      </c>
      <c r="M2" s="15" t="s">
        <v>53</v>
      </c>
      <c r="N2" s="15" t="s">
        <v>54</v>
      </c>
      <c r="O2" s="15" t="s">
        <v>55</v>
      </c>
      <c r="P2" s="15" t="s">
        <v>56</v>
      </c>
      <c r="Q2" s="15" t="s">
        <v>57</v>
      </c>
      <c r="R2" s="15" t="s">
        <v>58</v>
      </c>
      <c r="S2" s="15" t="s">
        <v>59</v>
      </c>
      <c r="T2" s="27" t="s">
        <v>264</v>
      </c>
      <c r="U2" s="15" t="s">
        <v>48</v>
      </c>
      <c r="V2" s="15" t="s">
        <v>49</v>
      </c>
      <c r="W2" s="15" t="s">
        <v>51</v>
      </c>
      <c r="X2" s="15" t="s">
        <v>52</v>
      </c>
      <c r="Y2" s="15" t="s">
        <v>54</v>
      </c>
      <c r="Z2" s="15" t="s">
        <v>55</v>
      </c>
      <c r="AA2" s="15" t="s">
        <v>57</v>
      </c>
      <c r="AB2" s="15" t="s">
        <v>58</v>
      </c>
    </row>
    <row r="3" spans="1:28" ht="16" x14ac:dyDescent="0.2">
      <c r="A3" t="s">
        <v>10</v>
      </c>
      <c r="B3" s="10" t="str">
        <f>"(("&amp;H3&amp;"*(X4^"&amp;I3&amp;")*X2^"&amp;J3&amp;")+("&amp;K3&amp;"*(X4^"&amp;L3&amp;")*X2^"&amp;M3&amp;")+("&amp;N3&amp;"*(X4^"&amp;O3&amp;")*X2^"&amp;P3&amp;")+("&amp;Q3&amp;"*(X4^"&amp;R3&amp;")*X2^"&amp;S3&amp;"))*1000"</f>
        <v>((0.0294*(X4^1.8357)*X2^0.864)+(0.0053*(X4^2.0876)*X2^0.5842)+(0.0117*(X4^3.5097)*X2^-1.3006)+(0.1245*(X4^2.523)*X2^-1.123))*1000</v>
      </c>
      <c r="C3" s="10" t="s">
        <v>39</v>
      </c>
      <c r="D3" s="10" t="s">
        <v>40</v>
      </c>
      <c r="F3" s="11" t="str">
        <f>TEXT(B3,)</f>
        <v>((0.0294*(X4^1.8357)*X2^0.864)+(0.0053*(X4^2.0876)*X2^0.5842)+(0.0117*(X4^3.5097)*X2^-1.3006)+(0.1245*(X4^2.523)*X2^-1.123))*1000</v>
      </c>
      <c r="G3" s="12" t="s">
        <v>41</v>
      </c>
      <c r="H3">
        <v>2.9399999999999999E-2</v>
      </c>
      <c r="I3">
        <v>1.8357000000000001</v>
      </c>
      <c r="J3">
        <v>0.86399999999999999</v>
      </c>
      <c r="K3">
        <v>5.3E-3</v>
      </c>
      <c r="L3">
        <v>2.0876000000000001</v>
      </c>
      <c r="M3">
        <v>0.58420000000000005</v>
      </c>
      <c r="N3">
        <v>1.17E-2</v>
      </c>
      <c r="O3">
        <v>3.5097</v>
      </c>
      <c r="P3">
        <v>-1.3006</v>
      </c>
      <c r="Q3">
        <v>0.1245</v>
      </c>
      <c r="R3">
        <v>2.5230000000000001</v>
      </c>
      <c r="S3">
        <v>-1.123</v>
      </c>
      <c r="T3" s="28" t="str">
        <f>(U3&amp;"*(X4^"&amp;V3&amp;")+"&amp;W3&amp;"*(X4^"&amp;X3&amp;")+"&amp;Y3&amp;"*(X4^"&amp;Z3&amp;")+"&amp;AA3&amp;"*(X4^"&amp;AB3&amp;")")</f>
        <v>0.0534*(X4^2.403)+0.0115*(X4^2.3484)+0.007*(X4^2.5406)+0.084*(X4^1.6695)</v>
      </c>
      <c r="U3">
        <v>5.3400000000000003E-2</v>
      </c>
      <c r="V3">
        <v>2.403</v>
      </c>
      <c r="W3">
        <v>1.15E-2</v>
      </c>
      <c r="X3">
        <v>2.3483999999999998</v>
      </c>
      <c r="Y3">
        <v>7.0000000000000001E-3</v>
      </c>
      <c r="Z3">
        <v>2.5406</v>
      </c>
      <c r="AA3">
        <v>8.4000000000000005E-2</v>
      </c>
      <c r="AB3">
        <v>1.6695</v>
      </c>
    </row>
    <row r="4" spans="1:28" ht="16" x14ac:dyDescent="0.2">
      <c r="A4" t="s">
        <v>14</v>
      </c>
      <c r="B4" s="10" t="str">
        <f>"(("&amp;H4&amp;"*(X4^"&amp;I4&amp;")*X2^"&amp;J4&amp;")+("&amp;K4&amp;"*(X4^"&amp;L4&amp;")*X2^"&amp;M4&amp;")+("&amp;N4&amp;"*(X4^"&amp;O4&amp;")*X2^"&amp;P4&amp;")+("&amp;Q4&amp;"*(X4^"&amp;R4&amp;")*X2^"&amp;S4&amp;"))*1000"</f>
        <v>((0.0306*(X4^2.1836)*X2^0.574)+(0.0897*(X4^2.2634)*X2^-0.567)+(0.0994*(X4^2.163)*X2^-0.4809)+(0.0124*(X4^1.0325)*X2^0.8747))*1000</v>
      </c>
      <c r="C4" s="10" t="s">
        <v>39</v>
      </c>
      <c r="D4" s="10" t="s">
        <v>40</v>
      </c>
      <c r="E4" s="10"/>
      <c r="F4" s="11" t="str">
        <f>TEXT(B4,)</f>
        <v>((0.0306*(X4^2.1836)*X2^0.574)+(0.0897*(X4^2.2634)*X2^-0.567)+(0.0994*(X4^2.163)*X2^-0.4809)+(0.0124*(X4^1.0325)*X2^0.8747))*1000</v>
      </c>
      <c r="G4" t="s">
        <v>41</v>
      </c>
      <c r="H4">
        <v>3.0599999999999999E-2</v>
      </c>
      <c r="I4">
        <v>2.1836000000000002</v>
      </c>
      <c r="J4">
        <v>0.57399999999999995</v>
      </c>
      <c r="K4">
        <v>8.9700000000000002E-2</v>
      </c>
      <c r="L4">
        <v>2.2633999999999999</v>
      </c>
      <c r="M4">
        <v>-0.56699999999999995</v>
      </c>
      <c r="N4">
        <v>9.9400000000000002E-2</v>
      </c>
      <c r="O4">
        <v>2.1629999999999998</v>
      </c>
      <c r="P4">
        <v>-0.48089999999999999</v>
      </c>
      <c r="Q4">
        <v>1.24E-2</v>
      </c>
      <c r="R4">
        <v>1.0325</v>
      </c>
      <c r="S4">
        <v>0.87470000000000003</v>
      </c>
      <c r="T4" s="28" t="str">
        <f t="shared" ref="T4:T13" si="0">(U4&amp;"*(X4^"&amp;V4&amp;")+"&amp;W4&amp;"*(X4^"&amp;X4&amp;")+"&amp;Y4&amp;"*(X4^"&amp;Z4&amp;")+"&amp;AA4&amp;"*(X4^"&amp;AB4&amp;")")</f>
        <v>0.0941*(X4^2.3491)+0.0323*(X4^2.0761)+0.0448*(X4^1.9771)+0.0538*(X4^1.3584)</v>
      </c>
      <c r="U4">
        <v>9.4100000000000003E-2</v>
      </c>
      <c r="V4">
        <v>2.3491</v>
      </c>
      <c r="W4">
        <v>3.2300000000000002E-2</v>
      </c>
      <c r="X4">
        <v>2.0760999999999998</v>
      </c>
      <c r="Y4">
        <v>4.48E-2</v>
      </c>
      <c r="Z4">
        <v>1.9771000000000001</v>
      </c>
      <c r="AA4">
        <v>5.3800000000000001E-2</v>
      </c>
      <c r="AB4">
        <v>1.3584000000000001</v>
      </c>
    </row>
    <row r="5" spans="1:28" ht="16" x14ac:dyDescent="0.2">
      <c r="A5" t="s">
        <v>11</v>
      </c>
      <c r="B5" s="10" t="str">
        <f>"(("&amp;H5&amp;"*(X4^"&amp;I5&amp;")*X2^"&amp;J5&amp;")+("&amp;K5&amp;"*(X4^"&amp;L5&amp;")*X2^"&amp;M5&amp;")+("&amp;N5&amp;"*(X4^"&amp;O5&amp;")*X2^"&amp;P5&amp;")+("&amp;Q5&amp;"*(X4^"&amp;R5&amp;")*X2^"&amp;S5&amp;"))*1000"</f>
        <v>((0.0259*(X4^1.9044)*X2^0.9715)+(0.0069*(X4^2.0834)*X2^0.5371)+(0.0325*(X4^2.3851)*X2^0)+(0.1683*(X4^1.2764)*X2^0))*1000</v>
      </c>
      <c r="C5" s="10" t="s">
        <v>39</v>
      </c>
      <c r="D5" s="10" t="s">
        <v>40</v>
      </c>
      <c r="F5" s="11" t="str">
        <f>TEXT(B5,)</f>
        <v>((0.0259*(X4^1.9044)*X2^0.9715)+(0.0069*(X4^2.0834)*X2^0.5371)+(0.0325*(X4^2.3851)*X2^0)+(0.1683*(X4^1.2764)*X2^0))*1000</v>
      </c>
      <c r="G5" t="s">
        <v>41</v>
      </c>
      <c r="H5">
        <v>2.5899999999999999E-2</v>
      </c>
      <c r="I5">
        <v>1.9044000000000001</v>
      </c>
      <c r="J5">
        <v>0.97150000000000003</v>
      </c>
      <c r="K5">
        <v>6.8999999999999999E-3</v>
      </c>
      <c r="L5">
        <v>2.0834000000000001</v>
      </c>
      <c r="M5">
        <v>0.53710000000000002</v>
      </c>
      <c r="N5">
        <v>3.2500000000000001E-2</v>
      </c>
      <c r="O5">
        <v>2.3851</v>
      </c>
      <c r="P5">
        <v>0</v>
      </c>
      <c r="Q5">
        <v>0.16830000000000001</v>
      </c>
      <c r="R5">
        <v>1.2764</v>
      </c>
      <c r="S5">
        <v>0</v>
      </c>
      <c r="T5" s="28" t="str">
        <f t="shared" si="0"/>
        <v>0.1932*(X4^2.1569)+0.0192*(X4^2.2475)+0.0305*(X4^2.4044)+0.1119*(X4^1.3973)</v>
      </c>
      <c r="U5">
        <v>0.19320000000000001</v>
      </c>
      <c r="V5">
        <v>2.1568999999999998</v>
      </c>
      <c r="W5">
        <v>1.9199999999999998E-2</v>
      </c>
      <c r="X5">
        <v>2.2475000000000001</v>
      </c>
      <c r="Y5">
        <v>3.0499999999999999E-2</v>
      </c>
      <c r="Z5">
        <v>2.4043999999999999</v>
      </c>
      <c r="AA5">
        <v>0.1119</v>
      </c>
      <c r="AB5">
        <v>1.3973</v>
      </c>
    </row>
    <row r="6" spans="1:28" ht="16" x14ac:dyDescent="0.2">
      <c r="A6" t="s">
        <v>15</v>
      </c>
      <c r="B6" s="16" t="s">
        <v>60</v>
      </c>
      <c r="C6" s="16" t="s">
        <v>39</v>
      </c>
      <c r="D6" s="16" t="s">
        <v>40</v>
      </c>
      <c r="E6" s="16" t="s">
        <v>61</v>
      </c>
      <c r="F6" s="11" t="s">
        <v>60</v>
      </c>
      <c r="G6" s="16" t="s">
        <v>41</v>
      </c>
      <c r="H6" s="16">
        <v>2.5899999999999999E-2</v>
      </c>
      <c r="I6" s="16">
        <v>1.9044000000000001</v>
      </c>
      <c r="J6" s="16">
        <v>0.97150000000000003</v>
      </c>
      <c r="K6" s="16">
        <v>6.8999999999999999E-3</v>
      </c>
      <c r="L6" s="16">
        <v>2.0834000000000001</v>
      </c>
      <c r="M6" s="16">
        <v>0.53710000000000002</v>
      </c>
      <c r="N6" s="16">
        <v>3.2500000000000001E-2</v>
      </c>
      <c r="O6" s="16">
        <v>2.3851</v>
      </c>
      <c r="P6" s="16">
        <v>0</v>
      </c>
      <c r="Q6" s="16">
        <v>0.16830000000000001</v>
      </c>
      <c r="R6" s="16">
        <v>1.2764</v>
      </c>
      <c r="S6" s="16">
        <v>0</v>
      </c>
      <c r="T6" s="28" t="str">
        <f t="shared" si="0"/>
        <v>0.0593*(X4^2.5026)+0.0135*(X4^2.4053)+0.0135*(X4^2.5532)+0.0546*(X4^1.6251)</v>
      </c>
      <c r="U6" s="16">
        <v>5.9299999999999999E-2</v>
      </c>
      <c r="V6" s="16">
        <v>2.5026000000000002</v>
      </c>
      <c r="W6" s="16">
        <v>1.35E-2</v>
      </c>
      <c r="X6" s="16">
        <v>2.4053</v>
      </c>
      <c r="Y6" s="16">
        <v>1.35E-2</v>
      </c>
      <c r="Z6" s="16">
        <v>2.5531999999999999</v>
      </c>
      <c r="AA6" s="16">
        <v>5.4600000000000003E-2</v>
      </c>
      <c r="AB6" s="16">
        <v>1.6251</v>
      </c>
    </row>
    <row r="7" spans="1:28" ht="16" x14ac:dyDescent="0.2">
      <c r="A7" t="s">
        <v>8</v>
      </c>
      <c r="B7" s="10" t="str">
        <f t="shared" ref="B7:B13" si="1">"(("&amp;H7&amp;"*(X4^"&amp;I7&amp;")*X2^"&amp;J7&amp;")+("&amp;K7&amp;"*(X4^"&amp;L7&amp;")*X2^"&amp;M7&amp;")+("&amp;N7&amp;"*(X4^"&amp;O7&amp;")*X2^"&amp;P7&amp;")+("&amp;Q7&amp;"*(X4^"&amp;R7&amp;")*X2^"&amp;S7&amp;"))*1000"</f>
        <v>((0.0309*(X4^1.7527)*X2^1.0014)+(0.0115*(X4^1.7405)*X2^0.6589)+(0.038*(X4^3.2558)*X2^-1.4218)+(0.2048*(X4^2.5754)*X2^-1.3704))*1000</v>
      </c>
      <c r="C7" s="10" t="s">
        <v>39</v>
      </c>
      <c r="D7" s="10" t="s">
        <v>40</v>
      </c>
      <c r="F7" s="11" t="str">
        <f t="shared" ref="F7:F13" si="2">TEXT(B7,)</f>
        <v>((0.0309*(X4^1.7527)*X2^1.0014)+(0.0115*(X4^1.7405)*X2^0.6589)+(0.038*(X4^3.2558)*X2^-1.4218)+(0.2048*(X4^2.5754)*X2^-1.3704))*1000</v>
      </c>
      <c r="G7" s="12" t="s">
        <v>41</v>
      </c>
      <c r="H7">
        <v>3.09E-2</v>
      </c>
      <c r="I7">
        <v>1.7526999999999999</v>
      </c>
      <c r="J7">
        <v>1.0014000000000001</v>
      </c>
      <c r="K7">
        <v>1.15E-2</v>
      </c>
      <c r="L7">
        <v>1.7404999999999999</v>
      </c>
      <c r="M7">
        <v>0.65890000000000004</v>
      </c>
      <c r="N7">
        <v>3.7999999999999999E-2</v>
      </c>
      <c r="O7">
        <v>3.2557999999999998</v>
      </c>
      <c r="P7">
        <v>-1.4218</v>
      </c>
      <c r="Q7">
        <v>0.20480000000000001</v>
      </c>
      <c r="R7">
        <v>2.5754000000000001</v>
      </c>
      <c r="S7">
        <v>-1.3704000000000001</v>
      </c>
      <c r="T7" s="28" t="str">
        <f t="shared" si="0"/>
        <v>0.0477*(X4^2.5147)+0.0153*(X4^2.2429)+0.0278*(X4^2.0839)+0.1648*(X4^1.4143)</v>
      </c>
      <c r="U7">
        <v>4.7699999999999999E-2</v>
      </c>
      <c r="V7">
        <v>2.5146999999999999</v>
      </c>
      <c r="W7">
        <v>1.5299999999999999E-2</v>
      </c>
      <c r="X7">
        <v>2.2429000000000001</v>
      </c>
      <c r="Y7">
        <v>2.7799999999999998E-2</v>
      </c>
      <c r="Z7">
        <v>2.0838999999999999</v>
      </c>
      <c r="AA7">
        <v>0.1648</v>
      </c>
      <c r="AB7">
        <v>1.4142999999999999</v>
      </c>
    </row>
    <row r="8" spans="1:28" ht="16" x14ac:dyDescent="0.2">
      <c r="A8" t="s">
        <v>17</v>
      </c>
      <c r="B8" s="10" t="str">
        <f t="shared" si="1"/>
        <v>((0.0315*(X4^2.0342)*X2^0.7485)+(0.0283*(X4^2.0907)*X2^0)+(0.0225*(X4^2.4106)*X2^0)+(0.0571*(X4^1.4898)*X2^0))*1000</v>
      </c>
      <c r="C8" s="10" t="s">
        <v>39</v>
      </c>
      <c r="D8" s="10" t="s">
        <v>40</v>
      </c>
      <c r="F8" s="11" t="str">
        <f t="shared" si="2"/>
        <v>((0.0315*(X4^2.0342)*X2^0.7485)+(0.0283*(X4^2.0907)*X2^0)+(0.0225*(X4^2.4106)*X2^0)+(0.0571*(X4^1.4898)*X2^0))*1000</v>
      </c>
      <c r="G8" t="s">
        <v>41</v>
      </c>
      <c r="H8">
        <v>3.15E-2</v>
      </c>
      <c r="I8">
        <v>2.0341999999999998</v>
      </c>
      <c r="J8">
        <v>0.74850000000000005</v>
      </c>
      <c r="K8">
        <v>2.8299999999999999E-2</v>
      </c>
      <c r="L8">
        <v>2.0907</v>
      </c>
      <c r="M8">
        <v>0</v>
      </c>
      <c r="N8">
        <v>2.2499999999999999E-2</v>
      </c>
      <c r="O8">
        <v>2.4106000000000001</v>
      </c>
      <c r="P8">
        <v>0</v>
      </c>
      <c r="Q8">
        <v>5.7099999999999998E-2</v>
      </c>
      <c r="R8">
        <v>1.4898</v>
      </c>
      <c r="S8">
        <v>0</v>
      </c>
      <c r="T8" s="28" t="str">
        <f t="shared" si="0"/>
        <v>0.1014*(X4^2.3448)+0.0291*(X4^2.0893)+0.0175*(X4^2.4846)+0.0515*(X4^1.5198)</v>
      </c>
      <c r="U8">
        <v>0.1014</v>
      </c>
      <c r="V8">
        <v>2.3448000000000002</v>
      </c>
      <c r="W8">
        <v>2.9100000000000001E-2</v>
      </c>
      <c r="X8">
        <v>2.0893000000000002</v>
      </c>
      <c r="Y8">
        <v>1.7500000000000002E-2</v>
      </c>
      <c r="Z8">
        <v>2.4845999999999999</v>
      </c>
      <c r="AA8">
        <v>5.1499999999999997E-2</v>
      </c>
      <c r="AB8">
        <v>1.5198</v>
      </c>
    </row>
    <row r="9" spans="1:28" ht="16" x14ac:dyDescent="0.2">
      <c r="A9" t="s">
        <v>12</v>
      </c>
      <c r="B9" s="10" t="str">
        <f t="shared" si="1"/>
        <v>((0.0315*(X4^2.0342)*X2^0.7485)+(0.0283*(X4^2.0907)*X2^0)+(0.0225*(X4^2.4106)*X2^0)+(0.0571*(X4^1.4898)*X2^0))*1000</v>
      </c>
      <c r="C9" s="10" t="s">
        <v>39</v>
      </c>
      <c r="D9" s="10" t="s">
        <v>40</v>
      </c>
      <c r="F9" s="11" t="str">
        <f t="shared" si="2"/>
        <v>((0.0315*(X4^2.0342)*X2^0.7485)+(0.0283*(X4^2.0907)*X2^0)+(0.0225*(X4^2.4106)*X2^0)+(0.0571*(X4^1.4898)*X2^0))*1000</v>
      </c>
      <c r="G9" t="s">
        <v>41</v>
      </c>
      <c r="H9">
        <v>3.15E-2</v>
      </c>
      <c r="I9">
        <v>2.0341999999999998</v>
      </c>
      <c r="J9">
        <v>0.74850000000000005</v>
      </c>
      <c r="K9">
        <v>2.8299999999999999E-2</v>
      </c>
      <c r="L9">
        <v>2.0907</v>
      </c>
      <c r="M9">
        <v>0</v>
      </c>
      <c r="N9">
        <v>2.2499999999999999E-2</v>
      </c>
      <c r="O9">
        <v>2.4106000000000001</v>
      </c>
      <c r="P9">
        <v>0</v>
      </c>
      <c r="Q9">
        <v>5.7099999999999998E-2</v>
      </c>
      <c r="R9">
        <v>1.4898</v>
      </c>
      <c r="S9">
        <v>0</v>
      </c>
      <c r="T9" s="28" t="str">
        <f t="shared" si="0"/>
        <v>0.1014*(X4^2.3448)+0.0291*(X4^2.0893)+0.0175*(X4^2.4846)+0.0515*(X4^1.5198)</v>
      </c>
      <c r="U9">
        <v>0.1014</v>
      </c>
      <c r="V9">
        <v>2.3448000000000002</v>
      </c>
      <c r="W9">
        <v>2.9100000000000001E-2</v>
      </c>
      <c r="X9">
        <v>2.0893000000000002</v>
      </c>
      <c r="Y9">
        <v>1.7500000000000002E-2</v>
      </c>
      <c r="Z9">
        <v>2.4845999999999999</v>
      </c>
      <c r="AA9">
        <v>5.1499999999999997E-2</v>
      </c>
      <c r="AB9">
        <v>1.5198</v>
      </c>
    </row>
    <row r="10" spans="1:28" ht="16" x14ac:dyDescent="0.2">
      <c r="A10" t="s">
        <v>13</v>
      </c>
      <c r="B10" s="10" t="str">
        <f t="shared" si="1"/>
        <v>((0.0181*(X4^1.7013)*X2^1.3057)+(0.0101*(X4^1.5956)*X2^0.919)+(0.0005*(X4^2.8004)*X2^0.8603)+(0.1976*(X4^1.4421)*X2^-0.5264))*1000</v>
      </c>
      <c r="C10" s="10" t="s">
        <v>39</v>
      </c>
      <c r="D10" s="10" t="s">
        <v>40</v>
      </c>
      <c r="E10" s="10"/>
      <c r="F10" s="11" t="str">
        <f t="shared" si="2"/>
        <v>((0.0181*(X4^1.7013)*X2^1.3057)+(0.0101*(X4^1.5956)*X2^0.919)+(0.0005*(X4^2.8004)*X2^0.8603)+(0.1976*(X4^1.4421)*X2^-0.5264))*1000</v>
      </c>
      <c r="G10" s="12" t="s">
        <v>41</v>
      </c>
      <c r="H10">
        <v>1.8100000000000002E-2</v>
      </c>
      <c r="I10">
        <v>1.7013</v>
      </c>
      <c r="J10">
        <v>1.3057000000000001</v>
      </c>
      <c r="K10">
        <v>1.01E-2</v>
      </c>
      <c r="L10">
        <v>1.5955999999999999</v>
      </c>
      <c r="M10">
        <v>0.91900000000000004</v>
      </c>
      <c r="N10">
        <v>5.0000000000000001E-4</v>
      </c>
      <c r="O10">
        <v>2.8003999999999998</v>
      </c>
      <c r="P10">
        <v>0.86029999999999995</v>
      </c>
      <c r="Q10">
        <v>0.1976</v>
      </c>
      <c r="R10">
        <v>1.4420999999999999</v>
      </c>
      <c r="S10">
        <v>-0.52639999999999998</v>
      </c>
      <c r="T10" s="28" t="str">
        <f t="shared" si="0"/>
        <v>0.3743*(X4^1.9406)+0.0679*(X4^1.8377)+0.0796*(X4^2.0103)+0.084*(X4^1.2319)</v>
      </c>
      <c r="U10">
        <v>0.37430000000000002</v>
      </c>
      <c r="V10">
        <v>1.9406000000000001</v>
      </c>
      <c r="W10">
        <v>6.7900000000000002E-2</v>
      </c>
      <c r="X10">
        <v>1.8376999999999999</v>
      </c>
      <c r="Y10">
        <v>7.9600000000000004E-2</v>
      </c>
      <c r="Z10">
        <v>2.0103</v>
      </c>
      <c r="AA10">
        <v>8.4000000000000005E-2</v>
      </c>
      <c r="AB10">
        <v>1.2319</v>
      </c>
    </row>
    <row r="11" spans="1:28" ht="16" x14ac:dyDescent="0.2">
      <c r="A11" t="s">
        <v>16</v>
      </c>
      <c r="B11" s="10" t="str">
        <f t="shared" si="1"/>
        <v>((0.0117*(X4^1.7757)*X2^1.2555)+(0.018*(X4^1.8131)*X2^0.5144)+(0.0112*(X4^3.0861)*X2^-0.7164)+(0.0617*(X4^1.8615)*X2^-0.5375))*1000</v>
      </c>
      <c r="C11" s="10" t="s">
        <v>39</v>
      </c>
      <c r="D11" s="10" t="s">
        <v>40</v>
      </c>
      <c r="F11" s="11" t="str">
        <f t="shared" si="2"/>
        <v>((0.0117*(X4^1.7757)*X2^1.2555)+(0.018*(X4^1.8131)*X2^0.5144)+(0.0112*(X4^3.0861)*X2^-0.7164)+(0.0617*(X4^1.8615)*X2^-0.5375))*1000</v>
      </c>
      <c r="G11" t="s">
        <v>41</v>
      </c>
      <c r="H11">
        <v>1.17E-2</v>
      </c>
      <c r="I11">
        <v>1.7757000000000001</v>
      </c>
      <c r="J11">
        <v>1.2555000000000001</v>
      </c>
      <c r="K11">
        <v>1.7999999999999999E-2</v>
      </c>
      <c r="L11">
        <v>1.8130999999999999</v>
      </c>
      <c r="M11">
        <v>0.51439999999999997</v>
      </c>
      <c r="N11">
        <v>1.12E-2</v>
      </c>
      <c r="O11">
        <v>3.0861000000000001</v>
      </c>
      <c r="P11">
        <v>-0.71640000000000004</v>
      </c>
      <c r="Q11">
        <v>6.1699999999999998E-2</v>
      </c>
      <c r="R11">
        <v>1.8614999999999999</v>
      </c>
      <c r="S11">
        <v>-0.53749999999999998</v>
      </c>
      <c r="T11" s="28" t="str">
        <f t="shared" si="0"/>
        <v>0.0605*(X4^2.475)+0.0168*(X4^2.3949)+0.008*(X4^2.5214)+0.0261*(X4^1.6304)</v>
      </c>
      <c r="U11">
        <v>6.0499999999999998E-2</v>
      </c>
      <c r="V11">
        <v>2.4750000000000001</v>
      </c>
      <c r="W11">
        <v>1.6799999999999999E-2</v>
      </c>
      <c r="X11">
        <v>2.3948999999999998</v>
      </c>
      <c r="Y11">
        <v>8.0000000000000002E-3</v>
      </c>
      <c r="Z11">
        <v>2.5213999999999999</v>
      </c>
      <c r="AA11">
        <v>2.6100000000000002E-2</v>
      </c>
      <c r="AB11">
        <v>1.6304000000000001</v>
      </c>
    </row>
    <row r="12" spans="1:28" ht="16" x14ac:dyDescent="0.2">
      <c r="A12" t="s">
        <v>19</v>
      </c>
      <c r="B12" s="10" t="str">
        <f t="shared" si="1"/>
        <v>((0.0117*(X4^1.7757)*X2^1.2555)+(0.018*(X4^1.8131)*X2^0.5144)+(0.0112*(X4^3.0861)*X2^-0.7164)+(0.0617*(X4^1.8615)*X2^-0.5375))*1000</v>
      </c>
      <c r="C12" s="10" t="s">
        <v>39</v>
      </c>
      <c r="D12" s="10" t="s">
        <v>40</v>
      </c>
      <c r="F12" s="11" t="str">
        <f t="shared" si="2"/>
        <v>((0.0117*(X4^1.7757)*X2^1.2555)+(0.018*(X4^1.8131)*X2^0.5144)+(0.0112*(X4^3.0861)*X2^-0.7164)+(0.0617*(X4^1.8615)*X2^-0.5375))*1000</v>
      </c>
      <c r="G12" t="s">
        <v>41</v>
      </c>
      <c r="H12">
        <v>1.17E-2</v>
      </c>
      <c r="I12">
        <v>1.7757000000000001</v>
      </c>
      <c r="J12">
        <v>1.2555000000000001</v>
      </c>
      <c r="K12">
        <v>1.7999999999999999E-2</v>
      </c>
      <c r="L12">
        <v>1.8130999999999999</v>
      </c>
      <c r="M12">
        <v>0.51439999999999997</v>
      </c>
      <c r="N12">
        <v>1.12E-2</v>
      </c>
      <c r="O12">
        <v>3.0861000000000001</v>
      </c>
      <c r="P12">
        <v>-0.71640000000000004</v>
      </c>
      <c r="Q12">
        <v>6.1699999999999998E-2</v>
      </c>
      <c r="R12">
        <v>1.8614999999999999</v>
      </c>
      <c r="S12">
        <v>-0.53749999999999998</v>
      </c>
      <c r="T12" s="28" t="str">
        <f t="shared" si="0"/>
        <v>0.0605*(X4^2.475)+0.0168*(X4^2.3949)+0.008*(X4^2.5214)+0.0261*(X4^1.6304)</v>
      </c>
      <c r="U12">
        <v>6.0499999999999998E-2</v>
      </c>
      <c r="V12">
        <v>2.4750000000000001</v>
      </c>
      <c r="W12">
        <v>1.6799999999999999E-2</v>
      </c>
      <c r="X12">
        <v>2.3948999999999998</v>
      </c>
      <c r="Y12">
        <v>8.0000000000000002E-3</v>
      </c>
      <c r="Z12">
        <v>2.5213999999999999</v>
      </c>
      <c r="AA12">
        <v>2.6100000000000002E-2</v>
      </c>
      <c r="AB12">
        <v>1.6304000000000001</v>
      </c>
    </row>
    <row r="13" spans="1:28" ht="16" x14ac:dyDescent="0.2">
      <c r="A13" t="s">
        <v>20</v>
      </c>
      <c r="B13" s="10" t="str">
        <f t="shared" si="1"/>
        <v>((0.0315*(X4^2.0342)*X2^0.7485)+(0.0283*(X4^2.0907)*X2^0)+(0.0225*(X4^2.4106)*X2^0)+(0.0571*(X4^1.4898)*X2^0))*1000</v>
      </c>
      <c r="C13" s="10" t="s">
        <v>39</v>
      </c>
      <c r="D13" s="10" t="s">
        <v>40</v>
      </c>
      <c r="F13" s="11" t="str">
        <f t="shared" si="2"/>
        <v>((0.0315*(X4^2.0342)*X2^0.7485)+(0.0283*(X4^2.0907)*X2^0)+(0.0225*(X4^2.4106)*X2^0)+(0.0571*(X4^1.4898)*X2^0))*1000</v>
      </c>
      <c r="G13" t="s">
        <v>41</v>
      </c>
      <c r="H13">
        <v>3.15E-2</v>
      </c>
      <c r="I13">
        <v>2.0341999999999998</v>
      </c>
      <c r="J13">
        <v>0.74850000000000005</v>
      </c>
      <c r="K13">
        <v>2.8299999999999999E-2</v>
      </c>
      <c r="L13">
        <v>2.0907</v>
      </c>
      <c r="M13">
        <v>0</v>
      </c>
      <c r="N13">
        <v>2.2499999999999999E-2</v>
      </c>
      <c r="O13">
        <v>2.4106000000000001</v>
      </c>
      <c r="P13">
        <v>0</v>
      </c>
      <c r="Q13">
        <v>5.7099999999999998E-2</v>
      </c>
      <c r="R13">
        <v>1.4898</v>
      </c>
      <c r="S13">
        <v>0</v>
      </c>
      <c r="T13" s="28" t="str">
        <f t="shared" si="0"/>
        <v>0.1014*(X4^2.3448)+0.0291*(X4^2.0893)+0.0175*(X4^2.4846)+0.0515*(X4^1.5198)</v>
      </c>
      <c r="U13">
        <v>0.1014</v>
      </c>
      <c r="V13">
        <v>2.3448000000000002</v>
      </c>
      <c r="W13">
        <v>2.9100000000000001E-2</v>
      </c>
      <c r="X13">
        <v>2.0893000000000002</v>
      </c>
      <c r="Y13">
        <v>1.7500000000000002E-2</v>
      </c>
      <c r="Z13">
        <v>2.4845999999999999</v>
      </c>
      <c r="AA13">
        <v>5.1499999999999997E-2</v>
      </c>
      <c r="AB13">
        <v>1.5198</v>
      </c>
    </row>
  </sheetData>
  <mergeCells count="2">
    <mergeCell ref="H1:S1"/>
    <mergeCell ref="U1:AB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Tree carbon</vt:lpstr>
      <vt:lpstr>Tree root carbon</vt:lpstr>
      <vt:lpstr>DBH only</vt:lpstr>
      <vt:lpstr>DBH only root</vt:lpstr>
      <vt:lpstr>DBH height biomass</vt:lpstr>
      <vt:lpstr>scaled dbh t2</vt:lpstr>
      <vt:lpstr>teams</vt:lpstr>
      <vt:lpstr>Sheet7</vt:lpstr>
      <vt:lpstr>pare measurements</vt:lpstr>
      <vt:lpstr>transect biomass pivot</vt:lpstr>
      <vt:lpstr>transect biomass non pivot</vt:lpstr>
      <vt:lpstr>Tree shrub sapling root eq</vt:lpstr>
      <vt:lpstr>eq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Rachael Moran</dc:creator>
  <cp:lastModifiedBy>Emmerson Wilson</cp:lastModifiedBy>
  <dcterms:created xsi:type="dcterms:W3CDTF">2022-11-07T16:43:37Z</dcterms:created>
  <dcterms:modified xsi:type="dcterms:W3CDTF">2023-12-15T14:12:16Z</dcterms:modified>
</cp:coreProperties>
</file>