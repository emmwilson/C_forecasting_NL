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/>
  <workbookPr/>
  <mc:AlternateContent xmlns:mc="http://schemas.openxmlformats.org/markup-compatibility/2006">
    <mc:Choice Requires="x15">
      <x15ac:absPath xmlns:x15ac="http://schemas.microsoft.com/office/spreadsheetml/2010/11/ac" url="/Users/emmersonEmmerson/Documents/Master's/C_forecasting_NL/Final_Carbon_Data_R/Rachael 2022 measurements/"/>
    </mc:Choice>
  </mc:AlternateContent>
  <xr:revisionPtr revIDLastSave="0" documentId="13_ncr:1_{0834CD1F-E705-9842-814A-55079EEE6F29}" xr6:coauthVersionLast="47" xr6:coauthVersionMax="47" xr10:uidLastSave="{00000000-0000-0000-0000-000000000000}"/>
  <bookViews>
    <workbookView xWindow="4340" yWindow="500" windowWidth="24460" windowHeight="17500" xr2:uid="{00000000-000D-0000-FFFF-FFFF00000000}"/>
  </bookViews>
  <sheets>
    <sheet name="DW carbon" sheetId="4" r:id="rId1"/>
    <sheet name="Sheet1" sheetId="1" r:id="rId2"/>
    <sheet name="eq" sheetId="2" r:id="rId3"/>
    <sheet name="og_dw" sheetId="3" r:id="rId4"/>
  </sheets>
  <definedNames>
    <definedName name="_xlnm._FilterDatabase" localSheetId="0" hidden="1">'DW carbon'!$A$1:$L$1</definedName>
    <definedName name="_xlnm._FilterDatabase" localSheetId="2" hidden="1">eq!$A$1:$K$42</definedName>
    <definedName name="_xlnm._FilterDatabase" localSheetId="1" hidden="1">Sheet1!$A$1:$AH$329</definedName>
    <definedName name="eval_dw">EVALUATE(Sheet1!XFD1)</definedName>
    <definedName name="eval_S">EVALUATE(Sheet1!XFA1)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3" i="2" l="1"/>
  <c r="D33" i="2"/>
  <c r="K20" i="2"/>
  <c r="D20" i="2"/>
  <c r="G8" i="4" l="1"/>
  <c r="G2" i="4"/>
  <c r="G4" i="4"/>
  <c r="G3" i="4"/>
  <c r="G48" i="4"/>
  <c r="G51" i="4"/>
  <c r="G52" i="4"/>
  <c r="G53" i="4"/>
  <c r="G66" i="4"/>
  <c r="G73" i="4"/>
  <c r="G68" i="4"/>
  <c r="G88" i="4"/>
  <c r="G90" i="4"/>
  <c r="G13" i="4"/>
  <c r="G14" i="4"/>
  <c r="G17" i="4"/>
  <c r="G19" i="4"/>
  <c r="G25" i="4"/>
  <c r="G24" i="4"/>
  <c r="G22" i="4"/>
  <c r="G31" i="4"/>
  <c r="G30" i="4"/>
  <c r="G29" i="4"/>
  <c r="G35" i="4"/>
  <c r="G34" i="4"/>
  <c r="G33" i="4"/>
  <c r="G40" i="4"/>
  <c r="G41" i="4"/>
  <c r="G43" i="4"/>
  <c r="G44" i="4"/>
  <c r="G46" i="4"/>
  <c r="G45" i="4"/>
  <c r="G56" i="4"/>
  <c r="G61" i="4"/>
  <c r="G98" i="4"/>
  <c r="G103" i="4"/>
  <c r="G108" i="4"/>
  <c r="G110" i="4"/>
  <c r="G114" i="4"/>
  <c r="G112" i="4"/>
  <c r="G116" i="4"/>
  <c r="G119" i="4"/>
  <c r="G123" i="4"/>
  <c r="G124" i="4"/>
  <c r="G125" i="4"/>
  <c r="G128" i="4"/>
  <c r="G131" i="4"/>
  <c r="G132" i="4"/>
  <c r="G133" i="4"/>
  <c r="G134" i="4"/>
  <c r="G139" i="4"/>
  <c r="G140" i="4"/>
  <c r="G142" i="4"/>
  <c r="G146" i="4"/>
  <c r="G144" i="4"/>
  <c r="G147" i="4"/>
  <c r="G149" i="4"/>
  <c r="G158" i="4"/>
  <c r="G157" i="4"/>
  <c r="G165" i="4"/>
  <c r="G167" i="4"/>
  <c r="G168" i="4"/>
  <c r="G170" i="4"/>
  <c r="G179" i="4"/>
  <c r="G118" i="4"/>
  <c r="G94" i="4"/>
  <c r="G159" i="4"/>
  <c r="G161" i="4"/>
  <c r="G101" i="4"/>
  <c r="G36" i="4"/>
  <c r="G20" i="4"/>
  <c r="G136" i="4"/>
  <c r="G172" i="4"/>
  <c r="G121" i="4"/>
  <c r="G176" i="4"/>
  <c r="G174" i="4"/>
  <c r="G171" i="4"/>
  <c r="G115" i="4"/>
  <c r="G175" i="4"/>
  <c r="G106" i="4"/>
  <c r="G12" i="4"/>
  <c r="G77" i="4"/>
  <c r="G102" i="4"/>
  <c r="G75" i="4"/>
  <c r="G62" i="4"/>
  <c r="G97" i="4"/>
  <c r="G177" i="4"/>
  <c r="G91" i="4"/>
  <c r="G180" i="4"/>
  <c r="G100" i="4"/>
  <c r="G76" i="4"/>
  <c r="G11" i="4"/>
  <c r="G127" i="4"/>
  <c r="G160" i="4"/>
  <c r="G163" i="4"/>
  <c r="G182" i="4"/>
  <c r="G137" i="4"/>
  <c r="G47" i="4"/>
  <c r="G86" i="4"/>
  <c r="G162" i="4"/>
  <c r="G80" i="4"/>
  <c r="G6" i="4"/>
  <c r="G164" i="4"/>
  <c r="G32" i="4"/>
  <c r="G60" i="4"/>
  <c r="G138" i="4"/>
  <c r="G83" i="4"/>
  <c r="G99" i="4"/>
  <c r="G26" i="4"/>
  <c r="G178" i="4"/>
  <c r="G156" i="4"/>
  <c r="G166" i="4"/>
  <c r="G49" i="4"/>
  <c r="G104" i="4"/>
  <c r="G82" i="4"/>
  <c r="G89" i="4"/>
  <c r="G148" i="4"/>
  <c r="G18" i="4"/>
  <c r="G27" i="4"/>
  <c r="G10" i="4"/>
  <c r="G150" i="4"/>
  <c r="G95" i="4"/>
  <c r="G129" i="4"/>
  <c r="G78" i="4"/>
  <c r="G181" i="4"/>
  <c r="G173" i="4"/>
  <c r="G92" i="4"/>
  <c r="G169" i="4"/>
  <c r="G64" i="4"/>
  <c r="G93" i="4"/>
  <c r="G96" i="4"/>
  <c r="G107" i="4"/>
  <c r="G120" i="4"/>
  <c r="G111" i="4"/>
  <c r="G79" i="4"/>
  <c r="G117" i="4"/>
  <c r="G70" i="4"/>
  <c r="G87" i="4"/>
  <c r="G5" i="4"/>
  <c r="G143" i="4"/>
  <c r="G145" i="4"/>
  <c r="G122" i="4"/>
  <c r="G39" i="4"/>
  <c r="G37" i="4"/>
  <c r="G28" i="4"/>
  <c r="G23" i="4"/>
  <c r="G38" i="4"/>
  <c r="G63" i="4"/>
  <c r="G21" i="4"/>
  <c r="G153" i="4"/>
  <c r="G9" i="4"/>
  <c r="G55" i="4"/>
  <c r="G81" i="4"/>
  <c r="G84" i="4"/>
  <c r="G72" i="4"/>
  <c r="G50" i="4"/>
  <c r="G109" i="4"/>
  <c r="G113" i="4"/>
  <c r="G141" i="4"/>
  <c r="G135" i="4"/>
  <c r="G16" i="4"/>
  <c r="G126" i="4"/>
  <c r="G105" i="4"/>
  <c r="G65" i="4"/>
  <c r="G85" i="4"/>
  <c r="G67" i="4"/>
  <c r="G15" i="4"/>
  <c r="G58" i="4"/>
  <c r="G59" i="4"/>
  <c r="G42" i="4"/>
  <c r="G54" i="4"/>
  <c r="G74" i="4"/>
  <c r="G57" i="4"/>
  <c r="G152" i="4"/>
  <c r="G154" i="4"/>
  <c r="G151" i="4"/>
  <c r="G69" i="4"/>
  <c r="G71" i="4"/>
  <c r="G130" i="4"/>
  <c r="G155" i="4"/>
  <c r="G7" i="4"/>
  <c r="D17" i="2"/>
  <c r="E8" i="4"/>
  <c r="E2" i="4"/>
  <c r="E4" i="4"/>
  <c r="E3" i="4"/>
  <c r="E48" i="4"/>
  <c r="E51" i="4"/>
  <c r="E52" i="4"/>
  <c r="E53" i="4"/>
  <c r="E66" i="4"/>
  <c r="E73" i="4"/>
  <c r="E68" i="4"/>
  <c r="E88" i="4"/>
  <c r="E90" i="4"/>
  <c r="E13" i="4"/>
  <c r="E14" i="4"/>
  <c r="E17" i="4"/>
  <c r="E19" i="4"/>
  <c r="E25" i="4"/>
  <c r="E24" i="4"/>
  <c r="E22" i="4"/>
  <c r="E31" i="4"/>
  <c r="E30" i="4"/>
  <c r="E29" i="4"/>
  <c r="E35" i="4"/>
  <c r="E34" i="4"/>
  <c r="E33" i="4"/>
  <c r="E40" i="4"/>
  <c r="E41" i="4"/>
  <c r="E43" i="4"/>
  <c r="E44" i="4"/>
  <c r="E46" i="4"/>
  <c r="E45" i="4"/>
  <c r="E56" i="4"/>
  <c r="E61" i="4"/>
  <c r="E98" i="4"/>
  <c r="E103" i="4"/>
  <c r="E108" i="4"/>
  <c r="E110" i="4"/>
  <c r="E114" i="4"/>
  <c r="E112" i="4"/>
  <c r="E116" i="4"/>
  <c r="E119" i="4"/>
  <c r="E123" i="4"/>
  <c r="E124" i="4"/>
  <c r="E125" i="4"/>
  <c r="E128" i="4"/>
  <c r="E131" i="4"/>
  <c r="E132" i="4"/>
  <c r="E133" i="4"/>
  <c r="E134" i="4"/>
  <c r="E139" i="4"/>
  <c r="E140" i="4"/>
  <c r="E142" i="4"/>
  <c r="E146" i="4"/>
  <c r="E144" i="4"/>
  <c r="E147" i="4"/>
  <c r="E149" i="4"/>
  <c r="E158" i="4"/>
  <c r="E157" i="4"/>
  <c r="E165" i="4"/>
  <c r="E167" i="4"/>
  <c r="E168" i="4"/>
  <c r="E170" i="4"/>
  <c r="E179" i="4"/>
  <c r="E118" i="4"/>
  <c r="E94" i="4"/>
  <c r="E159" i="4"/>
  <c r="E161" i="4"/>
  <c r="E101" i="4"/>
  <c r="E36" i="4"/>
  <c r="E20" i="4"/>
  <c r="E136" i="4"/>
  <c r="E172" i="4"/>
  <c r="E121" i="4"/>
  <c r="E176" i="4"/>
  <c r="E174" i="4"/>
  <c r="E171" i="4"/>
  <c r="E115" i="4"/>
  <c r="E175" i="4"/>
  <c r="E106" i="4"/>
  <c r="E12" i="4"/>
  <c r="E77" i="4"/>
  <c r="E102" i="4"/>
  <c r="E75" i="4"/>
  <c r="E62" i="4"/>
  <c r="E97" i="4"/>
  <c r="E177" i="4"/>
  <c r="E91" i="4"/>
  <c r="E180" i="4"/>
  <c r="E100" i="4"/>
  <c r="E76" i="4"/>
  <c r="E11" i="4"/>
  <c r="E127" i="4"/>
  <c r="E160" i="4"/>
  <c r="E163" i="4"/>
  <c r="E182" i="4"/>
  <c r="E137" i="4"/>
  <c r="E47" i="4"/>
  <c r="E86" i="4"/>
  <c r="E162" i="4"/>
  <c r="E80" i="4"/>
  <c r="E6" i="4"/>
  <c r="E164" i="4"/>
  <c r="E32" i="4"/>
  <c r="E60" i="4"/>
  <c r="E138" i="4"/>
  <c r="E83" i="4"/>
  <c r="E99" i="4"/>
  <c r="E26" i="4"/>
  <c r="E178" i="4"/>
  <c r="E156" i="4"/>
  <c r="E166" i="4"/>
  <c r="E49" i="4"/>
  <c r="E104" i="4"/>
  <c r="E82" i="4"/>
  <c r="E89" i="4"/>
  <c r="E148" i="4"/>
  <c r="E18" i="4"/>
  <c r="E27" i="4"/>
  <c r="E10" i="4"/>
  <c r="E150" i="4"/>
  <c r="E95" i="4"/>
  <c r="E129" i="4"/>
  <c r="E78" i="4"/>
  <c r="E181" i="4"/>
  <c r="E173" i="4"/>
  <c r="E92" i="4"/>
  <c r="E169" i="4"/>
  <c r="E64" i="4"/>
  <c r="E93" i="4"/>
  <c r="E96" i="4"/>
  <c r="E107" i="4"/>
  <c r="E120" i="4"/>
  <c r="E111" i="4"/>
  <c r="E79" i="4"/>
  <c r="E117" i="4"/>
  <c r="E70" i="4"/>
  <c r="E87" i="4"/>
  <c r="E5" i="4"/>
  <c r="E143" i="4"/>
  <c r="E145" i="4"/>
  <c r="E122" i="4"/>
  <c r="E39" i="4"/>
  <c r="E37" i="4"/>
  <c r="E28" i="4"/>
  <c r="E23" i="4"/>
  <c r="E38" i="4"/>
  <c r="E63" i="4"/>
  <c r="E21" i="4"/>
  <c r="E153" i="4"/>
  <c r="E9" i="4"/>
  <c r="E55" i="4"/>
  <c r="E81" i="4"/>
  <c r="E84" i="4"/>
  <c r="E72" i="4"/>
  <c r="E50" i="4"/>
  <c r="E109" i="4"/>
  <c r="E113" i="4"/>
  <c r="E141" i="4"/>
  <c r="E135" i="4"/>
  <c r="E16" i="4"/>
  <c r="E126" i="4"/>
  <c r="E105" i="4"/>
  <c r="E65" i="4"/>
  <c r="E85" i="4"/>
  <c r="E67" i="4"/>
  <c r="E15" i="4"/>
  <c r="E58" i="4"/>
  <c r="E59" i="4"/>
  <c r="E42" i="4"/>
  <c r="E54" i="4"/>
  <c r="E74" i="4"/>
  <c r="E57" i="4"/>
  <c r="E152" i="4"/>
  <c r="E154" i="4"/>
  <c r="E151" i="4"/>
  <c r="E69" i="4"/>
  <c r="E71" i="4"/>
  <c r="E130" i="4"/>
  <c r="E155" i="4"/>
  <c r="E7" i="4"/>
  <c r="D8" i="4"/>
  <c r="D2" i="4"/>
  <c r="D4" i="4"/>
  <c r="D3" i="4"/>
  <c r="D48" i="4"/>
  <c r="D51" i="4"/>
  <c r="D52" i="4"/>
  <c r="D53" i="4"/>
  <c r="D66" i="4"/>
  <c r="D73" i="4"/>
  <c r="D68" i="4"/>
  <c r="D88" i="4"/>
  <c r="D90" i="4"/>
  <c r="D13" i="4"/>
  <c r="D14" i="4"/>
  <c r="D17" i="4"/>
  <c r="D19" i="4"/>
  <c r="D25" i="4"/>
  <c r="D24" i="4"/>
  <c r="D22" i="4"/>
  <c r="D31" i="4"/>
  <c r="D30" i="4"/>
  <c r="D29" i="4"/>
  <c r="D35" i="4"/>
  <c r="D34" i="4"/>
  <c r="D33" i="4"/>
  <c r="D40" i="4"/>
  <c r="D41" i="4"/>
  <c r="D43" i="4"/>
  <c r="D44" i="4"/>
  <c r="D46" i="4"/>
  <c r="D45" i="4"/>
  <c r="D56" i="4"/>
  <c r="D61" i="4"/>
  <c r="D98" i="4"/>
  <c r="D103" i="4"/>
  <c r="D108" i="4"/>
  <c r="D110" i="4"/>
  <c r="D114" i="4"/>
  <c r="D112" i="4"/>
  <c r="D116" i="4"/>
  <c r="D119" i="4"/>
  <c r="D123" i="4"/>
  <c r="D124" i="4"/>
  <c r="D125" i="4"/>
  <c r="D128" i="4"/>
  <c r="D131" i="4"/>
  <c r="D132" i="4"/>
  <c r="D133" i="4"/>
  <c r="D134" i="4"/>
  <c r="D139" i="4"/>
  <c r="D140" i="4"/>
  <c r="D142" i="4"/>
  <c r="D146" i="4"/>
  <c r="D144" i="4"/>
  <c r="D147" i="4"/>
  <c r="D149" i="4"/>
  <c r="D158" i="4"/>
  <c r="D157" i="4"/>
  <c r="D165" i="4"/>
  <c r="D167" i="4"/>
  <c r="D168" i="4"/>
  <c r="D170" i="4"/>
  <c r="D179" i="4"/>
  <c r="D118" i="4"/>
  <c r="D94" i="4"/>
  <c r="D159" i="4"/>
  <c r="D161" i="4"/>
  <c r="D101" i="4"/>
  <c r="D36" i="4"/>
  <c r="D20" i="4"/>
  <c r="D136" i="4"/>
  <c r="D172" i="4"/>
  <c r="D121" i="4"/>
  <c r="D176" i="4"/>
  <c r="D174" i="4"/>
  <c r="D171" i="4"/>
  <c r="D115" i="4"/>
  <c r="D175" i="4"/>
  <c r="D106" i="4"/>
  <c r="D12" i="4"/>
  <c r="D77" i="4"/>
  <c r="D102" i="4"/>
  <c r="D75" i="4"/>
  <c r="D62" i="4"/>
  <c r="D97" i="4"/>
  <c r="D177" i="4"/>
  <c r="D91" i="4"/>
  <c r="D180" i="4"/>
  <c r="D100" i="4"/>
  <c r="D76" i="4"/>
  <c r="D11" i="4"/>
  <c r="D127" i="4"/>
  <c r="D160" i="4"/>
  <c r="D163" i="4"/>
  <c r="D182" i="4"/>
  <c r="D137" i="4"/>
  <c r="D47" i="4"/>
  <c r="D86" i="4"/>
  <c r="D162" i="4"/>
  <c r="D80" i="4"/>
  <c r="D6" i="4"/>
  <c r="D164" i="4"/>
  <c r="D32" i="4"/>
  <c r="D60" i="4"/>
  <c r="D138" i="4"/>
  <c r="D83" i="4"/>
  <c r="D99" i="4"/>
  <c r="D26" i="4"/>
  <c r="D178" i="4"/>
  <c r="D156" i="4"/>
  <c r="D166" i="4"/>
  <c r="D49" i="4"/>
  <c r="D104" i="4"/>
  <c r="D82" i="4"/>
  <c r="D89" i="4"/>
  <c r="D148" i="4"/>
  <c r="D18" i="4"/>
  <c r="D27" i="4"/>
  <c r="D10" i="4"/>
  <c r="D150" i="4"/>
  <c r="D95" i="4"/>
  <c r="D129" i="4"/>
  <c r="D78" i="4"/>
  <c r="D181" i="4"/>
  <c r="D173" i="4"/>
  <c r="D92" i="4"/>
  <c r="D169" i="4"/>
  <c r="D64" i="4"/>
  <c r="D93" i="4"/>
  <c r="D96" i="4"/>
  <c r="D107" i="4"/>
  <c r="D120" i="4"/>
  <c r="D111" i="4"/>
  <c r="D79" i="4"/>
  <c r="D117" i="4"/>
  <c r="D70" i="4"/>
  <c r="D87" i="4"/>
  <c r="D5" i="4"/>
  <c r="D143" i="4"/>
  <c r="D145" i="4"/>
  <c r="D122" i="4"/>
  <c r="D39" i="4"/>
  <c r="D37" i="4"/>
  <c r="D28" i="4"/>
  <c r="D23" i="4"/>
  <c r="D38" i="4"/>
  <c r="D63" i="4"/>
  <c r="D21" i="4"/>
  <c r="D153" i="4"/>
  <c r="D9" i="4"/>
  <c r="D55" i="4"/>
  <c r="D81" i="4"/>
  <c r="D84" i="4"/>
  <c r="D72" i="4"/>
  <c r="D50" i="4"/>
  <c r="D109" i="4"/>
  <c r="D113" i="4"/>
  <c r="D141" i="4"/>
  <c r="D135" i="4"/>
  <c r="D16" i="4"/>
  <c r="D126" i="4"/>
  <c r="D105" i="4"/>
  <c r="D65" i="4"/>
  <c r="D85" i="4"/>
  <c r="D67" i="4"/>
  <c r="D15" i="4"/>
  <c r="D58" i="4"/>
  <c r="D59" i="4"/>
  <c r="D42" i="4"/>
  <c r="D54" i="4"/>
  <c r="D74" i="4"/>
  <c r="D57" i="4"/>
  <c r="D152" i="4"/>
  <c r="D154" i="4"/>
  <c r="D151" i="4"/>
  <c r="D69" i="4"/>
  <c r="D71" i="4"/>
  <c r="D130" i="4"/>
  <c r="D155" i="4"/>
  <c r="D7" i="4"/>
  <c r="B8" i="4"/>
  <c r="B2" i="4"/>
  <c r="B4" i="4"/>
  <c r="B3" i="4"/>
  <c r="B48" i="4"/>
  <c r="B51" i="4"/>
  <c r="B52" i="4"/>
  <c r="B53" i="4"/>
  <c r="B66" i="4"/>
  <c r="B73" i="4"/>
  <c r="B68" i="4"/>
  <c r="B88" i="4"/>
  <c r="B90" i="4"/>
  <c r="B13" i="4"/>
  <c r="B14" i="4"/>
  <c r="B17" i="4"/>
  <c r="B19" i="4"/>
  <c r="B25" i="4"/>
  <c r="B24" i="4"/>
  <c r="B22" i="4"/>
  <c r="B31" i="4"/>
  <c r="B30" i="4"/>
  <c r="B29" i="4"/>
  <c r="B35" i="4"/>
  <c r="B34" i="4"/>
  <c r="B33" i="4"/>
  <c r="B40" i="4"/>
  <c r="B41" i="4"/>
  <c r="B43" i="4"/>
  <c r="B44" i="4"/>
  <c r="B46" i="4"/>
  <c r="B45" i="4"/>
  <c r="B56" i="4"/>
  <c r="B61" i="4"/>
  <c r="B98" i="4"/>
  <c r="B103" i="4"/>
  <c r="B108" i="4"/>
  <c r="B110" i="4"/>
  <c r="B114" i="4"/>
  <c r="B112" i="4"/>
  <c r="B116" i="4"/>
  <c r="B119" i="4"/>
  <c r="B123" i="4"/>
  <c r="B124" i="4"/>
  <c r="B125" i="4"/>
  <c r="B128" i="4"/>
  <c r="B131" i="4"/>
  <c r="B132" i="4"/>
  <c r="B133" i="4"/>
  <c r="B134" i="4"/>
  <c r="B139" i="4"/>
  <c r="B140" i="4"/>
  <c r="B142" i="4"/>
  <c r="B146" i="4"/>
  <c r="B144" i="4"/>
  <c r="B147" i="4"/>
  <c r="B149" i="4"/>
  <c r="B158" i="4"/>
  <c r="B157" i="4"/>
  <c r="B165" i="4"/>
  <c r="B167" i="4"/>
  <c r="B168" i="4"/>
  <c r="B170" i="4"/>
  <c r="B179" i="4"/>
  <c r="B118" i="4"/>
  <c r="B94" i="4"/>
  <c r="B159" i="4"/>
  <c r="B161" i="4"/>
  <c r="B101" i="4"/>
  <c r="B36" i="4"/>
  <c r="B20" i="4"/>
  <c r="B136" i="4"/>
  <c r="B172" i="4"/>
  <c r="B121" i="4"/>
  <c r="B176" i="4"/>
  <c r="B174" i="4"/>
  <c r="B171" i="4"/>
  <c r="B115" i="4"/>
  <c r="B175" i="4"/>
  <c r="B106" i="4"/>
  <c r="B12" i="4"/>
  <c r="B77" i="4"/>
  <c r="B102" i="4"/>
  <c r="B75" i="4"/>
  <c r="B62" i="4"/>
  <c r="B97" i="4"/>
  <c r="B177" i="4"/>
  <c r="B91" i="4"/>
  <c r="B180" i="4"/>
  <c r="B100" i="4"/>
  <c r="B76" i="4"/>
  <c r="B11" i="4"/>
  <c r="B127" i="4"/>
  <c r="B160" i="4"/>
  <c r="B163" i="4"/>
  <c r="B182" i="4"/>
  <c r="B137" i="4"/>
  <c r="B47" i="4"/>
  <c r="B86" i="4"/>
  <c r="B162" i="4"/>
  <c r="B80" i="4"/>
  <c r="B6" i="4"/>
  <c r="B164" i="4"/>
  <c r="B32" i="4"/>
  <c r="B60" i="4"/>
  <c r="B138" i="4"/>
  <c r="B83" i="4"/>
  <c r="B99" i="4"/>
  <c r="B26" i="4"/>
  <c r="B178" i="4"/>
  <c r="B156" i="4"/>
  <c r="B166" i="4"/>
  <c r="B49" i="4"/>
  <c r="B104" i="4"/>
  <c r="B82" i="4"/>
  <c r="B89" i="4"/>
  <c r="B148" i="4"/>
  <c r="B18" i="4"/>
  <c r="B27" i="4"/>
  <c r="B10" i="4"/>
  <c r="B150" i="4"/>
  <c r="B95" i="4"/>
  <c r="B129" i="4"/>
  <c r="B78" i="4"/>
  <c r="B181" i="4"/>
  <c r="B173" i="4"/>
  <c r="B92" i="4"/>
  <c r="B169" i="4"/>
  <c r="B64" i="4"/>
  <c r="B93" i="4"/>
  <c r="B96" i="4"/>
  <c r="B107" i="4"/>
  <c r="B120" i="4"/>
  <c r="B111" i="4"/>
  <c r="B79" i="4"/>
  <c r="B117" i="4"/>
  <c r="B70" i="4"/>
  <c r="B87" i="4"/>
  <c r="B5" i="4"/>
  <c r="B143" i="4"/>
  <c r="B145" i="4"/>
  <c r="B122" i="4"/>
  <c r="B39" i="4"/>
  <c r="B37" i="4"/>
  <c r="B28" i="4"/>
  <c r="B23" i="4"/>
  <c r="B38" i="4"/>
  <c r="B63" i="4"/>
  <c r="B21" i="4"/>
  <c r="B153" i="4"/>
  <c r="B9" i="4"/>
  <c r="B55" i="4"/>
  <c r="B81" i="4"/>
  <c r="B84" i="4"/>
  <c r="B72" i="4"/>
  <c r="B50" i="4"/>
  <c r="B109" i="4"/>
  <c r="B113" i="4"/>
  <c r="B141" i="4"/>
  <c r="B135" i="4"/>
  <c r="B16" i="4"/>
  <c r="B126" i="4"/>
  <c r="B105" i="4"/>
  <c r="B65" i="4"/>
  <c r="B85" i="4"/>
  <c r="B67" i="4"/>
  <c r="B15" i="4"/>
  <c r="B58" i="4"/>
  <c r="B59" i="4"/>
  <c r="B42" i="4"/>
  <c r="B54" i="4"/>
  <c r="B74" i="4"/>
  <c r="B57" i="4"/>
  <c r="B152" i="4"/>
  <c r="B154" i="4"/>
  <c r="B151" i="4"/>
  <c r="B69" i="4"/>
  <c r="B71" i="4"/>
  <c r="B130" i="4"/>
  <c r="B155" i="4"/>
  <c r="C8" i="4"/>
  <c r="C2" i="4"/>
  <c r="C4" i="4"/>
  <c r="C3" i="4"/>
  <c r="C48" i="4"/>
  <c r="C51" i="4"/>
  <c r="C52" i="4"/>
  <c r="C53" i="4"/>
  <c r="C66" i="4"/>
  <c r="C73" i="4"/>
  <c r="C68" i="4"/>
  <c r="C88" i="4"/>
  <c r="C90" i="4"/>
  <c r="C13" i="4"/>
  <c r="C14" i="4"/>
  <c r="C17" i="4"/>
  <c r="C19" i="4"/>
  <c r="C25" i="4"/>
  <c r="C24" i="4"/>
  <c r="C22" i="4"/>
  <c r="C31" i="4"/>
  <c r="C30" i="4"/>
  <c r="C29" i="4"/>
  <c r="C35" i="4"/>
  <c r="C34" i="4"/>
  <c r="C33" i="4"/>
  <c r="C40" i="4"/>
  <c r="C41" i="4"/>
  <c r="C43" i="4"/>
  <c r="C44" i="4"/>
  <c r="C46" i="4"/>
  <c r="C45" i="4"/>
  <c r="C56" i="4"/>
  <c r="C61" i="4"/>
  <c r="C98" i="4"/>
  <c r="C103" i="4"/>
  <c r="C108" i="4"/>
  <c r="C110" i="4"/>
  <c r="C114" i="4"/>
  <c r="C112" i="4"/>
  <c r="C116" i="4"/>
  <c r="C119" i="4"/>
  <c r="C123" i="4"/>
  <c r="C124" i="4"/>
  <c r="C125" i="4"/>
  <c r="C128" i="4"/>
  <c r="C131" i="4"/>
  <c r="C132" i="4"/>
  <c r="C133" i="4"/>
  <c r="C134" i="4"/>
  <c r="C139" i="4"/>
  <c r="C140" i="4"/>
  <c r="C142" i="4"/>
  <c r="C146" i="4"/>
  <c r="C144" i="4"/>
  <c r="C147" i="4"/>
  <c r="C149" i="4"/>
  <c r="C158" i="4"/>
  <c r="C157" i="4"/>
  <c r="C165" i="4"/>
  <c r="C167" i="4"/>
  <c r="C168" i="4"/>
  <c r="C170" i="4"/>
  <c r="C179" i="4"/>
  <c r="C118" i="4"/>
  <c r="C94" i="4"/>
  <c r="C159" i="4"/>
  <c r="C161" i="4"/>
  <c r="C101" i="4"/>
  <c r="C36" i="4"/>
  <c r="C20" i="4"/>
  <c r="C136" i="4"/>
  <c r="C172" i="4"/>
  <c r="C121" i="4"/>
  <c r="C176" i="4"/>
  <c r="C174" i="4"/>
  <c r="C171" i="4"/>
  <c r="C115" i="4"/>
  <c r="C175" i="4"/>
  <c r="C106" i="4"/>
  <c r="C12" i="4"/>
  <c r="C77" i="4"/>
  <c r="C102" i="4"/>
  <c r="C75" i="4"/>
  <c r="C62" i="4"/>
  <c r="C97" i="4"/>
  <c r="C177" i="4"/>
  <c r="C91" i="4"/>
  <c r="C180" i="4"/>
  <c r="C100" i="4"/>
  <c r="C76" i="4"/>
  <c r="C11" i="4"/>
  <c r="C127" i="4"/>
  <c r="C160" i="4"/>
  <c r="C163" i="4"/>
  <c r="C182" i="4"/>
  <c r="C137" i="4"/>
  <c r="C47" i="4"/>
  <c r="C86" i="4"/>
  <c r="C162" i="4"/>
  <c r="C80" i="4"/>
  <c r="C6" i="4"/>
  <c r="C164" i="4"/>
  <c r="C32" i="4"/>
  <c r="C60" i="4"/>
  <c r="C138" i="4"/>
  <c r="C83" i="4"/>
  <c r="C99" i="4"/>
  <c r="C26" i="4"/>
  <c r="C178" i="4"/>
  <c r="C156" i="4"/>
  <c r="C166" i="4"/>
  <c r="C49" i="4"/>
  <c r="C104" i="4"/>
  <c r="C82" i="4"/>
  <c r="C89" i="4"/>
  <c r="C148" i="4"/>
  <c r="C18" i="4"/>
  <c r="C27" i="4"/>
  <c r="C10" i="4"/>
  <c r="C150" i="4"/>
  <c r="C95" i="4"/>
  <c r="C129" i="4"/>
  <c r="C78" i="4"/>
  <c r="C181" i="4"/>
  <c r="C173" i="4"/>
  <c r="C92" i="4"/>
  <c r="C169" i="4"/>
  <c r="C64" i="4"/>
  <c r="C93" i="4"/>
  <c r="C96" i="4"/>
  <c r="C107" i="4"/>
  <c r="C120" i="4"/>
  <c r="C111" i="4"/>
  <c r="C79" i="4"/>
  <c r="C117" i="4"/>
  <c r="C70" i="4"/>
  <c r="C87" i="4"/>
  <c r="C5" i="4"/>
  <c r="C143" i="4"/>
  <c r="C145" i="4"/>
  <c r="C122" i="4"/>
  <c r="C39" i="4"/>
  <c r="C37" i="4"/>
  <c r="C28" i="4"/>
  <c r="C23" i="4"/>
  <c r="C38" i="4"/>
  <c r="C63" i="4"/>
  <c r="C21" i="4"/>
  <c r="C153" i="4"/>
  <c r="C9" i="4"/>
  <c r="C55" i="4"/>
  <c r="C81" i="4"/>
  <c r="C84" i="4"/>
  <c r="C72" i="4"/>
  <c r="C50" i="4"/>
  <c r="C109" i="4"/>
  <c r="C113" i="4"/>
  <c r="C141" i="4"/>
  <c r="C135" i="4"/>
  <c r="C16" i="4"/>
  <c r="C126" i="4"/>
  <c r="C105" i="4"/>
  <c r="C65" i="4"/>
  <c r="C85" i="4"/>
  <c r="C67" i="4"/>
  <c r="C15" i="4"/>
  <c r="C58" i="4"/>
  <c r="C59" i="4"/>
  <c r="C42" i="4"/>
  <c r="C54" i="4"/>
  <c r="C74" i="4"/>
  <c r="C57" i="4"/>
  <c r="C152" i="4"/>
  <c r="C154" i="4"/>
  <c r="C151" i="4"/>
  <c r="C69" i="4"/>
  <c r="C71" i="4"/>
  <c r="C130" i="4"/>
  <c r="C155" i="4"/>
  <c r="C7" i="4"/>
  <c r="B7" i="4"/>
  <c r="F8" i="1" l="1"/>
  <c r="F9" i="1"/>
  <c r="F10" i="1"/>
  <c r="F2" i="1"/>
  <c r="F4" i="1"/>
  <c r="F3" i="1"/>
  <c r="F6" i="1"/>
  <c r="F5" i="1"/>
  <c r="F75" i="1"/>
  <c r="F74" i="1"/>
  <c r="F73" i="1"/>
  <c r="F76" i="1"/>
  <c r="F79" i="1"/>
  <c r="F80" i="1"/>
  <c r="F77" i="1"/>
  <c r="F78" i="1"/>
  <c r="F101" i="1"/>
  <c r="F102" i="1"/>
  <c r="F104" i="1"/>
  <c r="F103" i="1"/>
  <c r="F112" i="1"/>
  <c r="F114" i="1"/>
  <c r="F115" i="1"/>
  <c r="F113" i="1"/>
  <c r="F105" i="1"/>
  <c r="F106" i="1"/>
  <c r="F111" i="1"/>
  <c r="F110" i="1"/>
  <c r="F107" i="1"/>
  <c r="F109" i="1"/>
  <c r="F108" i="1"/>
  <c r="F120" i="1"/>
  <c r="F121" i="1"/>
  <c r="F118" i="1"/>
  <c r="F119" i="1"/>
  <c r="F116" i="1"/>
  <c r="F117" i="1"/>
  <c r="F127" i="1"/>
  <c r="F125" i="1"/>
  <c r="F124" i="1"/>
  <c r="F126" i="1"/>
  <c r="F122" i="1"/>
  <c r="F123" i="1"/>
  <c r="F128" i="1"/>
  <c r="F134" i="1"/>
  <c r="F135" i="1"/>
  <c r="F133" i="1"/>
  <c r="F132" i="1"/>
  <c r="F131" i="1"/>
  <c r="F129" i="1"/>
  <c r="F130" i="1"/>
  <c r="F138" i="1"/>
  <c r="F136" i="1"/>
  <c r="F140" i="1"/>
  <c r="F137" i="1"/>
  <c r="F139" i="1"/>
  <c r="F143" i="1"/>
  <c r="F141" i="1"/>
  <c r="F142" i="1"/>
  <c r="F144" i="1"/>
  <c r="F145" i="1"/>
  <c r="F146" i="1"/>
  <c r="F147" i="1"/>
  <c r="F148" i="1"/>
  <c r="F149" i="1"/>
  <c r="F150" i="1"/>
  <c r="F11" i="1"/>
  <c r="F12" i="1"/>
  <c r="F14" i="1"/>
  <c r="F13" i="1"/>
  <c r="F15" i="1"/>
  <c r="F16" i="1"/>
  <c r="F17" i="1"/>
  <c r="F20" i="1"/>
  <c r="F21" i="1"/>
  <c r="F18" i="1"/>
  <c r="F19" i="1"/>
  <c r="F23" i="1"/>
  <c r="F25" i="1"/>
  <c r="F22" i="1"/>
  <c r="F24" i="1"/>
  <c r="F45" i="1"/>
  <c r="F44" i="1"/>
  <c r="F43" i="1"/>
  <c r="F42" i="1"/>
  <c r="F34" i="1"/>
  <c r="F30" i="1"/>
  <c r="F29" i="1"/>
  <c r="F36" i="1"/>
  <c r="F31" i="1"/>
  <c r="F32" i="1"/>
  <c r="F28" i="1"/>
  <c r="F26" i="1"/>
  <c r="F27" i="1"/>
  <c r="F37" i="1"/>
  <c r="F33" i="1"/>
  <c r="F35" i="1"/>
  <c r="F39" i="1"/>
  <c r="F40" i="1"/>
  <c r="F41" i="1"/>
  <c r="F38" i="1"/>
  <c r="F46" i="1"/>
  <c r="F49" i="1"/>
  <c r="F48" i="1"/>
  <c r="F47" i="1"/>
  <c r="F50" i="1"/>
  <c r="F53" i="1"/>
  <c r="F52" i="1"/>
  <c r="F51" i="1"/>
  <c r="F56" i="1"/>
  <c r="F55" i="1"/>
  <c r="F54" i="1"/>
  <c r="F58" i="1"/>
  <c r="F57" i="1"/>
  <c r="F60" i="1"/>
  <c r="F59" i="1"/>
  <c r="F61" i="1"/>
  <c r="F62" i="1"/>
  <c r="F63" i="1"/>
  <c r="F64" i="1"/>
  <c r="F65" i="1"/>
  <c r="F66" i="1"/>
  <c r="F67" i="1"/>
  <c r="F68" i="1"/>
  <c r="F71" i="1"/>
  <c r="F72" i="1"/>
  <c r="F70" i="1"/>
  <c r="F69" i="1"/>
  <c r="F81" i="1"/>
  <c r="F82" i="1"/>
  <c r="F85" i="1"/>
  <c r="F84" i="1"/>
  <c r="F83" i="1"/>
  <c r="F86" i="1"/>
  <c r="F87" i="1"/>
  <c r="F89" i="1"/>
  <c r="F88" i="1"/>
  <c r="F92" i="1"/>
  <c r="F91" i="1"/>
  <c r="F90" i="1"/>
  <c r="F93" i="1"/>
  <c r="F94" i="1"/>
  <c r="F98" i="1"/>
  <c r="F99" i="1"/>
  <c r="F97" i="1"/>
  <c r="F100" i="1"/>
  <c r="F95" i="1"/>
  <c r="F96" i="1"/>
  <c r="F151" i="1"/>
  <c r="F152" i="1"/>
  <c r="F159" i="1"/>
  <c r="F156" i="1"/>
  <c r="F155" i="1"/>
  <c r="F158" i="1"/>
  <c r="F157" i="1"/>
  <c r="F154" i="1"/>
  <c r="F153" i="1"/>
  <c r="F162" i="1"/>
  <c r="F163" i="1"/>
  <c r="F161" i="1"/>
  <c r="F160" i="1"/>
  <c r="F173" i="1"/>
  <c r="F171" i="1"/>
  <c r="F170" i="1"/>
  <c r="F168" i="1"/>
  <c r="F172" i="1"/>
  <c r="F167" i="1"/>
  <c r="F169" i="1"/>
  <c r="F166" i="1"/>
  <c r="F164" i="1"/>
  <c r="F165" i="1"/>
  <c r="F195" i="1"/>
  <c r="F193" i="1"/>
  <c r="F194" i="1"/>
  <c r="F191" i="1"/>
  <c r="F192" i="1"/>
  <c r="F186" i="1"/>
  <c r="F187" i="1"/>
  <c r="F188" i="1"/>
  <c r="F190" i="1"/>
  <c r="F189" i="1"/>
  <c r="F185" i="1"/>
  <c r="F177" i="1"/>
  <c r="F180" i="1"/>
  <c r="F175" i="1"/>
  <c r="F176" i="1"/>
  <c r="F179" i="1"/>
  <c r="F178" i="1"/>
  <c r="F174" i="1"/>
  <c r="F181" i="1"/>
  <c r="F182" i="1"/>
  <c r="F184" i="1"/>
  <c r="F183" i="1"/>
  <c r="F196" i="1"/>
  <c r="F197" i="1"/>
  <c r="F198" i="1"/>
  <c r="F199" i="1"/>
  <c r="F200" i="1"/>
  <c r="F203" i="1"/>
  <c r="F202" i="1"/>
  <c r="F201" i="1"/>
  <c r="F205" i="1"/>
  <c r="F204" i="1"/>
  <c r="F206" i="1"/>
  <c r="F209" i="1"/>
  <c r="F208" i="1"/>
  <c r="F210" i="1"/>
  <c r="F211" i="1"/>
  <c r="F207" i="1"/>
  <c r="F212" i="1"/>
  <c r="F218" i="1"/>
  <c r="F219" i="1"/>
  <c r="F220" i="1"/>
  <c r="F216" i="1"/>
  <c r="F214" i="1"/>
  <c r="F215" i="1"/>
  <c r="F217" i="1"/>
  <c r="F213" i="1"/>
  <c r="F224" i="1"/>
  <c r="F221" i="1"/>
  <c r="F222" i="1"/>
  <c r="F223" i="1"/>
  <c r="F230" i="1"/>
  <c r="F229" i="1"/>
  <c r="F228" i="1"/>
  <c r="F225" i="1"/>
  <c r="F226" i="1"/>
  <c r="F227" i="1"/>
  <c r="F236" i="1"/>
  <c r="F237" i="1"/>
  <c r="F239" i="1"/>
  <c r="F238" i="1"/>
  <c r="F235" i="1"/>
  <c r="F243" i="1"/>
  <c r="F244" i="1"/>
  <c r="F241" i="1"/>
  <c r="F240" i="1"/>
  <c r="F242" i="1"/>
  <c r="F231" i="1"/>
  <c r="F232" i="1"/>
  <c r="F233" i="1"/>
  <c r="F234" i="1"/>
  <c r="F245" i="1"/>
  <c r="F246" i="1"/>
  <c r="F247" i="1"/>
  <c r="F248" i="1"/>
  <c r="F249" i="1"/>
  <c r="F252" i="1"/>
  <c r="F251" i="1"/>
  <c r="F250" i="1"/>
  <c r="F253" i="1"/>
  <c r="F256" i="1"/>
  <c r="F255" i="1"/>
  <c r="F254" i="1"/>
  <c r="F264" i="1"/>
  <c r="F258" i="1"/>
  <c r="F257" i="1"/>
  <c r="F260" i="1"/>
  <c r="F259" i="1"/>
  <c r="F261" i="1"/>
  <c r="F262" i="1"/>
  <c r="F263" i="1"/>
  <c r="F265" i="1"/>
  <c r="F268" i="1"/>
  <c r="F267" i="1"/>
  <c r="F266" i="1"/>
  <c r="F270" i="1"/>
  <c r="F269" i="1"/>
  <c r="F278" i="1"/>
  <c r="F279" i="1"/>
  <c r="F280" i="1"/>
  <c r="F282" i="1"/>
  <c r="F281" i="1"/>
  <c r="F275" i="1"/>
  <c r="F276" i="1"/>
  <c r="F277" i="1"/>
  <c r="F272" i="1"/>
  <c r="F271" i="1"/>
  <c r="F273" i="1"/>
  <c r="F274" i="1"/>
  <c r="F285" i="1"/>
  <c r="F283" i="1"/>
  <c r="F284" i="1"/>
  <c r="F290" i="1"/>
  <c r="F289" i="1"/>
  <c r="F288" i="1"/>
  <c r="F287" i="1"/>
  <c r="F286" i="1"/>
  <c r="F293" i="1"/>
  <c r="F294" i="1"/>
  <c r="F291" i="1"/>
  <c r="F292" i="1"/>
  <c r="F295" i="1"/>
  <c r="F296" i="1"/>
  <c r="F298" i="1"/>
  <c r="F297" i="1"/>
  <c r="F299" i="1"/>
  <c r="F300" i="1"/>
  <c r="F301" i="1"/>
  <c r="F302" i="1"/>
  <c r="F303" i="1"/>
  <c r="F304" i="1"/>
  <c r="F305" i="1"/>
  <c r="F322" i="1"/>
  <c r="F323" i="1"/>
  <c r="F324" i="1"/>
  <c r="F325" i="1"/>
  <c r="F328" i="1"/>
  <c r="F329" i="1"/>
  <c r="F327" i="1"/>
  <c r="F326" i="1"/>
  <c r="F321" i="1"/>
  <c r="F310" i="1"/>
  <c r="F308" i="1"/>
  <c r="F306" i="1"/>
  <c r="F309" i="1"/>
  <c r="F312" i="1"/>
  <c r="F313" i="1"/>
  <c r="F311" i="1"/>
  <c r="F307" i="1"/>
  <c r="F320" i="1"/>
  <c r="F319" i="1"/>
  <c r="F318" i="1"/>
  <c r="F316" i="1"/>
  <c r="F314" i="1"/>
  <c r="F315" i="1"/>
  <c r="F317" i="1"/>
  <c r="F7" i="1"/>
  <c r="Q8" i="1"/>
  <c r="Q9" i="1"/>
  <c r="Q10" i="1"/>
  <c r="Q2" i="1"/>
  <c r="Q4" i="1"/>
  <c r="Q3" i="1"/>
  <c r="Q6" i="1"/>
  <c r="Q5" i="1"/>
  <c r="Q75" i="1"/>
  <c r="Q74" i="1"/>
  <c r="Q73" i="1"/>
  <c r="Q76" i="1"/>
  <c r="Q79" i="1"/>
  <c r="Q80" i="1"/>
  <c r="Q77" i="1"/>
  <c r="Q78" i="1"/>
  <c r="Q101" i="1"/>
  <c r="Q102" i="1"/>
  <c r="Q104" i="1"/>
  <c r="Q103" i="1"/>
  <c r="Q112" i="1"/>
  <c r="Q114" i="1"/>
  <c r="Q115" i="1"/>
  <c r="Q113" i="1"/>
  <c r="Q105" i="1"/>
  <c r="Q106" i="1"/>
  <c r="Q111" i="1"/>
  <c r="Q110" i="1"/>
  <c r="Q107" i="1"/>
  <c r="Q109" i="1"/>
  <c r="Q108" i="1"/>
  <c r="Q120" i="1"/>
  <c r="Q121" i="1"/>
  <c r="Q118" i="1"/>
  <c r="Q119" i="1"/>
  <c r="Q116" i="1"/>
  <c r="Q117" i="1"/>
  <c r="Q127" i="1"/>
  <c r="Q125" i="1"/>
  <c r="Q124" i="1"/>
  <c r="Q126" i="1"/>
  <c r="Q122" i="1"/>
  <c r="Q123" i="1"/>
  <c r="Q128" i="1"/>
  <c r="Q134" i="1"/>
  <c r="Q135" i="1"/>
  <c r="Q133" i="1"/>
  <c r="Q132" i="1"/>
  <c r="Q131" i="1"/>
  <c r="Q129" i="1"/>
  <c r="Q130" i="1"/>
  <c r="Q138" i="1"/>
  <c r="Q136" i="1"/>
  <c r="Q140" i="1"/>
  <c r="Q137" i="1"/>
  <c r="Q139" i="1"/>
  <c r="Q143" i="1"/>
  <c r="Q141" i="1"/>
  <c r="Q142" i="1"/>
  <c r="Q144" i="1"/>
  <c r="Q145" i="1"/>
  <c r="Q146" i="1"/>
  <c r="Q147" i="1"/>
  <c r="Q148" i="1"/>
  <c r="Q149" i="1"/>
  <c r="Q150" i="1"/>
  <c r="Q11" i="1"/>
  <c r="Q12" i="1"/>
  <c r="Q14" i="1"/>
  <c r="Q13" i="1"/>
  <c r="Q15" i="1"/>
  <c r="Q16" i="1"/>
  <c r="Q17" i="1"/>
  <c r="Q20" i="1"/>
  <c r="Q21" i="1"/>
  <c r="Q18" i="1"/>
  <c r="Q19" i="1"/>
  <c r="Q23" i="1"/>
  <c r="Q25" i="1"/>
  <c r="Q22" i="1"/>
  <c r="Q24" i="1"/>
  <c r="Q45" i="1"/>
  <c r="Q44" i="1"/>
  <c r="Q43" i="1"/>
  <c r="Q42" i="1"/>
  <c r="Q34" i="1"/>
  <c r="Q30" i="1"/>
  <c r="Q29" i="1"/>
  <c r="Q36" i="1"/>
  <c r="Q31" i="1"/>
  <c r="Q32" i="1"/>
  <c r="Q28" i="1"/>
  <c r="Q26" i="1"/>
  <c r="Q27" i="1"/>
  <c r="Q37" i="1"/>
  <c r="Q33" i="1"/>
  <c r="Q35" i="1"/>
  <c r="Q39" i="1"/>
  <c r="Q40" i="1"/>
  <c r="Q41" i="1"/>
  <c r="Q38" i="1"/>
  <c r="Q46" i="1"/>
  <c r="Q49" i="1"/>
  <c r="Q48" i="1"/>
  <c r="Q47" i="1"/>
  <c r="Q50" i="1"/>
  <c r="Q53" i="1"/>
  <c r="Q52" i="1"/>
  <c r="Q56" i="1"/>
  <c r="Q55" i="1"/>
  <c r="Q54" i="1"/>
  <c r="Q58" i="1"/>
  <c r="Q57" i="1"/>
  <c r="Q60" i="1"/>
  <c r="Q59" i="1"/>
  <c r="Q61" i="1"/>
  <c r="Q62" i="1"/>
  <c r="Q63" i="1"/>
  <c r="Q64" i="1"/>
  <c r="Q65" i="1"/>
  <c r="Q66" i="1"/>
  <c r="Q67" i="1"/>
  <c r="Q68" i="1"/>
  <c r="Q71" i="1"/>
  <c r="Q72" i="1"/>
  <c r="Q70" i="1"/>
  <c r="Q69" i="1"/>
  <c r="Q81" i="1"/>
  <c r="Q82" i="1"/>
  <c r="Q85" i="1"/>
  <c r="Q84" i="1"/>
  <c r="Q83" i="1"/>
  <c r="Q86" i="1"/>
  <c r="Q87" i="1"/>
  <c r="Q89" i="1"/>
  <c r="Q88" i="1"/>
  <c r="Q92" i="1"/>
  <c r="Q91" i="1"/>
  <c r="Q90" i="1"/>
  <c r="Q93" i="1"/>
  <c r="Q94" i="1"/>
  <c r="Q98" i="1"/>
  <c r="Q99" i="1"/>
  <c r="Q97" i="1"/>
  <c r="Q100" i="1"/>
  <c r="Q95" i="1"/>
  <c r="Q96" i="1"/>
  <c r="Q151" i="1"/>
  <c r="Q152" i="1"/>
  <c r="Q159" i="1"/>
  <c r="Q156" i="1"/>
  <c r="Q155" i="1"/>
  <c r="Q158" i="1"/>
  <c r="Q157" i="1"/>
  <c r="Q154" i="1"/>
  <c r="Q153" i="1"/>
  <c r="Q162" i="1"/>
  <c r="Q163" i="1"/>
  <c r="Q161" i="1"/>
  <c r="Q160" i="1"/>
  <c r="Q173" i="1"/>
  <c r="Q171" i="1"/>
  <c r="Q170" i="1"/>
  <c r="Q168" i="1"/>
  <c r="Q172" i="1"/>
  <c r="Q167" i="1"/>
  <c r="Q169" i="1"/>
  <c r="Q166" i="1"/>
  <c r="Q164" i="1"/>
  <c r="Q165" i="1"/>
  <c r="Q195" i="1"/>
  <c r="Q193" i="1"/>
  <c r="Q194" i="1"/>
  <c r="Q191" i="1"/>
  <c r="Q192" i="1"/>
  <c r="Q186" i="1"/>
  <c r="Q187" i="1"/>
  <c r="Q188" i="1"/>
  <c r="Q190" i="1"/>
  <c r="Q189" i="1"/>
  <c r="Q185" i="1"/>
  <c r="Q177" i="1"/>
  <c r="Q180" i="1"/>
  <c r="Q175" i="1"/>
  <c r="Q176" i="1"/>
  <c r="Q179" i="1"/>
  <c r="Q178" i="1"/>
  <c r="Q174" i="1"/>
  <c r="Q181" i="1"/>
  <c r="Q182" i="1"/>
  <c r="Q184" i="1"/>
  <c r="Q183" i="1"/>
  <c r="Q196" i="1"/>
  <c r="Q197" i="1"/>
  <c r="Q198" i="1"/>
  <c r="Q199" i="1"/>
  <c r="Q200" i="1"/>
  <c r="Q203" i="1"/>
  <c r="Q202" i="1"/>
  <c r="Q201" i="1"/>
  <c r="Q205" i="1"/>
  <c r="Q204" i="1"/>
  <c r="Q206" i="1"/>
  <c r="Q209" i="1"/>
  <c r="Q208" i="1"/>
  <c r="Q210" i="1"/>
  <c r="Q211" i="1"/>
  <c r="Q207" i="1"/>
  <c r="Q212" i="1"/>
  <c r="Q218" i="1"/>
  <c r="Q219" i="1"/>
  <c r="Q220" i="1"/>
  <c r="Q216" i="1"/>
  <c r="Q214" i="1"/>
  <c r="Q215" i="1"/>
  <c r="Q217" i="1"/>
  <c r="Q213" i="1"/>
  <c r="Q224" i="1"/>
  <c r="Q221" i="1"/>
  <c r="Q222" i="1"/>
  <c r="Q223" i="1"/>
  <c r="Q230" i="1"/>
  <c r="Q229" i="1"/>
  <c r="Q228" i="1"/>
  <c r="Q225" i="1"/>
  <c r="Q226" i="1"/>
  <c r="Q227" i="1"/>
  <c r="Q236" i="1"/>
  <c r="Q237" i="1"/>
  <c r="Q239" i="1"/>
  <c r="Q238" i="1"/>
  <c r="Q235" i="1"/>
  <c r="Q243" i="1"/>
  <c r="Q244" i="1"/>
  <c r="Q241" i="1"/>
  <c r="Q240" i="1"/>
  <c r="Q242" i="1"/>
  <c r="Q231" i="1"/>
  <c r="Q232" i="1"/>
  <c r="Q233" i="1"/>
  <c r="Q234" i="1"/>
  <c r="Q245" i="1"/>
  <c r="Q246" i="1"/>
  <c r="Q247" i="1"/>
  <c r="Q248" i="1"/>
  <c r="Q249" i="1"/>
  <c r="Q252" i="1"/>
  <c r="Q251" i="1"/>
  <c r="Q250" i="1"/>
  <c r="Q253" i="1"/>
  <c r="Q256" i="1"/>
  <c r="Q255" i="1"/>
  <c r="Q254" i="1"/>
  <c r="Q264" i="1"/>
  <c r="Q258" i="1"/>
  <c r="Q257" i="1"/>
  <c r="Q260" i="1"/>
  <c r="Q259" i="1"/>
  <c r="Q261" i="1"/>
  <c r="Q262" i="1"/>
  <c r="Q263" i="1"/>
  <c r="Q265" i="1"/>
  <c r="Q268" i="1"/>
  <c r="Q267" i="1"/>
  <c r="Q266" i="1"/>
  <c r="Q270" i="1"/>
  <c r="Q269" i="1"/>
  <c r="Q278" i="1"/>
  <c r="Q279" i="1"/>
  <c r="Q280" i="1"/>
  <c r="Q282" i="1"/>
  <c r="Q281" i="1"/>
  <c r="Q275" i="1"/>
  <c r="Q276" i="1"/>
  <c r="Q277" i="1"/>
  <c r="Q272" i="1"/>
  <c r="Q271" i="1"/>
  <c r="Q273" i="1"/>
  <c r="Q274" i="1"/>
  <c r="Q285" i="1"/>
  <c r="Q283" i="1"/>
  <c r="Q284" i="1"/>
  <c r="Q290" i="1"/>
  <c r="Q289" i="1"/>
  <c r="Q288" i="1"/>
  <c r="Q287" i="1"/>
  <c r="Q286" i="1"/>
  <c r="Q293" i="1"/>
  <c r="Q294" i="1"/>
  <c r="Q291" i="1"/>
  <c r="Q292" i="1"/>
  <c r="Q295" i="1"/>
  <c r="Q296" i="1"/>
  <c r="Q298" i="1"/>
  <c r="Q297" i="1"/>
  <c r="Q299" i="1"/>
  <c r="Q300" i="1"/>
  <c r="Q301" i="1"/>
  <c r="Q302" i="1"/>
  <c r="Q303" i="1"/>
  <c r="Q304" i="1"/>
  <c r="Q305" i="1"/>
  <c r="Q322" i="1"/>
  <c r="Q323" i="1"/>
  <c r="Q324" i="1"/>
  <c r="Q325" i="1"/>
  <c r="Q328" i="1"/>
  <c r="Q329" i="1"/>
  <c r="Q327" i="1"/>
  <c r="Q326" i="1"/>
  <c r="Q321" i="1"/>
  <c r="Q310" i="1"/>
  <c r="Q308" i="1"/>
  <c r="Q306" i="1"/>
  <c r="Q309" i="1"/>
  <c r="Q312" i="1"/>
  <c r="Q313" i="1"/>
  <c r="Q311" i="1"/>
  <c r="Q307" i="1"/>
  <c r="Q320" i="1"/>
  <c r="Q319" i="1"/>
  <c r="Q318" i="1"/>
  <c r="Q316" i="1"/>
  <c r="Q314" i="1"/>
  <c r="Q315" i="1"/>
  <c r="Q317" i="1"/>
  <c r="Q7" i="1"/>
  <c r="K2" i="2"/>
  <c r="K7" i="2"/>
  <c r="K3" i="2"/>
  <c r="K13" i="2"/>
  <c r="K8" i="2"/>
  <c r="K4" i="2"/>
  <c r="K14" i="2"/>
  <c r="K9" i="2"/>
  <c r="K5" i="2"/>
  <c r="K15" i="2"/>
  <c r="K10" i="2"/>
  <c r="K6" i="2"/>
  <c r="K16" i="2"/>
  <c r="K11" i="2"/>
  <c r="K18" i="2"/>
  <c r="K24" i="2"/>
  <c r="K25" i="2"/>
  <c r="K21" i="2"/>
  <c r="K26" i="2"/>
  <c r="K27" i="2"/>
  <c r="K22" i="2"/>
  <c r="K28" i="2"/>
  <c r="K19" i="2"/>
  <c r="K23" i="2"/>
  <c r="K29" i="2"/>
  <c r="K38" i="2"/>
  <c r="K30" i="2"/>
  <c r="K39" i="2"/>
  <c r="K34" i="2"/>
  <c r="K31" i="2"/>
  <c r="K40" i="2"/>
  <c r="K35" i="2"/>
  <c r="K32" i="2"/>
  <c r="K41" i="2"/>
  <c r="K36" i="2"/>
  <c r="K42" i="2"/>
  <c r="K37" i="2"/>
  <c r="D37" i="2"/>
  <c r="D36" i="2"/>
  <c r="D35" i="2"/>
  <c r="D34" i="2"/>
  <c r="D23" i="2"/>
  <c r="D19" i="2"/>
  <c r="D28" i="2"/>
  <c r="D22" i="2"/>
  <c r="D27" i="2"/>
  <c r="D21" i="2"/>
  <c r="D11" i="2"/>
  <c r="D10" i="2"/>
  <c r="D9" i="2"/>
  <c r="D42" i="2"/>
  <c r="D41" i="2"/>
  <c r="D32" i="2"/>
  <c r="D40" i="2"/>
  <c r="D31" i="2"/>
  <c r="D39" i="2"/>
  <c r="D30" i="2"/>
  <c r="D38" i="2"/>
  <c r="D29" i="2"/>
  <c r="D26" i="2"/>
  <c r="D25" i="2"/>
  <c r="D24" i="2"/>
  <c r="D18" i="2"/>
  <c r="D16" i="2"/>
  <c r="D6" i="2"/>
  <c r="D15" i="2"/>
  <c r="D5" i="2"/>
  <c r="D14" i="2"/>
  <c r="D4" i="2"/>
  <c r="D13" i="2"/>
  <c r="D3" i="2"/>
  <c r="K12" i="2"/>
  <c r="D12" i="2"/>
  <c r="J8" i="1"/>
  <c r="J9" i="1"/>
  <c r="J10" i="1"/>
  <c r="J2" i="1"/>
  <c r="J4" i="1"/>
  <c r="J3" i="1"/>
  <c r="J6" i="1"/>
  <c r="J5" i="1"/>
  <c r="W5" i="1" s="1" a="1"/>
  <c r="W5" i="1" s="1"/>
  <c r="J75" i="1"/>
  <c r="J74" i="1"/>
  <c r="J73" i="1"/>
  <c r="J76" i="1"/>
  <c r="J79" i="1"/>
  <c r="J80" i="1"/>
  <c r="J77" i="1"/>
  <c r="J78" i="1"/>
  <c r="J101" i="1"/>
  <c r="J102" i="1"/>
  <c r="J104" i="1"/>
  <c r="J103" i="1"/>
  <c r="J112" i="1"/>
  <c r="J114" i="1"/>
  <c r="J115" i="1"/>
  <c r="J113" i="1"/>
  <c r="W113" i="1" s="1" a="1"/>
  <c r="W113" i="1" s="1"/>
  <c r="J105" i="1"/>
  <c r="J106" i="1"/>
  <c r="J111" i="1"/>
  <c r="J110" i="1"/>
  <c r="J107" i="1"/>
  <c r="J109" i="1"/>
  <c r="J108" i="1"/>
  <c r="J120" i="1"/>
  <c r="J121" i="1"/>
  <c r="J118" i="1"/>
  <c r="J119" i="1"/>
  <c r="J116" i="1"/>
  <c r="J117" i="1"/>
  <c r="J127" i="1"/>
  <c r="J125" i="1"/>
  <c r="J124" i="1"/>
  <c r="W124" i="1" s="1" a="1"/>
  <c r="W124" i="1" s="1"/>
  <c r="J126" i="1"/>
  <c r="J122" i="1"/>
  <c r="J123" i="1"/>
  <c r="J128" i="1"/>
  <c r="J134" i="1"/>
  <c r="J135" i="1"/>
  <c r="J133" i="1"/>
  <c r="J132" i="1"/>
  <c r="W132" i="1" s="1" a="1"/>
  <c r="W132" i="1" s="1"/>
  <c r="J131" i="1"/>
  <c r="J129" i="1"/>
  <c r="J130" i="1"/>
  <c r="J138" i="1"/>
  <c r="J136" i="1"/>
  <c r="J140" i="1"/>
  <c r="J137" i="1"/>
  <c r="J139" i="1"/>
  <c r="W139" i="1" s="1" a="1"/>
  <c r="W139" i="1" s="1"/>
  <c r="J143" i="1"/>
  <c r="J141" i="1"/>
  <c r="J142" i="1"/>
  <c r="J144" i="1"/>
  <c r="J145" i="1"/>
  <c r="J146" i="1"/>
  <c r="J147" i="1"/>
  <c r="J148" i="1"/>
  <c r="W148" i="1" s="1" a="1"/>
  <c r="W148" i="1" s="1"/>
  <c r="J149" i="1"/>
  <c r="J150" i="1"/>
  <c r="J11" i="1"/>
  <c r="J12" i="1"/>
  <c r="J14" i="1"/>
  <c r="J13" i="1"/>
  <c r="J15" i="1"/>
  <c r="J16" i="1"/>
  <c r="W16" i="1" s="1" a="1"/>
  <c r="W16" i="1" s="1"/>
  <c r="J17" i="1"/>
  <c r="J20" i="1"/>
  <c r="J21" i="1"/>
  <c r="J18" i="1"/>
  <c r="J19" i="1"/>
  <c r="J23" i="1"/>
  <c r="J25" i="1"/>
  <c r="J22" i="1"/>
  <c r="W22" i="1" s="1" a="1"/>
  <c r="W22" i="1" s="1"/>
  <c r="J24" i="1"/>
  <c r="J45" i="1"/>
  <c r="J44" i="1"/>
  <c r="J43" i="1"/>
  <c r="J42" i="1"/>
  <c r="J34" i="1"/>
  <c r="J30" i="1"/>
  <c r="J29" i="1"/>
  <c r="W29" i="1" s="1" a="1"/>
  <c r="W29" i="1" s="1"/>
  <c r="J36" i="1"/>
  <c r="J31" i="1"/>
  <c r="J32" i="1"/>
  <c r="J28" i="1"/>
  <c r="J26" i="1"/>
  <c r="J27" i="1"/>
  <c r="J37" i="1"/>
  <c r="J33" i="1"/>
  <c r="W33" i="1" s="1" a="1"/>
  <c r="W33" i="1" s="1"/>
  <c r="J35" i="1"/>
  <c r="J39" i="1"/>
  <c r="J40" i="1"/>
  <c r="J41" i="1"/>
  <c r="J38" i="1"/>
  <c r="J46" i="1"/>
  <c r="W46" i="1" s="1" a="1"/>
  <c r="W46" i="1" s="1"/>
  <c r="J49" i="1"/>
  <c r="J48" i="1"/>
  <c r="W48" i="1" s="1" a="1"/>
  <c r="W48" i="1" s="1"/>
  <c r="J47" i="1"/>
  <c r="J50" i="1"/>
  <c r="J53" i="1"/>
  <c r="J52" i="1"/>
  <c r="J51" i="1"/>
  <c r="J56" i="1"/>
  <c r="J55" i="1"/>
  <c r="J54" i="1"/>
  <c r="J58" i="1"/>
  <c r="J57" i="1"/>
  <c r="J60" i="1"/>
  <c r="J59" i="1"/>
  <c r="J61" i="1"/>
  <c r="J62" i="1"/>
  <c r="J63" i="1"/>
  <c r="J64" i="1"/>
  <c r="W64" i="1" s="1" a="1"/>
  <c r="W64" i="1" s="1"/>
  <c r="J65" i="1"/>
  <c r="J66" i="1"/>
  <c r="J67" i="1"/>
  <c r="J68" i="1"/>
  <c r="J71" i="1"/>
  <c r="J72" i="1"/>
  <c r="J70" i="1"/>
  <c r="J69" i="1"/>
  <c r="W69" i="1" s="1" a="1"/>
  <c r="W69" i="1" s="1"/>
  <c r="J81" i="1"/>
  <c r="J82" i="1"/>
  <c r="J85" i="1"/>
  <c r="J84" i="1"/>
  <c r="J83" i="1"/>
  <c r="J86" i="1"/>
  <c r="J87" i="1"/>
  <c r="J89" i="1"/>
  <c r="W89" i="1" s="1" a="1"/>
  <c r="W89" i="1" s="1"/>
  <c r="J88" i="1"/>
  <c r="J92" i="1"/>
  <c r="J91" i="1"/>
  <c r="J90" i="1"/>
  <c r="J93" i="1"/>
  <c r="J94" i="1"/>
  <c r="J98" i="1"/>
  <c r="J99" i="1"/>
  <c r="W99" i="1" s="1" a="1"/>
  <c r="W99" i="1" s="1"/>
  <c r="J97" i="1"/>
  <c r="J100" i="1"/>
  <c r="J95" i="1"/>
  <c r="J96" i="1"/>
  <c r="J151" i="1"/>
  <c r="J152" i="1"/>
  <c r="J159" i="1"/>
  <c r="W159" i="1" s="1" a="1"/>
  <c r="W159" i="1" s="1"/>
  <c r="J156" i="1"/>
  <c r="W156" i="1" s="1" a="1"/>
  <c r="W156" i="1" s="1"/>
  <c r="J155" i="1"/>
  <c r="J158" i="1"/>
  <c r="J157" i="1"/>
  <c r="J154" i="1"/>
  <c r="J153" i="1"/>
  <c r="J162" i="1"/>
  <c r="J163" i="1"/>
  <c r="J161" i="1"/>
  <c r="W161" i="1" s="1" a="1"/>
  <c r="W161" i="1" s="1"/>
  <c r="J160" i="1"/>
  <c r="J173" i="1"/>
  <c r="J171" i="1"/>
  <c r="J170" i="1"/>
  <c r="J168" i="1"/>
  <c r="J172" i="1"/>
  <c r="J167" i="1"/>
  <c r="W167" i="1" s="1" a="1"/>
  <c r="W167" i="1" s="1"/>
  <c r="J169" i="1"/>
  <c r="W169" i="1" s="1" a="1"/>
  <c r="W169" i="1" s="1"/>
  <c r="J166" i="1"/>
  <c r="J164" i="1"/>
  <c r="J165" i="1"/>
  <c r="J195" i="1"/>
  <c r="J193" i="1"/>
  <c r="J194" i="1"/>
  <c r="J191" i="1"/>
  <c r="J192" i="1"/>
  <c r="W192" i="1" s="1" a="1"/>
  <c r="W192" i="1" s="1"/>
  <c r="J186" i="1"/>
  <c r="J187" i="1"/>
  <c r="J188" i="1"/>
  <c r="J190" i="1"/>
  <c r="J189" i="1"/>
  <c r="J185" i="1"/>
  <c r="J177" i="1"/>
  <c r="J180" i="1"/>
  <c r="W180" i="1" s="1" a="1"/>
  <c r="W180" i="1" s="1"/>
  <c r="J175" i="1"/>
  <c r="J176" i="1"/>
  <c r="J179" i="1"/>
  <c r="J178" i="1"/>
  <c r="J174" i="1"/>
  <c r="J181" i="1"/>
  <c r="J182" i="1"/>
  <c r="J184" i="1"/>
  <c r="W184" i="1" s="1" a="1"/>
  <c r="W184" i="1" s="1"/>
  <c r="J183" i="1"/>
  <c r="J196" i="1"/>
  <c r="J197" i="1"/>
  <c r="J198" i="1"/>
  <c r="J199" i="1"/>
  <c r="J200" i="1"/>
  <c r="J203" i="1"/>
  <c r="J202" i="1"/>
  <c r="W202" i="1" s="1" a="1"/>
  <c r="W202" i="1" s="1"/>
  <c r="J201" i="1"/>
  <c r="J205" i="1"/>
  <c r="J204" i="1"/>
  <c r="J206" i="1"/>
  <c r="J209" i="1"/>
  <c r="J208" i="1"/>
  <c r="J210" i="1"/>
  <c r="J211" i="1"/>
  <c r="W211" i="1" s="1" a="1"/>
  <c r="W211" i="1" s="1"/>
  <c r="J207" i="1"/>
  <c r="J212" i="1"/>
  <c r="J218" i="1"/>
  <c r="J219" i="1"/>
  <c r="J220" i="1"/>
  <c r="J216" i="1"/>
  <c r="J214" i="1"/>
  <c r="J215" i="1"/>
  <c r="W215" i="1" s="1" a="1"/>
  <c r="W215" i="1" s="1"/>
  <c r="J217" i="1"/>
  <c r="J213" i="1"/>
  <c r="J224" i="1"/>
  <c r="J221" i="1"/>
  <c r="J222" i="1"/>
  <c r="J223" i="1"/>
  <c r="J230" i="1"/>
  <c r="J229" i="1"/>
  <c r="W229" i="1" s="1" a="1"/>
  <c r="W229" i="1" s="1"/>
  <c r="J228" i="1"/>
  <c r="J225" i="1"/>
  <c r="J226" i="1"/>
  <c r="J227" i="1"/>
  <c r="J236" i="1"/>
  <c r="J237" i="1"/>
  <c r="J239" i="1"/>
  <c r="J238" i="1"/>
  <c r="W238" i="1" s="1" a="1"/>
  <c r="W238" i="1" s="1"/>
  <c r="J235" i="1"/>
  <c r="J243" i="1"/>
  <c r="J244" i="1"/>
  <c r="J241" i="1"/>
  <c r="J240" i="1"/>
  <c r="J242" i="1"/>
  <c r="J231" i="1"/>
  <c r="J232" i="1"/>
  <c r="W232" i="1" s="1" a="1"/>
  <c r="W232" i="1" s="1"/>
  <c r="J233" i="1"/>
  <c r="J234" i="1"/>
  <c r="J245" i="1"/>
  <c r="J246" i="1"/>
  <c r="J247" i="1"/>
  <c r="J248" i="1"/>
  <c r="J249" i="1"/>
  <c r="J252" i="1"/>
  <c r="W252" i="1" s="1" a="1"/>
  <c r="W252" i="1" s="1"/>
  <c r="J251" i="1"/>
  <c r="J250" i="1"/>
  <c r="J253" i="1"/>
  <c r="J256" i="1"/>
  <c r="J255" i="1"/>
  <c r="J254" i="1"/>
  <c r="J264" i="1"/>
  <c r="J258" i="1"/>
  <c r="W258" i="1" s="1" a="1"/>
  <c r="W258" i="1" s="1"/>
  <c r="J257" i="1"/>
  <c r="J260" i="1"/>
  <c r="J259" i="1"/>
  <c r="J261" i="1"/>
  <c r="J262" i="1"/>
  <c r="J263" i="1"/>
  <c r="J265" i="1"/>
  <c r="J268" i="1"/>
  <c r="W268" i="1" s="1" a="1"/>
  <c r="W268" i="1" s="1"/>
  <c r="J267" i="1"/>
  <c r="J266" i="1"/>
  <c r="J270" i="1"/>
  <c r="J269" i="1"/>
  <c r="J278" i="1"/>
  <c r="J279" i="1"/>
  <c r="J280" i="1"/>
  <c r="J282" i="1"/>
  <c r="W282" i="1" s="1" a="1"/>
  <c r="W282" i="1" s="1"/>
  <c r="J281" i="1"/>
  <c r="J275" i="1"/>
  <c r="J276" i="1"/>
  <c r="J277" i="1"/>
  <c r="J272" i="1"/>
  <c r="J271" i="1"/>
  <c r="J273" i="1"/>
  <c r="J274" i="1"/>
  <c r="W274" i="1" s="1" a="1"/>
  <c r="W274" i="1" s="1"/>
  <c r="J285" i="1"/>
  <c r="J283" i="1"/>
  <c r="J284" i="1"/>
  <c r="J290" i="1"/>
  <c r="J289" i="1"/>
  <c r="J288" i="1"/>
  <c r="J287" i="1"/>
  <c r="J286" i="1"/>
  <c r="J293" i="1"/>
  <c r="J294" i="1"/>
  <c r="J291" i="1"/>
  <c r="J292" i="1"/>
  <c r="J295" i="1"/>
  <c r="J296" i="1"/>
  <c r="J298" i="1"/>
  <c r="J297" i="1"/>
  <c r="W297" i="1" s="1" a="1"/>
  <c r="W297" i="1" s="1"/>
  <c r="J299" i="1"/>
  <c r="J300" i="1"/>
  <c r="J301" i="1"/>
  <c r="J302" i="1"/>
  <c r="J303" i="1"/>
  <c r="J304" i="1"/>
  <c r="J305" i="1"/>
  <c r="J322" i="1"/>
  <c r="W322" i="1" s="1" a="1"/>
  <c r="W322" i="1" s="1"/>
  <c r="J323" i="1"/>
  <c r="J324" i="1"/>
  <c r="J325" i="1"/>
  <c r="J328" i="1"/>
  <c r="J329" i="1"/>
  <c r="J327" i="1"/>
  <c r="J326" i="1"/>
  <c r="J321" i="1"/>
  <c r="W321" i="1" s="1" a="1"/>
  <c r="W321" i="1" s="1"/>
  <c r="J310" i="1"/>
  <c r="J308" i="1"/>
  <c r="J306" i="1"/>
  <c r="J309" i="1"/>
  <c r="J312" i="1"/>
  <c r="J313" i="1"/>
  <c r="J311" i="1"/>
  <c r="J307" i="1"/>
  <c r="W307" i="1" s="1" a="1"/>
  <c r="W307" i="1" s="1"/>
  <c r="J320" i="1"/>
  <c r="J319" i="1"/>
  <c r="J318" i="1"/>
  <c r="J316" i="1"/>
  <c r="J314" i="1"/>
  <c r="J315" i="1"/>
  <c r="J317" i="1"/>
  <c r="J7" i="1"/>
  <c r="W7" i="1" s="1" a="1"/>
  <c r="W7" i="1" s="1"/>
  <c r="W120" i="1" l="1" a="1"/>
  <c r="W120" i="1" s="1"/>
  <c r="W78" i="1" a="1"/>
  <c r="W78" i="1" s="1"/>
  <c r="W298" i="1" a="1"/>
  <c r="W298" i="1" s="1"/>
  <c r="W249" i="1" a="1"/>
  <c r="W249" i="1" s="1"/>
  <c r="W163" i="1" a="1"/>
  <c r="W163" i="1" s="1"/>
  <c r="W311" i="1" a="1"/>
  <c r="W311" i="1" s="1"/>
  <c r="W273" i="1" a="1"/>
  <c r="W273" i="1" s="1"/>
  <c r="W239" i="1" a="1"/>
  <c r="W239" i="1" s="1"/>
  <c r="W70" i="1" a="1"/>
  <c r="W70" i="1" s="1"/>
  <c r="L46" i="4" s="1"/>
  <c r="W37" i="1" a="1"/>
  <c r="W37" i="1" s="1"/>
  <c r="W115" i="1" a="1"/>
  <c r="W115" i="1" s="1"/>
  <c r="W305" i="1" a="1"/>
  <c r="W305" i="1" s="1"/>
  <c r="W265" i="1" a="1"/>
  <c r="W265" i="1" s="1"/>
  <c r="W230" i="1" a="1"/>
  <c r="W230" i="1" s="1"/>
  <c r="W182" i="1" a="1"/>
  <c r="W182" i="1" s="1"/>
  <c r="W98" i="1" a="1"/>
  <c r="W98" i="1" s="1"/>
  <c r="W63" i="1" a="1"/>
  <c r="W63" i="1" s="1"/>
  <c r="W30" i="1" a="1"/>
  <c r="W30" i="1" s="1"/>
  <c r="W147" i="1" a="1"/>
  <c r="W147" i="1" s="1"/>
  <c r="W108" i="1" a="1"/>
  <c r="W108" i="1" s="1"/>
  <c r="W296" i="1" a="1"/>
  <c r="W296" i="1" s="1"/>
  <c r="W242" i="1" a="1"/>
  <c r="W242" i="1" s="1"/>
  <c r="W94" i="1" a="1"/>
  <c r="W94" i="1" s="1"/>
  <c r="W272" i="1" a="1"/>
  <c r="W272" i="1" s="1"/>
  <c r="W236" i="1" a="1"/>
  <c r="W236" i="1" s="1"/>
  <c r="W222" i="1" a="1"/>
  <c r="W222" i="1" s="1"/>
  <c r="L124" i="4" s="1"/>
  <c r="W220" i="1" a="1"/>
  <c r="W220" i="1" s="1"/>
  <c r="W209" i="1" a="1"/>
  <c r="W209" i="1" s="1"/>
  <c r="W199" i="1" a="1"/>
  <c r="W199" i="1" s="1"/>
  <c r="W174" i="1" a="1"/>
  <c r="W174" i="1" s="1"/>
  <c r="W189" i="1" a="1"/>
  <c r="W189" i="1" s="1"/>
  <c r="W193" i="1" a="1"/>
  <c r="W193" i="1" s="1"/>
  <c r="W168" i="1" a="1"/>
  <c r="W168" i="1" s="1"/>
  <c r="W153" i="1" a="1"/>
  <c r="W153" i="1" s="1"/>
  <c r="W151" i="1" a="1"/>
  <c r="W151" i="1" s="1"/>
  <c r="W93" i="1" a="1"/>
  <c r="W93" i="1" s="1"/>
  <c r="W83" i="1" a="1"/>
  <c r="W83" i="1" s="1"/>
  <c r="W71" i="1" a="1"/>
  <c r="W71" i="1" s="1"/>
  <c r="W51" i="1" a="1"/>
  <c r="W51" i="1" s="1"/>
  <c r="W317" i="1" a="1"/>
  <c r="W317" i="1" s="1"/>
  <c r="W280" i="1" a="1"/>
  <c r="W280" i="1" s="1"/>
  <c r="W191" i="1" a="1"/>
  <c r="W191" i="1" s="1"/>
  <c r="W315" i="1" a="1"/>
  <c r="W315" i="1" s="1"/>
  <c r="W288" i="1" a="1"/>
  <c r="W288" i="1" s="1"/>
  <c r="W254" i="1" a="1"/>
  <c r="W254" i="1" s="1"/>
  <c r="W237" i="1" a="1"/>
  <c r="W237" i="1" s="1"/>
  <c r="W208" i="1" a="1"/>
  <c r="W208" i="1" s="1"/>
  <c r="W181" i="1" a="1"/>
  <c r="W181" i="1" s="1"/>
  <c r="W172" i="1" a="1"/>
  <c r="W172" i="1" s="1"/>
  <c r="W86" i="1" a="1"/>
  <c r="W86" i="1" s="1"/>
  <c r="L59" i="4" s="1"/>
  <c r="W329" i="1" a="1"/>
  <c r="W329" i="1" s="1"/>
  <c r="W255" i="1" a="1"/>
  <c r="W255" i="1" s="1"/>
  <c r="W309" i="1" a="1"/>
  <c r="W309" i="1" s="1"/>
  <c r="W290" i="1" a="1"/>
  <c r="W290" i="1" s="1"/>
  <c r="W277" i="1" a="1"/>
  <c r="W277" i="1" s="1"/>
  <c r="W269" i="1" a="1"/>
  <c r="W269" i="1" s="1"/>
  <c r="W261" i="1" a="1"/>
  <c r="W261" i="1" s="1"/>
  <c r="W256" i="1" a="1"/>
  <c r="W256" i="1" s="1"/>
  <c r="L150" i="4" s="1"/>
  <c r="W246" i="1" a="1"/>
  <c r="W246" i="1" s="1"/>
  <c r="W241" i="1" a="1"/>
  <c r="W241" i="1" s="1"/>
  <c r="W227" i="1" a="1"/>
  <c r="W227" i="1" s="1"/>
  <c r="W221" i="1" a="1"/>
  <c r="W221" i="1" s="1"/>
  <c r="W219" i="1" a="1"/>
  <c r="W219" i="1" s="1"/>
  <c r="W206" i="1" a="1"/>
  <c r="W206" i="1" s="1"/>
  <c r="W198" i="1" a="1"/>
  <c r="W198" i="1" s="1"/>
  <c r="L109" i="4" s="1"/>
  <c r="W178" i="1" a="1"/>
  <c r="W178" i="1" s="1"/>
  <c r="W190" i="1" a="1"/>
  <c r="W190" i="1" s="1"/>
  <c r="W195" i="1" a="1"/>
  <c r="W195" i="1" s="1"/>
  <c r="W170" i="1" a="1"/>
  <c r="W170" i="1" s="1"/>
  <c r="W154" i="1" a="1"/>
  <c r="W154" i="1" s="1"/>
  <c r="W96" i="1" a="1"/>
  <c r="W96" i="1" s="1"/>
  <c r="W90" i="1" a="1"/>
  <c r="W90" i="1" s="1"/>
  <c r="W84" i="1" a="1"/>
  <c r="W84" i="1" s="1"/>
  <c r="W68" i="1" a="1"/>
  <c r="W68" i="1" s="1"/>
  <c r="L44" i="4" s="1"/>
  <c r="W59" i="1" a="1"/>
  <c r="W59" i="1" s="1"/>
  <c r="W52" i="1" a="1"/>
  <c r="W52" i="1" s="1"/>
  <c r="W41" i="1" a="1"/>
  <c r="W41" i="1" s="1"/>
  <c r="W28" i="1" a="1"/>
  <c r="W28" i="1" s="1"/>
  <c r="W116" i="1" a="1"/>
  <c r="W116" i="1" s="1"/>
  <c r="W326" i="1" a="1"/>
  <c r="W326" i="1" s="1"/>
  <c r="W231" i="1" a="1"/>
  <c r="W231" i="1" s="1"/>
  <c r="L131" i="4" s="1"/>
  <c r="W203" i="1" a="1"/>
  <c r="W203" i="1" s="1"/>
  <c r="L114" i="4" s="1"/>
  <c r="W55" i="1" a="1"/>
  <c r="W55" i="1" s="1"/>
  <c r="W25" i="1" a="1"/>
  <c r="W25" i="1" s="1"/>
  <c r="W137" i="1" a="1"/>
  <c r="W137" i="1" s="1"/>
  <c r="W77" i="1" a="1"/>
  <c r="W77" i="1" s="1"/>
  <c r="W271" i="1" a="1"/>
  <c r="W271" i="1" s="1"/>
  <c r="W312" i="1" a="1"/>
  <c r="W312" i="1" s="1"/>
  <c r="W262" i="1" a="1"/>
  <c r="W262" i="1" s="1"/>
  <c r="W328" i="1" a="1"/>
  <c r="W328" i="1" s="1"/>
  <c r="W325" i="1" a="1"/>
  <c r="W325" i="1" s="1"/>
  <c r="W245" i="1" a="1"/>
  <c r="W245" i="1" s="1"/>
  <c r="W197" i="1" a="1"/>
  <c r="W197" i="1" s="1"/>
  <c r="W171" i="1" a="1"/>
  <c r="W171" i="1" s="1"/>
  <c r="W85" i="1" a="1"/>
  <c r="W85" i="1" s="1"/>
  <c r="W32" i="1" a="1"/>
  <c r="W32" i="1" s="1"/>
  <c r="W142" i="1" a="1"/>
  <c r="W142" i="1" s="1"/>
  <c r="W119" i="1" a="1"/>
  <c r="W119" i="1" s="1"/>
  <c r="W111" i="1" a="1"/>
  <c r="W111" i="1" s="1"/>
  <c r="W104" i="1" a="1"/>
  <c r="W104" i="1" s="1"/>
  <c r="W73" i="1" a="1"/>
  <c r="W73" i="1" s="1"/>
  <c r="W10" i="1" a="1"/>
  <c r="W10" i="1" s="1"/>
  <c r="W287" i="1" a="1"/>
  <c r="W287" i="1" s="1"/>
  <c r="W264" i="1" a="1"/>
  <c r="W264" i="1" s="1"/>
  <c r="W210" i="1" a="1"/>
  <c r="W210" i="1" s="1"/>
  <c r="W177" i="1" a="1"/>
  <c r="W177" i="1" s="1"/>
  <c r="W87" i="1" a="1"/>
  <c r="W87" i="1" s="1"/>
  <c r="W49" i="1" a="1"/>
  <c r="W49" i="1" s="1"/>
  <c r="W15" i="1" a="1"/>
  <c r="W15" i="1" s="1"/>
  <c r="W133" i="1" a="1"/>
  <c r="W133" i="1" s="1"/>
  <c r="W6" i="1" a="1"/>
  <c r="W6" i="1" s="1"/>
  <c r="W313" i="1" a="1"/>
  <c r="W313" i="1" s="1"/>
  <c r="W304" i="1" a="1"/>
  <c r="W304" i="1" s="1"/>
  <c r="W263" i="1" a="1"/>
  <c r="W263" i="1" s="1"/>
  <c r="W223" i="1" a="1"/>
  <c r="W223" i="1" s="1"/>
  <c r="W200" i="1" a="1"/>
  <c r="W200" i="1" s="1"/>
  <c r="W194" i="1" a="1"/>
  <c r="W194" i="1" s="1"/>
  <c r="W162" i="1" a="1"/>
  <c r="W162" i="1" s="1"/>
  <c r="W62" i="1" a="1"/>
  <c r="W62" i="1" s="1"/>
  <c r="W295" i="1" a="1"/>
  <c r="W295" i="1" s="1"/>
  <c r="W247" i="1" a="1"/>
  <c r="W247" i="1" s="1"/>
  <c r="L141" i="4" s="1"/>
  <c r="W316" i="1" a="1"/>
  <c r="W316" i="1" s="1"/>
  <c r="W302" i="1" a="1"/>
  <c r="W302" i="1" s="1"/>
  <c r="W318" i="1" a="1"/>
  <c r="W318" i="1" s="1"/>
  <c r="W291" i="1" a="1"/>
  <c r="W291" i="1" s="1"/>
  <c r="W276" i="1" a="1"/>
  <c r="W276" i="1" s="1"/>
  <c r="W259" i="1" a="1"/>
  <c r="W259" i="1" s="1"/>
  <c r="W244" i="1" a="1"/>
  <c r="W244" i="1" s="1"/>
  <c r="W224" i="1" a="1"/>
  <c r="W224" i="1" s="1"/>
  <c r="W204" i="1" a="1"/>
  <c r="W204" i="1" s="1"/>
  <c r="W188" i="1" a="1"/>
  <c r="W188" i="1" s="1"/>
  <c r="W157" i="1" a="1"/>
  <c r="W157" i="1" s="1"/>
  <c r="W91" i="1" a="1"/>
  <c r="W91" i="1" s="1"/>
  <c r="W60" i="1" a="1"/>
  <c r="W60" i="1" s="1"/>
  <c r="W40" i="1" a="1"/>
  <c r="W40" i="1" s="1"/>
  <c r="W21" i="1" a="1"/>
  <c r="W21" i="1" s="1"/>
  <c r="W123" i="1" a="1"/>
  <c r="W123" i="1" s="1"/>
  <c r="W308" i="1" a="1"/>
  <c r="W308" i="1" s="1"/>
  <c r="W300" i="1" a="1"/>
  <c r="W300" i="1" s="1"/>
  <c r="W283" i="1" a="1"/>
  <c r="W283" i="1" s="1"/>
  <c r="W266" i="1" a="1"/>
  <c r="W266" i="1" s="1"/>
  <c r="W250" i="1" a="1"/>
  <c r="W250" i="1" s="1"/>
  <c r="W243" i="1" a="1"/>
  <c r="W243" i="1" s="1"/>
  <c r="W212" i="1" a="1"/>
  <c r="W212" i="1" s="1"/>
  <c r="W196" i="1" a="1"/>
  <c r="W196" i="1" s="1"/>
  <c r="L107" i="4" s="1"/>
  <c r="W187" i="1" a="1"/>
  <c r="W187" i="1" s="1"/>
  <c r="W164" i="1" a="1"/>
  <c r="W164" i="1" s="1"/>
  <c r="W39" i="1" a="1"/>
  <c r="W39" i="1" s="1"/>
  <c r="W214" i="1" a="1"/>
  <c r="W214" i="1" s="1"/>
  <c r="W327" i="1" a="1"/>
  <c r="W327" i="1" s="1"/>
  <c r="W279" i="1" a="1"/>
  <c r="W279" i="1" s="1"/>
  <c r="W248" i="1" a="1"/>
  <c r="W248" i="1" s="1"/>
  <c r="W216" i="1" a="1"/>
  <c r="W216" i="1" s="1"/>
  <c r="W185" i="1" a="1"/>
  <c r="W185" i="1" s="1"/>
  <c r="L103" i="4" s="1"/>
  <c r="W152" i="1" a="1"/>
  <c r="W152" i="1" s="1"/>
  <c r="W72" i="1" a="1"/>
  <c r="W72" i="1" s="1"/>
  <c r="W314" i="1" a="1"/>
  <c r="W314" i="1" s="1"/>
  <c r="W303" i="1" a="1"/>
  <c r="W303" i="1" s="1"/>
  <c r="W278" i="1" a="1"/>
  <c r="W278" i="1" s="1"/>
  <c r="W240" i="1" a="1"/>
  <c r="W240" i="1" s="1"/>
  <c r="W292" i="1" a="1"/>
  <c r="W292" i="1" s="1"/>
  <c r="L168" i="4" s="1"/>
  <c r="W306" i="1" a="1"/>
  <c r="W306" i="1" s="1"/>
  <c r="W301" i="1" a="1"/>
  <c r="W301" i="1" s="1"/>
  <c r="W284" i="1" a="1"/>
  <c r="W284" i="1" s="1"/>
  <c r="W253" i="1" a="1"/>
  <c r="W253" i="1" s="1"/>
  <c r="W226" i="1" a="1"/>
  <c r="W226" i="1" s="1"/>
  <c r="W218" i="1" a="1"/>
  <c r="W218" i="1" s="1"/>
  <c r="W179" i="1" a="1"/>
  <c r="W179" i="1" s="1"/>
  <c r="W165" i="1" a="1"/>
  <c r="W165" i="1" s="1"/>
  <c r="W95" i="1" a="1"/>
  <c r="W95" i="1" s="1"/>
  <c r="W67" i="1" a="1"/>
  <c r="W67" i="1" s="1"/>
  <c r="W53" i="1" a="1"/>
  <c r="W53" i="1" s="1"/>
  <c r="W44" i="1" a="1"/>
  <c r="W44" i="1" s="1"/>
  <c r="W11" i="1" a="1"/>
  <c r="W11" i="1" s="1"/>
  <c r="W319" i="1" a="1"/>
  <c r="W319" i="1" s="1"/>
  <c r="W324" i="1" a="1"/>
  <c r="W324" i="1" s="1"/>
  <c r="W294" i="1" a="1"/>
  <c r="W294" i="1" s="1"/>
  <c r="W275" i="1" a="1"/>
  <c r="W275" i="1" s="1"/>
  <c r="W260" i="1" a="1"/>
  <c r="W260" i="1" s="1"/>
  <c r="W234" i="1" a="1"/>
  <c r="W234" i="1" s="1"/>
  <c r="W225" i="1" a="1"/>
  <c r="W225" i="1" s="1"/>
  <c r="W213" i="1" a="1"/>
  <c r="W213" i="1" s="1"/>
  <c r="W205" i="1" a="1"/>
  <c r="W205" i="1" s="1"/>
  <c r="W176" i="1" a="1"/>
  <c r="W176" i="1" s="1"/>
  <c r="W173" i="1" a="1"/>
  <c r="W173" i="1" s="1"/>
  <c r="W158" i="1" a="1"/>
  <c r="W158" i="1" s="1"/>
  <c r="W56" i="1" a="1"/>
  <c r="W56" i="1" s="1"/>
  <c r="W27" i="1" a="1"/>
  <c r="W27" i="1" s="1"/>
  <c r="W34" i="1" a="1"/>
  <c r="W34" i="1" s="1"/>
  <c r="W23" i="1" a="1"/>
  <c r="W23" i="1" s="1"/>
  <c r="W13" i="1" a="1"/>
  <c r="W13" i="1" s="1"/>
  <c r="W146" i="1" a="1"/>
  <c r="W146" i="1" s="1"/>
  <c r="L86" i="4" s="1"/>
  <c r="W140" i="1" a="1"/>
  <c r="W140" i="1" s="1"/>
  <c r="W127" i="1" a="1"/>
  <c r="W127" i="1" s="1"/>
  <c r="L78" i="4" s="1"/>
  <c r="W109" i="1" a="1"/>
  <c r="W109" i="1" s="1"/>
  <c r="W114" i="1" a="1"/>
  <c r="W114" i="1" s="1"/>
  <c r="W80" i="1" a="1"/>
  <c r="W80" i="1" s="1"/>
  <c r="W3" i="1" a="1"/>
  <c r="W3" i="1" s="1"/>
  <c r="W38" i="1" a="1"/>
  <c r="W38" i="1" s="1"/>
  <c r="W26" i="1" a="1"/>
  <c r="W26" i="1" s="1"/>
  <c r="W42" i="1" a="1"/>
  <c r="W42" i="1" s="1"/>
  <c r="W19" i="1" a="1"/>
  <c r="W19" i="1" s="1"/>
  <c r="L14" i="4" s="1"/>
  <c r="W14" i="1" a="1"/>
  <c r="W14" i="1" s="1"/>
  <c r="L11" i="4" s="1"/>
  <c r="W145" i="1" a="1"/>
  <c r="W145" i="1" s="1"/>
  <c r="W136" i="1" a="1"/>
  <c r="W136" i="1" s="1"/>
  <c r="W134" i="1" a="1"/>
  <c r="W134" i="1" s="1"/>
  <c r="W117" i="1" a="1"/>
  <c r="W117" i="1" s="1"/>
  <c r="W107" i="1" a="1"/>
  <c r="W107" i="1" s="1"/>
  <c r="W112" i="1" a="1"/>
  <c r="W112" i="1" s="1"/>
  <c r="L72" i="4" s="1"/>
  <c r="W79" i="1" a="1"/>
  <c r="W79" i="1" s="1"/>
  <c r="L54" i="4" s="1"/>
  <c r="W4" i="1" a="1"/>
  <c r="W4" i="1" s="1"/>
  <c r="L4" i="4" s="1"/>
  <c r="W43" i="1" a="1"/>
  <c r="W43" i="1" s="1"/>
  <c r="W18" i="1" a="1"/>
  <c r="W18" i="1" s="1"/>
  <c r="W12" i="1" a="1"/>
  <c r="W12" i="1" s="1"/>
  <c r="W144" i="1" a="1"/>
  <c r="W144" i="1" s="1"/>
  <c r="W138" i="1" a="1"/>
  <c r="W138" i="1" s="1"/>
  <c r="W128" i="1" a="1"/>
  <c r="W128" i="1" s="1"/>
  <c r="W110" i="1" a="1"/>
  <c r="W110" i="1" s="1"/>
  <c r="W103" i="1" a="1"/>
  <c r="W103" i="1" s="1"/>
  <c r="L66" i="4" s="1"/>
  <c r="W76" i="1" a="1"/>
  <c r="W76" i="1" s="1"/>
  <c r="W2" i="1" a="1"/>
  <c r="W2" i="1" s="1"/>
  <c r="W82" i="1" a="1"/>
  <c r="W82" i="1" s="1"/>
  <c r="W57" i="1" a="1"/>
  <c r="W57" i="1" s="1"/>
  <c r="W31" i="1" a="1"/>
  <c r="W31" i="1" s="1"/>
  <c r="W20" i="1" a="1"/>
  <c r="W20" i="1" s="1"/>
  <c r="L15" i="4" s="1"/>
  <c r="W150" i="1" a="1"/>
  <c r="W150" i="1" s="1"/>
  <c r="L90" i="4" s="1"/>
  <c r="W141" i="1" a="1"/>
  <c r="W141" i="1" s="1"/>
  <c r="W129" i="1" a="1"/>
  <c r="W129" i="1" s="1"/>
  <c r="W122" i="1" a="1"/>
  <c r="W122" i="1" s="1"/>
  <c r="W118" i="1" a="1"/>
  <c r="W118" i="1" s="1"/>
  <c r="W106" i="1" a="1"/>
  <c r="W106" i="1" s="1"/>
  <c r="W102" i="1" a="1"/>
  <c r="W102" i="1" s="1"/>
  <c r="L65" i="4" s="1"/>
  <c r="W74" i="1" a="1"/>
  <c r="W74" i="1" s="1"/>
  <c r="W9" i="1" a="1"/>
  <c r="W9" i="1" s="1"/>
  <c r="L7" i="4" s="1"/>
  <c r="W100" i="1" a="1"/>
  <c r="W100" i="1" s="1"/>
  <c r="W92" i="1" a="1"/>
  <c r="W92" i="1" s="1"/>
  <c r="W66" i="1" a="1"/>
  <c r="W66" i="1" s="1"/>
  <c r="W45" i="1" a="1"/>
  <c r="W45" i="1" s="1"/>
  <c r="W47" i="1" a="1"/>
  <c r="W47" i="1" s="1"/>
  <c r="W35" i="1" a="1"/>
  <c r="W35" i="1" s="1"/>
  <c r="W36" i="1" a="1"/>
  <c r="W36" i="1" s="1"/>
  <c r="W24" i="1" a="1"/>
  <c r="W24" i="1" s="1"/>
  <c r="L19" i="4" s="1"/>
  <c r="W17" i="1" a="1"/>
  <c r="W17" i="1" s="1"/>
  <c r="W149" i="1" a="1"/>
  <c r="W149" i="1" s="1"/>
  <c r="W143" i="1" a="1"/>
  <c r="W143" i="1" s="1"/>
  <c r="W131" i="1" a="1"/>
  <c r="W131" i="1" s="1"/>
  <c r="W126" i="1" a="1"/>
  <c r="W126" i="1" s="1"/>
  <c r="W121" i="1" a="1"/>
  <c r="W121" i="1" s="1"/>
  <c r="W105" i="1" a="1"/>
  <c r="W105" i="1" s="1"/>
  <c r="L68" i="4" s="1"/>
  <c r="W101" i="1" a="1"/>
  <c r="W101" i="1" s="1"/>
  <c r="L64" i="4" s="1"/>
  <c r="W75" i="1" a="1"/>
  <c r="W75" i="1" s="1"/>
  <c r="W320" i="1" a="1"/>
  <c r="W320" i="1" s="1"/>
  <c r="W310" i="1" a="1"/>
  <c r="W310" i="1" s="1"/>
  <c r="W323" i="1" a="1"/>
  <c r="W323" i="1" s="1"/>
  <c r="W299" i="1" a="1"/>
  <c r="W299" i="1" s="1"/>
  <c r="W293" i="1" a="1"/>
  <c r="W293" i="1" s="1"/>
  <c r="W281" i="1" a="1"/>
  <c r="W281" i="1" s="1"/>
  <c r="W267" i="1" a="1"/>
  <c r="W267" i="1" s="1"/>
  <c r="L157" i="4" s="1"/>
  <c r="W257" i="1" a="1"/>
  <c r="W257" i="1" s="1"/>
  <c r="L151" i="4" s="1"/>
  <c r="W233" i="1" a="1"/>
  <c r="W233" i="1" s="1"/>
  <c r="W235" i="1" a="1"/>
  <c r="W235" i="1" s="1"/>
  <c r="W228" i="1" a="1"/>
  <c r="W228" i="1" s="1"/>
  <c r="W217" i="1" a="1"/>
  <c r="W217" i="1" s="1"/>
  <c r="W207" i="1" a="1"/>
  <c r="W207" i="1" s="1"/>
  <c r="L116" i="4" s="1"/>
  <c r="W201" i="1" a="1"/>
  <c r="W201" i="1" s="1"/>
  <c r="L112" i="4" s="1"/>
  <c r="W183" i="1" a="1"/>
  <c r="W183" i="1" s="1"/>
  <c r="W175" i="1" a="1"/>
  <c r="W175" i="1" s="1"/>
  <c r="W186" i="1" a="1"/>
  <c r="W186" i="1" s="1"/>
  <c r="W166" i="1" a="1"/>
  <c r="W166" i="1" s="1"/>
  <c r="W160" i="1" a="1"/>
  <c r="W160" i="1" s="1"/>
  <c r="L95" i="4" s="1"/>
  <c r="W155" i="1" a="1"/>
  <c r="W155" i="1" s="1"/>
  <c r="W97" i="1" a="1"/>
  <c r="W97" i="1" s="1"/>
  <c r="W88" i="1" a="1"/>
  <c r="W88" i="1" s="1"/>
  <c r="W81" i="1" a="1"/>
  <c r="W81" i="1" s="1"/>
  <c r="L56" i="4" s="1"/>
  <c r="W65" i="1" a="1"/>
  <c r="W65" i="1" s="1"/>
  <c r="L41" i="4" s="1"/>
  <c r="W58" i="1" a="1"/>
  <c r="W58" i="1" s="1"/>
  <c r="X321" i="1"/>
  <c r="X258" i="1"/>
  <c r="X184" i="1"/>
  <c r="X99" i="1"/>
  <c r="X30" i="1"/>
  <c r="X133" i="1"/>
  <c r="X317" i="1"/>
  <c r="X311" i="1"/>
  <c r="X326" i="1"/>
  <c r="X305" i="1"/>
  <c r="M174" i="4" s="1"/>
  <c r="X298" i="1"/>
  <c r="X287" i="1"/>
  <c r="X273" i="1"/>
  <c r="X280" i="1"/>
  <c r="X265" i="1"/>
  <c r="M155" i="4" s="1"/>
  <c r="X264" i="1"/>
  <c r="M154" i="4" s="1"/>
  <c r="X249" i="1"/>
  <c r="X231" i="1"/>
  <c r="X239" i="1"/>
  <c r="X230" i="1"/>
  <c r="M130" i="4" s="1"/>
  <c r="X214" i="1"/>
  <c r="X210" i="1"/>
  <c r="X203" i="1"/>
  <c r="M114" i="4" s="1"/>
  <c r="X182" i="1"/>
  <c r="X177" i="1"/>
  <c r="X191" i="1"/>
  <c r="X167" i="1"/>
  <c r="X163" i="1"/>
  <c r="X159" i="1"/>
  <c r="M94" i="4" s="1"/>
  <c r="X98" i="1"/>
  <c r="X87" i="1"/>
  <c r="X70" i="1"/>
  <c r="M46" i="4" s="1"/>
  <c r="X63" i="1"/>
  <c r="X55" i="1"/>
  <c r="X46" i="1"/>
  <c r="M28" i="4" s="1"/>
  <c r="X27" i="1"/>
  <c r="X34" i="1"/>
  <c r="X23" i="1"/>
  <c r="M18" i="4" s="1"/>
  <c r="X13" i="1"/>
  <c r="M10" i="4" s="1"/>
  <c r="X146" i="1"/>
  <c r="M86" i="4" s="1"/>
  <c r="X140" i="1"/>
  <c r="X135" i="1"/>
  <c r="X127" i="1"/>
  <c r="M78" i="4" s="1"/>
  <c r="X109" i="1"/>
  <c r="X114" i="1"/>
  <c r="X80" i="1"/>
  <c r="M55" i="4" s="1"/>
  <c r="X3" i="1"/>
  <c r="M3" i="4" s="1"/>
  <c r="H59" i="4"/>
  <c r="X282" i="1"/>
  <c r="X229" i="1"/>
  <c r="X161" i="1"/>
  <c r="X37" i="1"/>
  <c r="X137" i="1"/>
  <c r="X77" i="1"/>
  <c r="M52" i="4" s="1"/>
  <c r="X51" i="1"/>
  <c r="M33" i="4" s="1"/>
  <c r="X315" i="1"/>
  <c r="X313" i="1"/>
  <c r="X327" i="1"/>
  <c r="M181" i="4" s="1"/>
  <c r="X304" i="1"/>
  <c r="X296" i="1"/>
  <c r="X288" i="1"/>
  <c r="M165" i="4" s="1"/>
  <c r="X271" i="1"/>
  <c r="X279" i="1"/>
  <c r="X263" i="1"/>
  <c r="X254" i="1"/>
  <c r="M148" i="4" s="1"/>
  <c r="X248" i="1"/>
  <c r="M142" i="4" s="1"/>
  <c r="X242" i="1"/>
  <c r="X237" i="1"/>
  <c r="X223" i="1"/>
  <c r="M125" i="4" s="1"/>
  <c r="X216" i="1"/>
  <c r="X208" i="1"/>
  <c r="X200" i="1"/>
  <c r="L111" i="4"/>
  <c r="X181" i="1"/>
  <c r="M101" i="4" s="1"/>
  <c r="X185" i="1"/>
  <c r="M103" i="4" s="1"/>
  <c r="X194" i="1"/>
  <c r="X172" i="1"/>
  <c r="X162" i="1"/>
  <c r="X152" i="1"/>
  <c r="X94" i="1"/>
  <c r="X86" i="1"/>
  <c r="M59" i="4" s="1"/>
  <c r="X72" i="1"/>
  <c r="X62" i="1"/>
  <c r="X56" i="1"/>
  <c r="X38" i="1"/>
  <c r="M22" i="4" s="1"/>
  <c r="X26" i="1"/>
  <c r="X42" i="1"/>
  <c r="M25" i="4" s="1"/>
  <c r="X19" i="1"/>
  <c r="M14" i="4" s="1"/>
  <c r="X14" i="1"/>
  <c r="M11" i="4" s="1"/>
  <c r="X145" i="1"/>
  <c r="X136" i="1"/>
  <c r="X134" i="1"/>
  <c r="X117" i="1"/>
  <c r="X107" i="1"/>
  <c r="X112" i="1"/>
  <c r="M72" i="4" s="1"/>
  <c r="X79" i="1"/>
  <c r="M54" i="4" s="1"/>
  <c r="X4" i="1"/>
  <c r="M4" i="4" s="1"/>
  <c r="H179" i="4"/>
  <c r="X297" i="1"/>
  <c r="X238" i="1"/>
  <c r="X169" i="1"/>
  <c r="X54" i="1"/>
  <c r="X147" i="1"/>
  <c r="M87" i="4" s="1"/>
  <c r="X314" i="1"/>
  <c r="X312" i="1"/>
  <c r="X329" i="1"/>
  <c r="X303" i="1"/>
  <c r="M173" i="4" s="1"/>
  <c r="X295" i="1"/>
  <c r="M170" i="4" s="1"/>
  <c r="X289" i="1"/>
  <c r="X272" i="1"/>
  <c r="X278" i="1"/>
  <c r="X262" i="1"/>
  <c r="X255" i="1"/>
  <c r="M149" i="4" s="1"/>
  <c r="X247" i="1"/>
  <c r="M141" i="4" s="1"/>
  <c r="X240" i="1"/>
  <c r="X236" i="1"/>
  <c r="X222" i="1"/>
  <c r="M124" i="4" s="1"/>
  <c r="X220" i="1"/>
  <c r="X209" i="1"/>
  <c r="X199" i="1"/>
  <c r="M110" i="4" s="1"/>
  <c r="X174" i="1"/>
  <c r="M99" i="4" s="1"/>
  <c r="X189" i="1"/>
  <c r="X193" i="1"/>
  <c r="X168" i="1"/>
  <c r="X153" i="1"/>
  <c r="X151" i="1"/>
  <c r="X93" i="1"/>
  <c r="X83" i="1"/>
  <c r="X71" i="1"/>
  <c r="X61" i="1"/>
  <c r="X52" i="1"/>
  <c r="M34" i="4" s="1"/>
  <c r="X41" i="1"/>
  <c r="X28" i="1"/>
  <c r="X43" i="1"/>
  <c r="L26" i="4"/>
  <c r="X18" i="1"/>
  <c r="M13" i="4" s="1"/>
  <c r="X12" i="1"/>
  <c r="X144" i="1"/>
  <c r="X138" i="1"/>
  <c r="X128" i="1"/>
  <c r="M79" i="4" s="1"/>
  <c r="X116" i="1"/>
  <c r="X110" i="1"/>
  <c r="X103" i="1"/>
  <c r="M66" i="4" s="1"/>
  <c r="X76" i="1"/>
  <c r="M51" i="4" s="1"/>
  <c r="X2" i="1"/>
  <c r="M2" i="4" s="1"/>
  <c r="L2" i="4"/>
  <c r="H150" i="4"/>
  <c r="M111" i="4"/>
  <c r="M143" i="4"/>
  <c r="M131" i="4"/>
  <c r="M179" i="4"/>
  <c r="X307" i="1"/>
  <c r="X268" i="1"/>
  <c r="M158" i="4" s="1"/>
  <c r="X215" i="1"/>
  <c r="X156" i="1"/>
  <c r="X49" i="1"/>
  <c r="M31" i="4" s="1"/>
  <c r="X125" i="1"/>
  <c r="X316" i="1"/>
  <c r="X309" i="1"/>
  <c r="X328" i="1"/>
  <c r="X302" i="1"/>
  <c r="X292" i="1"/>
  <c r="M168" i="4" s="1"/>
  <c r="X290" i="1"/>
  <c r="X277" i="1"/>
  <c r="X269" i="1"/>
  <c r="X261" i="1"/>
  <c r="X256" i="1"/>
  <c r="M150" i="4" s="1"/>
  <c r="X246" i="1"/>
  <c r="M140" i="4" s="1"/>
  <c r="X241" i="1"/>
  <c r="X227" i="1"/>
  <c r="M128" i="4" s="1"/>
  <c r="X221" i="1"/>
  <c r="M123" i="4" s="1"/>
  <c r="X219" i="1"/>
  <c r="X206" i="1"/>
  <c r="X198" i="1"/>
  <c r="M109" i="4" s="1"/>
  <c r="X178" i="1"/>
  <c r="X190" i="1"/>
  <c r="X195" i="1"/>
  <c r="X170" i="1"/>
  <c r="X154" i="1"/>
  <c r="X96" i="1"/>
  <c r="X90" i="1"/>
  <c r="X84" i="1"/>
  <c r="X68" i="1"/>
  <c r="M44" i="4" s="1"/>
  <c r="X59" i="1"/>
  <c r="X53" i="1"/>
  <c r="M35" i="4" s="1"/>
  <c r="X40" i="1"/>
  <c r="X32" i="1"/>
  <c r="X44" i="1"/>
  <c r="X21" i="1"/>
  <c r="M16" i="4" s="1"/>
  <c r="X11" i="1"/>
  <c r="X142" i="1"/>
  <c r="X130" i="1"/>
  <c r="X123" i="1"/>
  <c r="X119" i="1"/>
  <c r="X111" i="1"/>
  <c r="X104" i="1"/>
  <c r="M67" i="4" s="1"/>
  <c r="X73" i="1"/>
  <c r="M48" i="4" s="1"/>
  <c r="L48" i="4"/>
  <c r="X10" i="1"/>
  <c r="M8" i="4" s="1"/>
  <c r="L8" i="4"/>
  <c r="H68" i="4"/>
  <c r="H163" i="4"/>
  <c r="X322" i="1"/>
  <c r="X232" i="1"/>
  <c r="M132" i="4" s="1"/>
  <c r="X180" i="1"/>
  <c r="X69" i="1"/>
  <c r="M45" i="4" s="1"/>
  <c r="L45" i="4"/>
  <c r="X25" i="1"/>
  <c r="M20" i="4" s="1"/>
  <c r="X115" i="1"/>
  <c r="X306" i="1"/>
  <c r="X301" i="1"/>
  <c r="X276" i="1"/>
  <c r="X259" i="1"/>
  <c r="X253" i="1"/>
  <c r="M147" i="4" s="1"/>
  <c r="L147" i="4"/>
  <c r="X245" i="1"/>
  <c r="M139" i="4" s="1"/>
  <c r="L139" i="4"/>
  <c r="X244" i="1"/>
  <c r="X224" i="1"/>
  <c r="M126" i="4" s="1"/>
  <c r="X218" i="1"/>
  <c r="X204" i="1"/>
  <c r="X197" i="1"/>
  <c r="M108" i="4" s="1"/>
  <c r="X179" i="1"/>
  <c r="X188" i="1"/>
  <c r="X165" i="1"/>
  <c r="X171" i="1"/>
  <c r="X157" i="1"/>
  <c r="X95" i="1"/>
  <c r="X91" i="1"/>
  <c r="X85" i="1"/>
  <c r="X67" i="1"/>
  <c r="M43" i="4" s="1"/>
  <c r="X60" i="1"/>
  <c r="X50" i="1"/>
  <c r="M32" i="4" s="1"/>
  <c r="X39" i="1"/>
  <c r="M23" i="4" s="1"/>
  <c r="X31" i="1"/>
  <c r="X45" i="1"/>
  <c r="M27" i="4" s="1"/>
  <c r="X20" i="1"/>
  <c r="M15" i="4" s="1"/>
  <c r="X150" i="1"/>
  <c r="M90" i="4" s="1"/>
  <c r="X141" i="1"/>
  <c r="X129" i="1"/>
  <c r="X122" i="1"/>
  <c r="X118" i="1"/>
  <c r="X106" i="1"/>
  <c r="M69" i="4" s="1"/>
  <c r="X102" i="1"/>
  <c r="M65" i="4" s="1"/>
  <c r="X74" i="1"/>
  <c r="M49" i="4" s="1"/>
  <c r="X9" i="1"/>
  <c r="M7" i="4" s="1"/>
  <c r="X7" i="1"/>
  <c r="X274" i="1"/>
  <c r="X252" i="1"/>
  <c r="M146" i="4" s="1"/>
  <c r="X211" i="1"/>
  <c r="X192" i="1"/>
  <c r="X89" i="1"/>
  <c r="L40" i="4"/>
  <c r="X64" i="1"/>
  <c r="M40" i="4" s="1"/>
  <c r="X15" i="1"/>
  <c r="X108" i="1"/>
  <c r="X6" i="1"/>
  <c r="X318" i="1"/>
  <c r="L177" i="4"/>
  <c r="X325" i="1"/>
  <c r="X291" i="1"/>
  <c r="M167" i="4" s="1"/>
  <c r="L167" i="4"/>
  <c r="X284" i="1"/>
  <c r="X270" i="1"/>
  <c r="X226" i="1"/>
  <c r="X319" i="1"/>
  <c r="X308" i="1"/>
  <c r="X324" i="1"/>
  <c r="X300" i="1"/>
  <c r="X294" i="1"/>
  <c r="X283" i="1"/>
  <c r="X275" i="1"/>
  <c r="X266" i="1"/>
  <c r="M156" i="4" s="1"/>
  <c r="X260" i="1"/>
  <c r="X250" i="1"/>
  <c r="M144" i="4" s="1"/>
  <c r="L144" i="4"/>
  <c r="L134" i="4"/>
  <c r="X234" i="1"/>
  <c r="M134" i="4" s="1"/>
  <c r="X243" i="1"/>
  <c r="X225" i="1"/>
  <c r="X213" i="1"/>
  <c r="M120" i="4" s="1"/>
  <c r="X212" i="1"/>
  <c r="M119" i="4" s="1"/>
  <c r="X205" i="1"/>
  <c r="X196" i="1"/>
  <c r="M107" i="4" s="1"/>
  <c r="X176" i="1"/>
  <c r="X187" i="1"/>
  <c r="X164" i="1"/>
  <c r="X173" i="1"/>
  <c r="M98" i="4" s="1"/>
  <c r="X158" i="1"/>
  <c r="X100" i="1"/>
  <c r="X92" i="1"/>
  <c r="X82" i="1"/>
  <c r="M57" i="4" s="1"/>
  <c r="X66" i="1"/>
  <c r="M42" i="4" s="1"/>
  <c r="X57" i="1"/>
  <c r="L37" i="4"/>
  <c r="X47" i="1"/>
  <c r="M29" i="4" s="1"/>
  <c r="X35" i="1"/>
  <c r="X36" i="1"/>
  <c r="X24" i="1"/>
  <c r="M19" i="4" s="1"/>
  <c r="X17" i="1"/>
  <c r="X149" i="1"/>
  <c r="M89" i="4" s="1"/>
  <c r="X143" i="1"/>
  <c r="X131" i="1"/>
  <c r="M81" i="4" s="1"/>
  <c r="X126" i="1"/>
  <c r="X121" i="1"/>
  <c r="X105" i="1"/>
  <c r="M68" i="4" s="1"/>
  <c r="X101" i="1"/>
  <c r="M64" i="4" s="1"/>
  <c r="X75" i="1"/>
  <c r="M50" i="4" s="1"/>
  <c r="X8" i="1"/>
  <c r="X286" i="1"/>
  <c r="X202" i="1"/>
  <c r="M113" i="4" s="1"/>
  <c r="X320" i="1"/>
  <c r="M178" i="4" s="1"/>
  <c r="X310" i="1"/>
  <c r="X323" i="1"/>
  <c r="X299" i="1"/>
  <c r="L171" i="4"/>
  <c r="X293" i="1"/>
  <c r="X285" i="1"/>
  <c r="X281" i="1"/>
  <c r="X267" i="1"/>
  <c r="M157" i="4" s="1"/>
  <c r="X257" i="1"/>
  <c r="M151" i="4" s="1"/>
  <c r="X251" i="1"/>
  <c r="M145" i="4" s="1"/>
  <c r="L133" i="4"/>
  <c r="X233" i="1"/>
  <c r="M133" i="4" s="1"/>
  <c r="X235" i="1"/>
  <c r="M135" i="4" s="1"/>
  <c r="L135" i="4"/>
  <c r="X228" i="1"/>
  <c r="M129" i="4" s="1"/>
  <c r="X217" i="1"/>
  <c r="X207" i="1"/>
  <c r="M116" i="4" s="1"/>
  <c r="X201" i="1"/>
  <c r="M112" i="4" s="1"/>
  <c r="X183" i="1"/>
  <c r="X175" i="1"/>
  <c r="X186" i="1"/>
  <c r="X166" i="1"/>
  <c r="X160" i="1"/>
  <c r="X155" i="1"/>
  <c r="X97" i="1"/>
  <c r="X88" i="1"/>
  <c r="X81" i="1"/>
  <c r="M56" i="4" s="1"/>
  <c r="X65" i="1"/>
  <c r="M41" i="4" s="1"/>
  <c r="X58" i="1"/>
  <c r="L30" i="4"/>
  <c r="X48" i="1"/>
  <c r="M30" i="4" s="1"/>
  <c r="X33" i="1"/>
  <c r="X29" i="1"/>
  <c r="X22" i="1"/>
  <c r="M17" i="4" s="1"/>
  <c r="L17" i="4"/>
  <c r="X16" i="1"/>
  <c r="L12" i="4"/>
  <c r="X148" i="1"/>
  <c r="M88" i="4" s="1"/>
  <c r="X139" i="1"/>
  <c r="X132" i="1"/>
  <c r="X124" i="1"/>
  <c r="X120" i="1"/>
  <c r="X113" i="1"/>
  <c r="M73" i="4" s="1"/>
  <c r="L73" i="4"/>
  <c r="X78" i="1"/>
  <c r="M53" i="4" s="1"/>
  <c r="L53" i="4"/>
  <c r="X5" i="1"/>
  <c r="H105" i="4"/>
  <c r="H3" i="4"/>
  <c r="H119" i="4"/>
  <c r="H138" i="4"/>
  <c r="H176" i="4"/>
  <c r="H43" i="4"/>
  <c r="H172" i="4"/>
  <c r="H152" i="4"/>
  <c r="H141" i="4"/>
  <c r="H134" i="4"/>
  <c r="H104" i="4"/>
  <c r="H71" i="4"/>
  <c r="H24" i="4"/>
  <c r="H102" i="4"/>
  <c r="H88" i="4"/>
  <c r="H174" i="4"/>
  <c r="H143" i="4"/>
  <c r="H19" i="4"/>
  <c r="H108" i="4"/>
  <c r="H80" i="4"/>
  <c r="H85" i="4"/>
  <c r="H49" i="4"/>
  <c r="H146" i="4"/>
  <c r="H18" i="4"/>
  <c r="H53" i="4"/>
  <c r="H116" i="4"/>
  <c r="H114" i="4"/>
  <c r="H164" i="4"/>
  <c r="H15" i="4"/>
  <c r="H169" i="4"/>
  <c r="H117" i="4"/>
  <c r="H109" i="4"/>
  <c r="H178" i="4"/>
  <c r="H46" i="4"/>
  <c r="H166" i="4"/>
  <c r="H158" i="4"/>
  <c r="H95" i="4"/>
  <c r="H83" i="4"/>
  <c r="H40" i="4"/>
  <c r="H76" i="4"/>
  <c r="H130" i="4"/>
  <c r="H22" i="4"/>
  <c r="H75" i="4"/>
  <c r="H63" i="4"/>
  <c r="H149" i="4"/>
  <c r="H125" i="4"/>
  <c r="H26" i="4"/>
  <c r="H57" i="4"/>
  <c r="H16" i="4"/>
  <c r="H168" i="4"/>
  <c r="H173" i="4"/>
  <c r="H45" i="4"/>
  <c r="H118" i="4"/>
  <c r="H131" i="4"/>
  <c r="H156" i="4"/>
  <c r="H154" i="4"/>
  <c r="H58" i="4"/>
  <c r="H42" i="4"/>
  <c r="H107" i="4"/>
  <c r="H127" i="4"/>
  <c r="H128" i="4"/>
  <c r="H66" i="4"/>
  <c r="H2" i="4"/>
  <c r="H94" i="4"/>
  <c r="H93" i="4"/>
  <c r="H72" i="4"/>
  <c r="H98" i="4"/>
  <c r="H86" i="4"/>
  <c r="H135" i="4"/>
  <c r="H41" i="4"/>
  <c r="H11" i="4"/>
  <c r="H50" i="4"/>
  <c r="H137" i="4"/>
  <c r="H142" i="4"/>
  <c r="H148" i="4"/>
  <c r="H7" i="4"/>
  <c r="H51" i="4"/>
  <c r="H36" i="4"/>
  <c r="H111" i="4"/>
  <c r="H132" i="4"/>
  <c r="H60" i="4"/>
  <c r="H144" i="4"/>
  <c r="H27" i="4"/>
  <c r="H17" i="4"/>
  <c r="H34" i="4"/>
  <c r="H73" i="4"/>
  <c r="H121" i="4"/>
  <c r="H87" i="4"/>
  <c r="H54" i="4"/>
  <c r="H123" i="4"/>
  <c r="H82" i="4"/>
  <c r="H133" i="4"/>
  <c r="H103" i="4"/>
  <c r="H162" i="4"/>
  <c r="H65" i="4"/>
  <c r="H28" i="4"/>
  <c r="H167" i="4"/>
  <c r="H181" i="4"/>
  <c r="H106" i="4"/>
  <c r="H13" i="4"/>
  <c r="H115" i="4"/>
  <c r="H122" i="4"/>
  <c r="H136" i="4"/>
  <c r="H81" i="4"/>
  <c r="H170" i="4"/>
  <c r="H92" i="4"/>
  <c r="H35" i="4"/>
  <c r="H12" i="4"/>
  <c r="H38" i="4"/>
  <c r="H25" i="4"/>
  <c r="H77" i="4"/>
  <c r="H23" i="4"/>
  <c r="H55" i="4"/>
  <c r="H139" i="4"/>
  <c r="H129" i="4"/>
  <c r="H180" i="4"/>
  <c r="H124" i="4"/>
  <c r="H99" i="4"/>
  <c r="H74" i="4"/>
  <c r="H48" i="4"/>
  <c r="H101" i="4"/>
  <c r="H120" i="4"/>
  <c r="H151" i="4"/>
  <c r="H30" i="4"/>
  <c r="H97" i="4"/>
  <c r="H153" i="4"/>
  <c r="H182" i="4"/>
  <c r="H52" i="4"/>
  <c r="H20" i="4"/>
  <c r="H79" i="4"/>
  <c r="H112" i="4"/>
  <c r="H161" i="4"/>
  <c r="H33" i="4"/>
  <c r="H100" i="4"/>
  <c r="H84" i="4"/>
  <c r="H64" i="4"/>
  <c r="H157" i="4"/>
  <c r="H96" i="4"/>
  <c r="H70" i="4"/>
  <c r="H140" i="4"/>
  <c r="H89" i="4"/>
  <c r="H155" i="4"/>
  <c r="H90" i="4"/>
  <c r="H171" i="4"/>
  <c r="H145" i="4"/>
  <c r="H8" i="4"/>
  <c r="H44" i="4"/>
  <c r="H160" i="4"/>
  <c r="H113" i="4"/>
  <c r="H10" i="4"/>
  <c r="H14" i="4"/>
  <c r="H175" i="4"/>
  <c r="H39" i="4"/>
  <c r="J4" i="4"/>
  <c r="J68" i="4"/>
  <c r="J24" i="4"/>
  <c r="J40" i="4"/>
  <c r="J98" i="4"/>
  <c r="J123" i="4"/>
  <c r="J139" i="4"/>
  <c r="J157" i="4"/>
  <c r="J159" i="4"/>
  <c r="J176" i="4"/>
  <c r="J102" i="4"/>
  <c r="J76" i="4"/>
  <c r="J86" i="4"/>
  <c r="J83" i="4"/>
  <c r="J82" i="4"/>
  <c r="J129" i="4"/>
  <c r="J96" i="4"/>
  <c r="J5" i="4"/>
  <c r="J38" i="4"/>
  <c r="J72" i="4"/>
  <c r="J105" i="4"/>
  <c r="J54" i="4"/>
  <c r="J130" i="4"/>
  <c r="I51" i="4"/>
  <c r="I13" i="4"/>
  <c r="I30" i="4"/>
  <c r="I44" i="4"/>
  <c r="I110" i="4"/>
  <c r="I128" i="4"/>
  <c r="I146" i="4"/>
  <c r="I168" i="4"/>
  <c r="I36" i="4"/>
  <c r="I115" i="4"/>
  <c r="I97" i="4"/>
  <c r="I160" i="4"/>
  <c r="I6" i="4"/>
  <c r="I178" i="4"/>
  <c r="I18" i="4"/>
  <c r="I173" i="4"/>
  <c r="I111" i="4"/>
  <c r="I122" i="4"/>
  <c r="I153" i="4"/>
  <c r="I113" i="4"/>
  <c r="I67" i="4"/>
  <c r="I152" i="4"/>
  <c r="J3" i="4"/>
  <c r="J88" i="4"/>
  <c r="J22" i="4"/>
  <c r="J41" i="4"/>
  <c r="J103" i="4"/>
  <c r="J124" i="4"/>
  <c r="J140" i="4"/>
  <c r="J165" i="4"/>
  <c r="J161" i="4"/>
  <c r="J174" i="4"/>
  <c r="J75" i="4"/>
  <c r="J11" i="4"/>
  <c r="J162" i="4"/>
  <c r="J99" i="4"/>
  <c r="J89" i="4"/>
  <c r="J78" i="4"/>
  <c r="J107" i="4"/>
  <c r="J143" i="4"/>
  <c r="J63" i="4"/>
  <c r="J50" i="4"/>
  <c r="J65" i="4"/>
  <c r="J74" i="4"/>
  <c r="J155" i="4"/>
  <c r="I52" i="4"/>
  <c r="I14" i="4"/>
  <c r="I29" i="4"/>
  <c r="I46" i="4"/>
  <c r="I114" i="4"/>
  <c r="I131" i="4"/>
  <c r="I144" i="4"/>
  <c r="I170" i="4"/>
  <c r="I20" i="4"/>
  <c r="I175" i="4"/>
  <c r="I177" i="4"/>
  <c r="I163" i="4"/>
  <c r="I164" i="4"/>
  <c r="I156" i="4"/>
  <c r="I27" i="4"/>
  <c r="I92" i="4"/>
  <c r="I79" i="4"/>
  <c r="I39" i="4"/>
  <c r="I9" i="4"/>
  <c r="I141" i="4"/>
  <c r="I15" i="4"/>
  <c r="I154" i="4"/>
  <c r="J48" i="4"/>
  <c r="J90" i="4"/>
  <c r="J31" i="4"/>
  <c r="J43" i="4"/>
  <c r="J108" i="4"/>
  <c r="J125" i="4"/>
  <c r="J142" i="4"/>
  <c r="J167" i="4"/>
  <c r="J101" i="4"/>
  <c r="J171" i="4"/>
  <c r="J62" i="4"/>
  <c r="J127" i="4"/>
  <c r="J80" i="4"/>
  <c r="J26" i="4"/>
  <c r="J148" i="4"/>
  <c r="J181" i="4"/>
  <c r="J120" i="4"/>
  <c r="J145" i="4"/>
  <c r="J21" i="4"/>
  <c r="J109" i="4"/>
  <c r="J85" i="4"/>
  <c r="J57" i="4"/>
  <c r="J7" i="4"/>
  <c r="I53" i="4"/>
  <c r="I17" i="4"/>
  <c r="I35" i="4"/>
  <c r="I45" i="4"/>
  <c r="I112" i="4"/>
  <c r="I132" i="4"/>
  <c r="I147" i="4"/>
  <c r="I179" i="4"/>
  <c r="I136" i="4"/>
  <c r="I106" i="4"/>
  <c r="I91" i="4"/>
  <c r="I182" i="4"/>
  <c r="I32" i="4"/>
  <c r="I166" i="4"/>
  <c r="I10" i="4"/>
  <c r="I169" i="4"/>
  <c r="I117" i="4"/>
  <c r="I37" i="4"/>
  <c r="I55" i="4"/>
  <c r="I135" i="4"/>
  <c r="I58" i="4"/>
  <c r="I151" i="4"/>
  <c r="J66" i="4"/>
  <c r="J51" i="4"/>
  <c r="J13" i="4"/>
  <c r="J30" i="4"/>
  <c r="J44" i="4"/>
  <c r="J110" i="4"/>
  <c r="J128" i="4"/>
  <c r="J146" i="4"/>
  <c r="J168" i="4"/>
  <c r="J36" i="4"/>
  <c r="J115" i="4"/>
  <c r="J97" i="4"/>
  <c r="J160" i="4"/>
  <c r="J6" i="4"/>
  <c r="J178" i="4"/>
  <c r="J18" i="4"/>
  <c r="J173" i="4"/>
  <c r="J111" i="4"/>
  <c r="J122" i="4"/>
  <c r="J153" i="4"/>
  <c r="J113" i="4"/>
  <c r="J67" i="4"/>
  <c r="J152" i="4"/>
  <c r="I8" i="4"/>
  <c r="I66" i="4"/>
  <c r="K66" i="4" s="1"/>
  <c r="I19" i="4"/>
  <c r="I34" i="4"/>
  <c r="I56" i="4"/>
  <c r="I116" i="4"/>
  <c r="I133" i="4"/>
  <c r="I149" i="4"/>
  <c r="I118" i="4"/>
  <c r="I172" i="4"/>
  <c r="I12" i="4"/>
  <c r="I180" i="4"/>
  <c r="I137" i="4"/>
  <c r="I60" i="4"/>
  <c r="I49" i="4"/>
  <c r="I150" i="4"/>
  <c r="I64" i="4"/>
  <c r="I70" i="4"/>
  <c r="I28" i="4"/>
  <c r="I81" i="4"/>
  <c r="I16" i="4"/>
  <c r="I59" i="4"/>
  <c r="I69" i="4"/>
  <c r="J56" i="4"/>
  <c r="J52" i="4"/>
  <c r="J14" i="4"/>
  <c r="J29" i="4"/>
  <c r="J46" i="4"/>
  <c r="J114" i="4"/>
  <c r="J131" i="4"/>
  <c r="J144" i="4"/>
  <c r="J170" i="4"/>
  <c r="J20" i="4"/>
  <c r="J175" i="4"/>
  <c r="J177" i="4"/>
  <c r="J163" i="4"/>
  <c r="J164" i="4"/>
  <c r="J156" i="4"/>
  <c r="J27" i="4"/>
  <c r="J92" i="4"/>
  <c r="J79" i="4"/>
  <c r="J39" i="4"/>
  <c r="J9" i="4"/>
  <c r="J141" i="4"/>
  <c r="J15" i="4"/>
  <c r="J154" i="4"/>
  <c r="I2" i="4"/>
  <c r="I73" i="4"/>
  <c r="I25" i="4"/>
  <c r="I33" i="4"/>
  <c r="I61" i="4"/>
  <c r="I119" i="4"/>
  <c r="I134" i="4"/>
  <c r="I158" i="4"/>
  <c r="I94" i="4"/>
  <c r="I121" i="4"/>
  <c r="I77" i="4"/>
  <c r="I100" i="4"/>
  <c r="I47" i="4"/>
  <c r="I138" i="4"/>
  <c r="I104" i="4"/>
  <c r="I95" i="4"/>
  <c r="I93" i="4"/>
  <c r="I87" i="4"/>
  <c r="I23" i="4"/>
  <c r="I84" i="4"/>
  <c r="I126" i="4"/>
  <c r="I42" i="4"/>
  <c r="I71" i="4"/>
  <c r="J8" i="4"/>
  <c r="L178" i="4"/>
  <c r="J53" i="4"/>
  <c r="J17" i="4"/>
  <c r="J35" i="4"/>
  <c r="J45" i="4"/>
  <c r="J112" i="4"/>
  <c r="J132" i="4"/>
  <c r="J147" i="4"/>
  <c r="J179" i="4"/>
  <c r="J136" i="4"/>
  <c r="J106" i="4"/>
  <c r="J91" i="4"/>
  <c r="J182" i="4"/>
  <c r="J32" i="4"/>
  <c r="J166" i="4"/>
  <c r="J10" i="4"/>
  <c r="J169" i="4"/>
  <c r="J117" i="4"/>
  <c r="J37" i="4"/>
  <c r="J55" i="4"/>
  <c r="J135" i="4"/>
  <c r="J58" i="4"/>
  <c r="J151" i="4"/>
  <c r="I4" i="4"/>
  <c r="I68" i="4"/>
  <c r="I24" i="4"/>
  <c r="I40" i="4"/>
  <c r="I98" i="4"/>
  <c r="I123" i="4"/>
  <c r="I139" i="4"/>
  <c r="I157" i="4"/>
  <c r="I159" i="4"/>
  <c r="I176" i="4"/>
  <c r="I102" i="4"/>
  <c r="I76" i="4"/>
  <c r="I86" i="4"/>
  <c r="I83" i="4"/>
  <c r="I82" i="4"/>
  <c r="I129" i="4"/>
  <c r="I96" i="4"/>
  <c r="I5" i="4"/>
  <c r="I38" i="4"/>
  <c r="I72" i="4"/>
  <c r="I105" i="4"/>
  <c r="I54" i="4"/>
  <c r="I130" i="4"/>
  <c r="L170" i="4"/>
  <c r="J19" i="4"/>
  <c r="J34" i="4"/>
  <c r="J133" i="4"/>
  <c r="J33" i="4"/>
  <c r="J94" i="4"/>
  <c r="J47" i="4"/>
  <c r="J93" i="4"/>
  <c r="J126" i="4"/>
  <c r="I90" i="4"/>
  <c r="K90" i="4" s="1"/>
  <c r="I125" i="4"/>
  <c r="I171" i="4"/>
  <c r="I26" i="4"/>
  <c r="I145" i="4"/>
  <c r="I57" i="4"/>
  <c r="I3" i="4"/>
  <c r="I48" i="4"/>
  <c r="K48" i="4" s="1"/>
  <c r="I99" i="4"/>
  <c r="J61" i="4"/>
  <c r="J172" i="4"/>
  <c r="J60" i="4"/>
  <c r="J70" i="4"/>
  <c r="J59" i="4"/>
  <c r="I22" i="4"/>
  <c r="I140" i="4"/>
  <c r="I75" i="4"/>
  <c r="I89" i="4"/>
  <c r="I63" i="4"/>
  <c r="I155" i="4"/>
  <c r="J2" i="4"/>
  <c r="J81" i="4"/>
  <c r="J95" i="4"/>
  <c r="J137" i="4"/>
  <c r="I74" i="4"/>
  <c r="J116" i="4"/>
  <c r="J121" i="4"/>
  <c r="J138" i="4"/>
  <c r="J87" i="4"/>
  <c r="J42" i="4"/>
  <c r="I31" i="4"/>
  <c r="I142" i="4"/>
  <c r="I62" i="4"/>
  <c r="K62" i="4" s="1"/>
  <c r="I148" i="4"/>
  <c r="I21" i="4"/>
  <c r="I7" i="4"/>
  <c r="J150" i="4"/>
  <c r="I161" i="4"/>
  <c r="I65" i="4"/>
  <c r="K65" i="4" s="1"/>
  <c r="J158" i="4"/>
  <c r="I101" i="4"/>
  <c r="K101" i="4" s="1"/>
  <c r="I85" i="4"/>
  <c r="J118" i="4"/>
  <c r="I88" i="4"/>
  <c r="K88" i="4" s="1"/>
  <c r="I143" i="4"/>
  <c r="J119" i="4"/>
  <c r="J12" i="4"/>
  <c r="J49" i="4"/>
  <c r="J28" i="4"/>
  <c r="J69" i="4"/>
  <c r="I41" i="4"/>
  <c r="I165" i="4"/>
  <c r="I11" i="4"/>
  <c r="I78" i="4"/>
  <c r="I50" i="4"/>
  <c r="J180" i="4"/>
  <c r="I103" i="4"/>
  <c r="K103" i="4" s="1"/>
  <c r="I107" i="4"/>
  <c r="J100" i="4"/>
  <c r="I108" i="4"/>
  <c r="I120" i="4"/>
  <c r="J64" i="4"/>
  <c r="I124" i="4"/>
  <c r="J134" i="4"/>
  <c r="J77" i="4"/>
  <c r="J104" i="4"/>
  <c r="J23" i="4"/>
  <c r="J71" i="4"/>
  <c r="I43" i="4"/>
  <c r="I167" i="4"/>
  <c r="I127" i="4"/>
  <c r="I181" i="4"/>
  <c r="I109" i="4"/>
  <c r="J149" i="4"/>
  <c r="I162" i="4"/>
  <c r="J73" i="4"/>
  <c r="J84" i="4"/>
  <c r="I80" i="4"/>
  <c r="J25" i="4"/>
  <c r="J16" i="4"/>
  <c r="I174" i="4"/>
  <c r="H61" i="4"/>
  <c r="H47" i="4"/>
  <c r="H126" i="4"/>
  <c r="H4" i="4"/>
  <c r="H159" i="4"/>
  <c r="H5" i="4"/>
  <c r="H69" i="4"/>
  <c r="H165" i="4"/>
  <c r="H78" i="4"/>
  <c r="H147" i="4"/>
  <c r="H31" i="4"/>
  <c r="H62" i="4"/>
  <c r="H21" i="4"/>
  <c r="H56" i="4"/>
  <c r="H110" i="4"/>
  <c r="H6" i="4"/>
  <c r="H67" i="4"/>
  <c r="H37" i="4"/>
  <c r="H29" i="4"/>
  <c r="H177" i="4"/>
  <c r="H9" i="4"/>
  <c r="H91" i="4"/>
  <c r="H32" i="4"/>
  <c r="R167" i="1"/>
  <c r="S167" i="1" s="1"/>
  <c r="R7" i="1"/>
  <c r="S7" i="1" s="1"/>
  <c r="R322" i="1"/>
  <c r="S322" i="1" s="1"/>
  <c r="R258" i="1"/>
  <c r="S258" i="1" s="1"/>
  <c r="R211" i="1"/>
  <c r="S211" i="1" s="1"/>
  <c r="R184" i="1"/>
  <c r="S184" i="1" s="1"/>
  <c r="R99" i="1"/>
  <c r="S99" i="1" s="1"/>
  <c r="R48" i="1"/>
  <c r="S48" i="1" s="1"/>
  <c r="R29" i="1"/>
  <c r="S29" i="1" s="1"/>
  <c r="R139" i="1"/>
  <c r="S139" i="1" s="1"/>
  <c r="R5" i="1"/>
  <c r="S5" i="1" s="1"/>
  <c r="R191" i="1"/>
  <c r="S191" i="1" s="1"/>
  <c r="R307" i="1"/>
  <c r="S307" i="1" s="1"/>
  <c r="R274" i="1"/>
  <c r="S274" i="1" s="1"/>
  <c r="R252" i="1"/>
  <c r="S252" i="1" s="1"/>
  <c r="R202" i="1"/>
  <c r="S202" i="1" s="1"/>
  <c r="R156" i="1"/>
  <c r="S156" i="1" s="1"/>
  <c r="R33" i="1"/>
  <c r="S33" i="1" s="1"/>
  <c r="R148" i="1"/>
  <c r="S148" i="1" s="1"/>
  <c r="R120" i="1"/>
  <c r="S120" i="1" s="1"/>
  <c r="R63" i="1"/>
  <c r="S63" i="1" s="1"/>
  <c r="R286" i="1"/>
  <c r="S286" i="1" s="1"/>
  <c r="R229" i="1"/>
  <c r="S229" i="1" s="1"/>
  <c r="R192" i="1"/>
  <c r="S192" i="1" s="1"/>
  <c r="R54" i="1"/>
  <c r="S54" i="1" s="1"/>
  <c r="R132" i="1"/>
  <c r="S132" i="1" s="1"/>
  <c r="L88" i="4"/>
  <c r="R159" i="1"/>
  <c r="S159" i="1" s="1"/>
  <c r="R297" i="1"/>
  <c r="S297" i="1" s="1"/>
  <c r="R238" i="1"/>
  <c r="S238" i="1" s="1"/>
  <c r="R169" i="1"/>
  <c r="S169" i="1" s="1"/>
  <c r="R64" i="1"/>
  <c r="S64" i="1" s="1"/>
  <c r="R124" i="1"/>
  <c r="S124" i="1" s="1"/>
  <c r="L158" i="4"/>
  <c r="R321" i="1"/>
  <c r="S321" i="1" s="1"/>
  <c r="R268" i="1"/>
  <c r="S268" i="1" s="1"/>
  <c r="R215" i="1"/>
  <c r="S215" i="1" s="1"/>
  <c r="R161" i="1"/>
  <c r="S161" i="1" s="1"/>
  <c r="R69" i="1"/>
  <c r="S69" i="1" s="1"/>
  <c r="R22" i="1"/>
  <c r="S22" i="1" s="1"/>
  <c r="R113" i="1"/>
  <c r="S113" i="1" s="1"/>
  <c r="R311" i="1"/>
  <c r="S311" i="1" s="1"/>
  <c r="R305" i="1"/>
  <c r="S305" i="1" s="1"/>
  <c r="R287" i="1"/>
  <c r="S287" i="1" s="1"/>
  <c r="R273" i="1"/>
  <c r="S273" i="1" s="1"/>
  <c r="R265" i="1"/>
  <c r="S265" i="1" s="1"/>
  <c r="R249" i="1"/>
  <c r="S249" i="1" s="1"/>
  <c r="R230" i="1"/>
  <c r="S230" i="1" s="1"/>
  <c r="R210" i="1"/>
  <c r="S210" i="1" s="1"/>
  <c r="R87" i="1"/>
  <c r="S87" i="1" s="1"/>
  <c r="R282" i="1"/>
  <c r="S282" i="1" s="1"/>
  <c r="R232" i="1"/>
  <c r="S232" i="1" s="1"/>
  <c r="R180" i="1"/>
  <c r="S180" i="1" s="1"/>
  <c r="R89" i="1"/>
  <c r="S89" i="1" s="1"/>
  <c r="R16" i="1"/>
  <c r="S16" i="1" s="1"/>
  <c r="R78" i="1"/>
  <c r="S78" i="1" s="1"/>
  <c r="R317" i="1"/>
  <c r="S317" i="1" s="1"/>
  <c r="R326" i="1"/>
  <c r="S326" i="1" s="1"/>
  <c r="R298" i="1"/>
  <c r="S298" i="1" s="1"/>
  <c r="R280" i="1"/>
  <c r="S280" i="1" s="1"/>
  <c r="R264" i="1"/>
  <c r="S264" i="1" s="1"/>
  <c r="R231" i="1"/>
  <c r="S231" i="1" s="1"/>
  <c r="R239" i="1"/>
  <c r="S239" i="1" s="1"/>
  <c r="R214" i="1"/>
  <c r="S214" i="1" s="1"/>
  <c r="R203" i="1"/>
  <c r="S203" i="1" s="1"/>
  <c r="R182" i="1"/>
  <c r="S182" i="1" s="1"/>
  <c r="R177" i="1"/>
  <c r="S177" i="1" s="1"/>
  <c r="R163" i="1"/>
  <c r="S163" i="1" s="1"/>
  <c r="R70" i="1"/>
  <c r="S70" i="1" s="1"/>
  <c r="R30" i="1"/>
  <c r="S30" i="1" s="1"/>
  <c r="R125" i="1"/>
  <c r="S125" i="1" s="1"/>
  <c r="L129" i="4"/>
  <c r="L20" i="4"/>
  <c r="R304" i="1"/>
  <c r="S304" i="1" s="1"/>
  <c r="R254" i="1"/>
  <c r="S254" i="1" s="1"/>
  <c r="R216" i="1"/>
  <c r="S216" i="1" s="1"/>
  <c r="R162" i="1"/>
  <c r="S162" i="1" s="1"/>
  <c r="R62" i="1"/>
  <c r="S62" i="1" s="1"/>
  <c r="R23" i="1"/>
  <c r="S23" i="1" s="1"/>
  <c r="R140" i="1"/>
  <c r="S140" i="1" s="1"/>
  <c r="R3" i="1"/>
  <c r="S3" i="1" s="1"/>
  <c r="L181" i="4"/>
  <c r="L155" i="4"/>
  <c r="L143" i="4"/>
  <c r="L118" i="4"/>
  <c r="L94" i="4"/>
  <c r="L28" i="4"/>
  <c r="L18" i="4"/>
  <c r="L10" i="4"/>
  <c r="L74" i="4"/>
  <c r="L55" i="4"/>
  <c r="L3" i="4"/>
  <c r="R25" i="1"/>
  <c r="S25" i="1" s="1"/>
  <c r="R147" i="1"/>
  <c r="S147" i="1" s="1"/>
  <c r="R108" i="1"/>
  <c r="S108" i="1" s="1"/>
  <c r="R6" i="1"/>
  <c r="S6" i="1" s="1"/>
  <c r="L132" i="4"/>
  <c r="L52" i="4"/>
  <c r="R313" i="1"/>
  <c r="S313" i="1" s="1"/>
  <c r="R296" i="1"/>
  <c r="S296" i="1" s="1"/>
  <c r="R263" i="1"/>
  <c r="S263" i="1" s="1"/>
  <c r="R242" i="1"/>
  <c r="S242" i="1" s="1"/>
  <c r="R223" i="1"/>
  <c r="S223" i="1" s="1"/>
  <c r="R181" i="1"/>
  <c r="S181" i="1" s="1"/>
  <c r="R172" i="1"/>
  <c r="S172" i="1" s="1"/>
  <c r="R86" i="1"/>
  <c r="S86" i="1" s="1"/>
  <c r="R46" i="1"/>
  <c r="S46" i="1" s="1"/>
  <c r="R13" i="1"/>
  <c r="S13" i="1" s="1"/>
  <c r="R146" i="1"/>
  <c r="S146" i="1" s="1"/>
  <c r="R135" i="1"/>
  <c r="S135" i="1" s="1"/>
  <c r="R114" i="1"/>
  <c r="S114" i="1" s="1"/>
  <c r="R80" i="1"/>
  <c r="S80" i="1" s="1"/>
  <c r="L174" i="4"/>
  <c r="L154" i="4"/>
  <c r="L130" i="4"/>
  <c r="R314" i="1"/>
  <c r="S314" i="1" s="1"/>
  <c r="R312" i="1"/>
  <c r="S312" i="1" s="1"/>
  <c r="R329" i="1"/>
  <c r="S329" i="1" s="1"/>
  <c r="R303" i="1"/>
  <c r="S303" i="1" s="1"/>
  <c r="R295" i="1"/>
  <c r="S295" i="1" s="1"/>
  <c r="R289" i="1"/>
  <c r="S289" i="1" s="1"/>
  <c r="R272" i="1"/>
  <c r="S272" i="1" s="1"/>
  <c r="R278" i="1"/>
  <c r="S278" i="1" s="1"/>
  <c r="R262" i="1"/>
  <c r="S262" i="1" s="1"/>
  <c r="R255" i="1"/>
  <c r="S255" i="1" s="1"/>
  <c r="R247" i="1"/>
  <c r="S247" i="1" s="1"/>
  <c r="R240" i="1"/>
  <c r="S240" i="1" s="1"/>
  <c r="R236" i="1"/>
  <c r="S236" i="1" s="1"/>
  <c r="R222" i="1"/>
  <c r="S222" i="1" s="1"/>
  <c r="R220" i="1"/>
  <c r="S220" i="1" s="1"/>
  <c r="R209" i="1"/>
  <c r="S209" i="1" s="1"/>
  <c r="R199" i="1"/>
  <c r="S199" i="1" s="1"/>
  <c r="R174" i="1"/>
  <c r="S174" i="1" s="1"/>
  <c r="R189" i="1"/>
  <c r="S189" i="1" s="1"/>
  <c r="R193" i="1"/>
  <c r="S193" i="1" s="1"/>
  <c r="R168" i="1"/>
  <c r="S168" i="1" s="1"/>
  <c r="R153" i="1"/>
  <c r="S153" i="1" s="1"/>
  <c r="R151" i="1"/>
  <c r="S151" i="1" s="1"/>
  <c r="R93" i="1"/>
  <c r="S93" i="1" s="1"/>
  <c r="R83" i="1"/>
  <c r="S83" i="1" s="1"/>
  <c r="R71" i="1"/>
  <c r="S71" i="1" s="1"/>
  <c r="R61" i="1"/>
  <c r="S61" i="1" s="1"/>
  <c r="R51" i="1"/>
  <c r="S51" i="1" s="1"/>
  <c r="L33" i="4"/>
  <c r="R38" i="1"/>
  <c r="S38" i="1" s="1"/>
  <c r="R26" i="1"/>
  <c r="S26" i="1" s="1"/>
  <c r="R42" i="1"/>
  <c r="S42" i="1" s="1"/>
  <c r="R19" i="1"/>
  <c r="S19" i="1" s="1"/>
  <c r="R14" i="1"/>
  <c r="S14" i="1" s="1"/>
  <c r="R145" i="1"/>
  <c r="S145" i="1" s="1"/>
  <c r="R136" i="1"/>
  <c r="S136" i="1" s="1"/>
  <c r="R134" i="1"/>
  <c r="S134" i="1" s="1"/>
  <c r="R117" i="1"/>
  <c r="S117" i="1" s="1"/>
  <c r="R107" i="1"/>
  <c r="S107" i="1" s="1"/>
  <c r="R112" i="1"/>
  <c r="S112" i="1" s="1"/>
  <c r="R79" i="1"/>
  <c r="S79" i="1" s="1"/>
  <c r="R4" i="1"/>
  <c r="S4" i="1" s="1"/>
  <c r="L165" i="4"/>
  <c r="L160" i="4"/>
  <c r="L148" i="4"/>
  <c r="L142" i="4"/>
  <c r="L125" i="4"/>
  <c r="L117" i="4"/>
  <c r="L101" i="4"/>
  <c r="L22" i="4"/>
  <c r="L25" i="4"/>
  <c r="L70" i="4"/>
  <c r="R55" i="1"/>
  <c r="S55" i="1" s="1"/>
  <c r="R15" i="1"/>
  <c r="S15" i="1" s="1"/>
  <c r="R115" i="1"/>
  <c r="S115" i="1" s="1"/>
  <c r="L179" i="4"/>
  <c r="L146" i="4"/>
  <c r="L113" i="4"/>
  <c r="L31" i="4"/>
  <c r="R315" i="1"/>
  <c r="S315" i="1" s="1"/>
  <c r="R288" i="1"/>
  <c r="S288" i="1" s="1"/>
  <c r="R248" i="1"/>
  <c r="S248" i="1" s="1"/>
  <c r="R208" i="1"/>
  <c r="S208" i="1" s="1"/>
  <c r="R194" i="1"/>
  <c r="S194" i="1" s="1"/>
  <c r="R72" i="1"/>
  <c r="S72" i="1" s="1"/>
  <c r="R27" i="1"/>
  <c r="S27" i="1" s="1"/>
  <c r="R109" i="1"/>
  <c r="S109" i="1" s="1"/>
  <c r="R328" i="1"/>
  <c r="S328" i="1" s="1"/>
  <c r="R290" i="1"/>
  <c r="S290" i="1" s="1"/>
  <c r="R269" i="1"/>
  <c r="S269" i="1" s="1"/>
  <c r="R256" i="1"/>
  <c r="S256" i="1" s="1"/>
  <c r="R221" i="1"/>
  <c r="S221" i="1" s="1"/>
  <c r="R198" i="1"/>
  <c r="S198" i="1" s="1"/>
  <c r="R195" i="1"/>
  <c r="S195" i="1" s="1"/>
  <c r="R154" i="1"/>
  <c r="S154" i="1" s="1"/>
  <c r="R84" i="1"/>
  <c r="S84" i="1" s="1"/>
  <c r="R52" i="1"/>
  <c r="S52" i="1" s="1"/>
  <c r="R28" i="1"/>
  <c r="S28" i="1" s="1"/>
  <c r="R12" i="1"/>
  <c r="S12" i="1" s="1"/>
  <c r="R116" i="1"/>
  <c r="S116" i="1" s="1"/>
  <c r="L162" i="4"/>
  <c r="L149" i="4"/>
  <c r="L137" i="4"/>
  <c r="L110" i="4"/>
  <c r="L99" i="4"/>
  <c r="L92" i="4"/>
  <c r="L91" i="4"/>
  <c r="L62" i="4"/>
  <c r="L47" i="4"/>
  <c r="L34" i="4"/>
  <c r="L13" i="4"/>
  <c r="L85" i="4"/>
  <c r="L79" i="4"/>
  <c r="L71" i="4"/>
  <c r="L51" i="4"/>
  <c r="L87" i="4"/>
  <c r="R327" i="1"/>
  <c r="S327" i="1" s="1"/>
  <c r="R271" i="1"/>
  <c r="S271" i="1" s="1"/>
  <c r="R279" i="1"/>
  <c r="S279" i="1" s="1"/>
  <c r="R237" i="1"/>
  <c r="S237" i="1" s="1"/>
  <c r="R200" i="1"/>
  <c r="S200" i="1" s="1"/>
  <c r="R185" i="1"/>
  <c r="S185" i="1" s="1"/>
  <c r="R152" i="1"/>
  <c r="S152" i="1" s="1"/>
  <c r="R94" i="1"/>
  <c r="S94" i="1" s="1"/>
  <c r="R56" i="1"/>
  <c r="S56" i="1" s="1"/>
  <c r="R34" i="1"/>
  <c r="S34" i="1" s="1"/>
  <c r="R127" i="1"/>
  <c r="S127" i="1" s="1"/>
  <c r="R316" i="1"/>
  <c r="S316" i="1" s="1"/>
  <c r="R309" i="1"/>
  <c r="S309" i="1" s="1"/>
  <c r="R302" i="1"/>
  <c r="S302" i="1" s="1"/>
  <c r="R292" i="1"/>
  <c r="S292" i="1" s="1"/>
  <c r="R277" i="1"/>
  <c r="S277" i="1" s="1"/>
  <c r="R261" i="1"/>
  <c r="S261" i="1" s="1"/>
  <c r="R246" i="1"/>
  <c r="S246" i="1" s="1"/>
  <c r="R241" i="1"/>
  <c r="S241" i="1" s="1"/>
  <c r="R227" i="1"/>
  <c r="S227" i="1" s="1"/>
  <c r="R219" i="1"/>
  <c r="S219" i="1" s="1"/>
  <c r="R206" i="1"/>
  <c r="S206" i="1" s="1"/>
  <c r="R178" i="1"/>
  <c r="S178" i="1" s="1"/>
  <c r="R190" i="1"/>
  <c r="S190" i="1" s="1"/>
  <c r="R170" i="1"/>
  <c r="S170" i="1" s="1"/>
  <c r="R96" i="1"/>
  <c r="S96" i="1" s="1"/>
  <c r="R90" i="1"/>
  <c r="S90" i="1" s="1"/>
  <c r="R68" i="1"/>
  <c r="S68" i="1" s="1"/>
  <c r="R59" i="1"/>
  <c r="S59" i="1" s="1"/>
  <c r="R41" i="1"/>
  <c r="S41" i="1" s="1"/>
  <c r="R43" i="1"/>
  <c r="S43" i="1" s="1"/>
  <c r="R18" i="1"/>
  <c r="S18" i="1" s="1"/>
  <c r="R144" i="1"/>
  <c r="S144" i="1" s="1"/>
  <c r="R138" i="1"/>
  <c r="S138" i="1" s="1"/>
  <c r="R128" i="1"/>
  <c r="S128" i="1" s="1"/>
  <c r="R110" i="1"/>
  <c r="S110" i="1" s="1"/>
  <c r="R103" i="1"/>
  <c r="S103" i="1" s="1"/>
  <c r="R76" i="1"/>
  <c r="S76" i="1" s="1"/>
  <c r="R2" i="1"/>
  <c r="S2" i="1" s="1"/>
  <c r="R318" i="1"/>
  <c r="S318" i="1" s="1"/>
  <c r="R306" i="1"/>
  <c r="S306" i="1" s="1"/>
  <c r="R325" i="1"/>
  <c r="S325" i="1" s="1"/>
  <c r="R301" i="1"/>
  <c r="S301" i="1" s="1"/>
  <c r="R291" i="1"/>
  <c r="S291" i="1" s="1"/>
  <c r="R284" i="1"/>
  <c r="S284" i="1" s="1"/>
  <c r="R276" i="1"/>
  <c r="S276" i="1" s="1"/>
  <c r="R270" i="1"/>
  <c r="S270" i="1" s="1"/>
  <c r="R259" i="1"/>
  <c r="S259" i="1" s="1"/>
  <c r="R253" i="1"/>
  <c r="S253" i="1" s="1"/>
  <c r="R245" i="1"/>
  <c r="S245" i="1" s="1"/>
  <c r="R244" i="1"/>
  <c r="S244" i="1" s="1"/>
  <c r="R226" i="1"/>
  <c r="S226" i="1" s="1"/>
  <c r="R224" i="1"/>
  <c r="S224" i="1" s="1"/>
  <c r="R218" i="1"/>
  <c r="S218" i="1" s="1"/>
  <c r="R204" i="1"/>
  <c r="S204" i="1" s="1"/>
  <c r="R197" i="1"/>
  <c r="S197" i="1" s="1"/>
  <c r="R179" i="1"/>
  <c r="S179" i="1" s="1"/>
  <c r="R188" i="1"/>
  <c r="S188" i="1" s="1"/>
  <c r="R165" i="1"/>
  <c r="S165" i="1" s="1"/>
  <c r="R171" i="1"/>
  <c r="S171" i="1" s="1"/>
  <c r="R157" i="1"/>
  <c r="S157" i="1" s="1"/>
  <c r="R95" i="1"/>
  <c r="S95" i="1" s="1"/>
  <c r="R91" i="1"/>
  <c r="S91" i="1" s="1"/>
  <c r="R85" i="1"/>
  <c r="S85" i="1" s="1"/>
  <c r="R67" i="1"/>
  <c r="S67" i="1" s="1"/>
  <c r="R60" i="1"/>
  <c r="S60" i="1" s="1"/>
  <c r="R53" i="1"/>
  <c r="S53" i="1" s="1"/>
  <c r="R40" i="1"/>
  <c r="S40" i="1" s="1"/>
  <c r="R32" i="1"/>
  <c r="S32" i="1" s="1"/>
  <c r="R44" i="1"/>
  <c r="S44" i="1" s="1"/>
  <c r="R21" i="1"/>
  <c r="S21" i="1" s="1"/>
  <c r="R11" i="1"/>
  <c r="S11" i="1" s="1"/>
  <c r="R142" i="1"/>
  <c r="S142" i="1" s="1"/>
  <c r="R130" i="1"/>
  <c r="S130" i="1" s="1"/>
  <c r="R123" i="1"/>
  <c r="S123" i="1" s="1"/>
  <c r="R119" i="1"/>
  <c r="S119" i="1" s="1"/>
  <c r="R111" i="1"/>
  <c r="S111" i="1" s="1"/>
  <c r="R104" i="1"/>
  <c r="S104" i="1" s="1"/>
  <c r="R73" i="1"/>
  <c r="S73" i="1" s="1"/>
  <c r="R10" i="1"/>
  <c r="S10" i="1" s="1"/>
  <c r="L140" i="4"/>
  <c r="L128" i="4"/>
  <c r="L123" i="4"/>
  <c r="L35" i="4"/>
  <c r="L24" i="4"/>
  <c r="L16" i="4"/>
  <c r="L9" i="4"/>
  <c r="L67" i="4"/>
  <c r="R37" i="1"/>
  <c r="S37" i="1" s="1"/>
  <c r="R137" i="1"/>
  <c r="S137" i="1" s="1"/>
  <c r="R77" i="1"/>
  <c r="S77" i="1" s="1"/>
  <c r="R308" i="1"/>
  <c r="S308" i="1" s="1"/>
  <c r="R300" i="1"/>
  <c r="S300" i="1" s="1"/>
  <c r="R294" i="1"/>
  <c r="S294" i="1" s="1"/>
  <c r="R275" i="1"/>
  <c r="S275" i="1" s="1"/>
  <c r="R260" i="1"/>
  <c r="S260" i="1" s="1"/>
  <c r="R234" i="1"/>
  <c r="S234" i="1" s="1"/>
  <c r="R225" i="1"/>
  <c r="S225" i="1" s="1"/>
  <c r="R212" i="1"/>
  <c r="S212" i="1" s="1"/>
  <c r="R196" i="1"/>
  <c r="S196" i="1" s="1"/>
  <c r="R187" i="1"/>
  <c r="S187" i="1" s="1"/>
  <c r="R158" i="1"/>
  <c r="S158" i="1" s="1"/>
  <c r="R92" i="1"/>
  <c r="S92" i="1" s="1"/>
  <c r="R66" i="1"/>
  <c r="S66" i="1" s="1"/>
  <c r="R50" i="1"/>
  <c r="S50" i="1" s="1"/>
  <c r="R31" i="1"/>
  <c r="S31" i="1" s="1"/>
  <c r="R20" i="1"/>
  <c r="S20" i="1" s="1"/>
  <c r="R141" i="1"/>
  <c r="S141" i="1" s="1"/>
  <c r="R122" i="1"/>
  <c r="S122" i="1" s="1"/>
  <c r="R106" i="1"/>
  <c r="S106" i="1" s="1"/>
  <c r="R74" i="1"/>
  <c r="S74" i="1" s="1"/>
  <c r="L126" i="4"/>
  <c r="L122" i="4"/>
  <c r="L108" i="4"/>
  <c r="L105" i="4"/>
  <c r="L43" i="4"/>
  <c r="L23" i="4"/>
  <c r="L27" i="4"/>
  <c r="L76" i="4"/>
  <c r="L69" i="4"/>
  <c r="L49" i="4"/>
  <c r="R98" i="1"/>
  <c r="S98" i="1" s="1"/>
  <c r="R49" i="1"/>
  <c r="S49" i="1" s="1"/>
  <c r="R133" i="1"/>
  <c r="S133" i="1" s="1"/>
  <c r="R319" i="1"/>
  <c r="S319" i="1" s="1"/>
  <c r="R324" i="1"/>
  <c r="S324" i="1" s="1"/>
  <c r="R283" i="1"/>
  <c r="S283" i="1" s="1"/>
  <c r="R266" i="1"/>
  <c r="S266" i="1" s="1"/>
  <c r="R250" i="1"/>
  <c r="S250" i="1" s="1"/>
  <c r="R243" i="1"/>
  <c r="S243" i="1" s="1"/>
  <c r="R213" i="1"/>
  <c r="S213" i="1" s="1"/>
  <c r="R205" i="1"/>
  <c r="S205" i="1" s="1"/>
  <c r="R176" i="1"/>
  <c r="S176" i="1" s="1"/>
  <c r="R164" i="1"/>
  <c r="S164" i="1" s="1"/>
  <c r="R173" i="1"/>
  <c r="S173" i="1" s="1"/>
  <c r="R100" i="1"/>
  <c r="S100" i="1" s="1"/>
  <c r="R82" i="1"/>
  <c r="S82" i="1" s="1"/>
  <c r="R57" i="1"/>
  <c r="S57" i="1" s="1"/>
  <c r="R39" i="1"/>
  <c r="S39" i="1" s="1"/>
  <c r="R45" i="1"/>
  <c r="S45" i="1" s="1"/>
  <c r="R150" i="1"/>
  <c r="S150" i="1" s="1"/>
  <c r="R129" i="1"/>
  <c r="S129" i="1" s="1"/>
  <c r="R118" i="1"/>
  <c r="S118" i="1" s="1"/>
  <c r="R102" i="1"/>
  <c r="S102" i="1" s="1"/>
  <c r="R9" i="1"/>
  <c r="S9" i="1" s="1"/>
  <c r="R320" i="1"/>
  <c r="S320" i="1" s="1"/>
  <c r="R310" i="1"/>
  <c r="S310" i="1" s="1"/>
  <c r="R323" i="1"/>
  <c r="S323" i="1" s="1"/>
  <c r="R299" i="1"/>
  <c r="S299" i="1" s="1"/>
  <c r="R293" i="1"/>
  <c r="S293" i="1" s="1"/>
  <c r="R285" i="1"/>
  <c r="S285" i="1" s="1"/>
  <c r="R281" i="1"/>
  <c r="S281" i="1" s="1"/>
  <c r="R267" i="1"/>
  <c r="S267" i="1" s="1"/>
  <c r="R257" i="1"/>
  <c r="S257" i="1" s="1"/>
  <c r="R251" i="1"/>
  <c r="S251" i="1" s="1"/>
  <c r="R233" i="1"/>
  <c r="S233" i="1" s="1"/>
  <c r="R235" i="1"/>
  <c r="S235" i="1" s="1"/>
  <c r="R228" i="1"/>
  <c r="S228" i="1" s="1"/>
  <c r="R217" i="1"/>
  <c r="S217" i="1" s="1"/>
  <c r="R207" i="1"/>
  <c r="S207" i="1" s="1"/>
  <c r="R201" i="1"/>
  <c r="S201" i="1" s="1"/>
  <c r="R183" i="1"/>
  <c r="S183" i="1" s="1"/>
  <c r="R175" i="1"/>
  <c r="S175" i="1" s="1"/>
  <c r="R186" i="1"/>
  <c r="S186" i="1" s="1"/>
  <c r="R166" i="1"/>
  <c r="S166" i="1" s="1"/>
  <c r="R160" i="1"/>
  <c r="S160" i="1" s="1"/>
  <c r="R155" i="1"/>
  <c r="S155" i="1" s="1"/>
  <c r="R97" i="1"/>
  <c r="S97" i="1" s="1"/>
  <c r="R88" i="1"/>
  <c r="S88" i="1" s="1"/>
  <c r="R81" i="1"/>
  <c r="S81" i="1" s="1"/>
  <c r="R65" i="1"/>
  <c r="S65" i="1" s="1"/>
  <c r="R58" i="1"/>
  <c r="S58" i="1" s="1"/>
  <c r="R47" i="1"/>
  <c r="S47" i="1" s="1"/>
  <c r="R35" i="1"/>
  <c r="S35" i="1" s="1"/>
  <c r="R36" i="1"/>
  <c r="S36" i="1" s="1"/>
  <c r="R24" i="1"/>
  <c r="S24" i="1" s="1"/>
  <c r="R17" i="1"/>
  <c r="S17" i="1" s="1"/>
  <c r="R149" i="1"/>
  <c r="S149" i="1" s="1"/>
  <c r="R143" i="1"/>
  <c r="S143" i="1" s="1"/>
  <c r="R131" i="1"/>
  <c r="S131" i="1" s="1"/>
  <c r="R126" i="1"/>
  <c r="S126" i="1" s="1"/>
  <c r="R121" i="1"/>
  <c r="S121" i="1" s="1"/>
  <c r="R105" i="1"/>
  <c r="S105" i="1" s="1"/>
  <c r="R101" i="1"/>
  <c r="S101" i="1" s="1"/>
  <c r="R75" i="1"/>
  <c r="S75" i="1" s="1"/>
  <c r="R8" i="1"/>
  <c r="S8" i="1" s="1"/>
  <c r="L156" i="4"/>
  <c r="L152" i="4"/>
  <c r="L138" i="4"/>
  <c r="L127" i="4"/>
  <c r="L120" i="4"/>
  <c r="L119" i="4"/>
  <c r="L98" i="4"/>
  <c r="L57" i="4"/>
  <c r="L42" i="4"/>
  <c r="L29" i="4"/>
  <c r="L89" i="4"/>
  <c r="L81" i="4"/>
  <c r="L50" i="4"/>
  <c r="W125" i="1" a="1"/>
  <c r="W270" i="1" a="1"/>
  <c r="W50" i="1" a="1"/>
  <c r="W54" i="1" a="1"/>
  <c r="W135" i="1" a="1"/>
  <c r="W285" i="1" a="1"/>
  <c r="W8" i="1" a="1"/>
  <c r="W61" i="1" a="1"/>
  <c r="W130" i="1" a="1"/>
  <c r="W251" i="1" a="1"/>
  <c r="W286" i="1" a="1"/>
  <c r="W289" i="1" a="1"/>
  <c r="T103" i="1" a="1"/>
  <c r="T206" i="1" a="1"/>
  <c r="T294" i="1" a="1"/>
  <c r="T200" i="1" a="1"/>
  <c r="T225" i="1" a="1"/>
  <c r="T329" i="1" a="1"/>
  <c r="T47" i="1" a="1"/>
  <c r="T26" i="1" a="1"/>
  <c r="T53" i="1" a="1"/>
  <c r="T145" i="1" a="1"/>
  <c r="T255" i="1" a="1"/>
  <c r="T185" i="1" a="1"/>
  <c r="T150" i="1" a="1"/>
  <c r="T42" i="1" a="1"/>
  <c r="T259" i="1" a="1"/>
  <c r="T276" i="1" a="1"/>
  <c r="T90" i="1" a="1"/>
  <c r="T216" i="1" a="1"/>
  <c r="T43" i="1" a="1"/>
  <c r="T312" i="1" a="1"/>
  <c r="T325" i="1" a="1"/>
  <c r="T313" i="1" a="1"/>
  <c r="T84" i="1" a="1"/>
  <c r="T243" i="1" a="1"/>
  <c r="T166" i="1" a="1"/>
  <c r="T207" i="1" a="1"/>
  <c r="T257" i="1" a="1"/>
  <c r="T280" i="1" a="1"/>
  <c r="T114" i="1" a="1"/>
  <c r="T203" i="1" a="1"/>
  <c r="T147" i="1" a="1"/>
  <c r="T98" i="1" a="1"/>
  <c r="T169" i="1" a="1"/>
  <c r="T162" i="1" a="1"/>
  <c r="T161" i="1" a="1"/>
  <c r="T152" i="1" a="1"/>
  <c r="T215" i="1" a="1"/>
  <c r="T133" i="1" a="1"/>
  <c r="T86" i="1" a="1"/>
  <c r="T214" i="1" a="1"/>
  <c r="T270" i="1" a="1"/>
  <c r="T190" i="1" a="1"/>
  <c r="T44" i="1" a="1"/>
  <c r="T291" i="1" a="1"/>
  <c r="T242" i="1" a="1"/>
  <c r="T261" i="1" a="1"/>
  <c r="T122" i="1" a="1"/>
  <c r="T153" i="1" a="1"/>
  <c r="T149" i="1" a="1"/>
  <c r="T107" i="1" a="1"/>
  <c r="T250" i="1" a="1"/>
  <c r="T271" i="1" a="1"/>
  <c r="T2" i="1" a="1"/>
  <c r="T96" i="1" a="1"/>
  <c r="T212" i="1" a="1"/>
  <c r="T315" i="1" a="1"/>
  <c r="T74" i="1" a="1"/>
  <c r="T20" i="1" a="1"/>
  <c r="T306" i="1" a="1"/>
  <c r="T263" i="1" a="1"/>
  <c r="T138" i="1" a="1"/>
  <c r="T295" i="1" a="1"/>
  <c r="T253" i="1" a="1"/>
  <c r="T224" i="1" a="1"/>
  <c r="T316" i="1" a="1"/>
  <c r="T118" i="1" a="1"/>
  <c r="T323" i="1" a="1"/>
  <c r="T97" i="1" a="1"/>
  <c r="T175" i="1" a="1"/>
  <c r="T210" i="1" a="1"/>
  <c r="T289" i="1" a="1"/>
  <c r="T159" i="1" a="1"/>
  <c r="T232" i="1" a="1"/>
  <c r="T25" i="1" a="1"/>
  <c r="T33" i="1" a="1"/>
  <c r="T27" i="1" a="1"/>
  <c r="T29" i="1" a="1"/>
  <c r="T34" i="1" a="1"/>
  <c r="T156" i="1" a="1"/>
  <c r="T282" i="1" a="1"/>
  <c r="T50" i="1" a="1"/>
  <c r="T18" i="1" a="1"/>
  <c r="T126" i="1" a="1"/>
  <c r="T204" i="1" a="1"/>
  <c r="T174" i="1" a="1"/>
  <c r="T170" i="1" a="1"/>
  <c r="T222" i="1" a="1"/>
  <c r="T248" i="1" a="1"/>
  <c r="T82" i="1" a="1"/>
  <c r="T277" i="1" a="1"/>
  <c r="T91" i="1" a="1"/>
  <c r="T208" i="1" a="1"/>
  <c r="T283" i="1" a="1"/>
  <c r="T262" i="1" a="1"/>
  <c r="T292" i="1" a="1"/>
  <c r="T281" i="1" a="1"/>
  <c r="T252" i="1" a="1"/>
  <c r="T192" i="1" a="1"/>
  <c r="T113" i="1" a="1"/>
  <c r="T211" i="1" a="1"/>
  <c r="T10" i="1" a="1"/>
  <c r="T254" i="1" a="1"/>
  <c r="T71" i="1" a="1"/>
  <c r="T68" i="1" a="1"/>
  <c r="T160" i="1" a="1"/>
  <c r="T258" i="1" a="1"/>
  <c r="T180" i="1" a="1"/>
  <c r="T48" i="1" a="1"/>
  <c r="T326" i="1" a="1"/>
  <c r="T135" i="1" a="1"/>
  <c r="T115" i="1" a="1"/>
  <c r="T154" i="1" a="1"/>
  <c r="T75" i="1" a="1"/>
  <c r="T244" i="1" a="1"/>
  <c r="T52" i="1" a="1"/>
  <c r="T187" i="1" a="1"/>
  <c r="T178" i="1" a="1"/>
  <c r="T39" i="1" a="1"/>
  <c r="T131" i="1" a="1"/>
  <c r="T308" i="1" a="1"/>
  <c r="T290" i="1" a="1"/>
  <c r="T310" i="1" a="1"/>
  <c r="T139" i="1" a="1"/>
  <c r="T317" i="1" a="1"/>
  <c r="T264" i="1" a="1"/>
  <c r="T70" i="1" a="1"/>
  <c r="T322" i="1" a="1"/>
  <c r="T8" i="1" a="1"/>
  <c r="T7" i="1" a="1"/>
  <c r="T266" i="1" a="1"/>
  <c r="T110" i="1" a="1"/>
  <c r="T9" i="1" a="1"/>
  <c r="T284" i="1" a="1"/>
  <c r="T226" i="1" a="1"/>
  <c r="T320" i="1" a="1"/>
  <c r="T65" i="1" a="1"/>
  <c r="T172" i="1" a="1"/>
  <c r="T80" i="1" a="1"/>
  <c r="T251" i="1" a="1"/>
  <c r="T49" i="1" a="1"/>
  <c r="T142" i="1" a="1"/>
  <c r="T303" i="1" a="1"/>
  <c r="T21" i="1" a="1"/>
  <c r="T38" i="1" a="1"/>
  <c r="T144" i="1" a="1"/>
  <c r="T100" i="1" a="1"/>
  <c r="T195" i="1" a="1"/>
  <c r="T4" i="1" a="1"/>
  <c r="T12" i="1" a="1"/>
  <c r="T304" i="1" a="1"/>
  <c r="T36" i="1" a="1"/>
  <c r="T179" i="1" a="1"/>
  <c r="T197" i="1" a="1"/>
  <c r="T256" i="1" a="1"/>
  <c r="T24" i="1" a="1"/>
  <c r="T104" i="1" a="1"/>
  <c r="T240" i="1" a="1"/>
  <c r="T67" i="1" a="1"/>
  <c r="T11" i="1" a="1"/>
  <c r="T236" i="1" a="1"/>
  <c r="T201" i="1" a="1"/>
  <c r="T37" i="1" a="1"/>
  <c r="T6" i="1" a="1"/>
  <c r="T46" i="1" a="1"/>
  <c r="T54" i="1" a="1"/>
  <c r="T5" i="1" a="1"/>
  <c r="T202" i="1" a="1"/>
  <c r="T101" i="1" a="1"/>
  <c r="T31" i="1" a="1"/>
  <c r="T269" i="1" a="1"/>
  <c r="T60" i="1" a="1"/>
  <c r="T95" i="1" a="1"/>
  <c r="T223" i="1" a="1"/>
  <c r="T272" i="1" a="1"/>
  <c r="T164" i="1" a="1"/>
  <c r="T314" i="1" a="1"/>
  <c r="T194" i="1" a="1"/>
  <c r="T134" i="1" a="1"/>
  <c r="T237" i="1" a="1"/>
  <c r="T176" i="1" a="1"/>
  <c r="T300" i="1" a="1"/>
  <c r="T155" i="1" a="1"/>
  <c r="T183" i="1" a="1"/>
  <c r="T140" i="1" a="1"/>
  <c r="T61" i="1" a="1"/>
  <c r="T78" i="1" a="1"/>
  <c r="T321" i="1" a="1"/>
  <c r="T287" i="1" a="1"/>
  <c r="T14" i="1" a="1"/>
  <c r="T193" i="1" a="1"/>
  <c r="T157" i="1" a="1"/>
  <c r="T181" i="1" a="1"/>
  <c r="T3" i="1" a="1"/>
  <c r="T228" i="1" a="1"/>
  <c r="T163" i="1" a="1"/>
  <c r="T30" i="1" a="1"/>
  <c r="T120" i="1" a="1"/>
  <c r="T22" i="1" a="1"/>
  <c r="T268" i="1" a="1"/>
  <c r="T233" i="1" a="1"/>
  <c r="T305" i="1" a="1"/>
  <c r="T99" i="1" a="1"/>
  <c r="T51" i="1" a="1"/>
  <c r="T319" i="1" a="1"/>
  <c r="T328" i="1" a="1"/>
  <c r="T260" i="1" a="1"/>
  <c r="T125" i="1" a="1"/>
  <c r="T182" i="1" a="1"/>
  <c r="T137" i="1" a="1"/>
  <c r="T230" i="1" a="1"/>
  <c r="T141" i="1" a="1"/>
  <c r="T220" i="1" a="1"/>
  <c r="T275" i="1" a="1"/>
  <c r="T117" i="1" a="1"/>
  <c r="T245" i="1" a="1"/>
  <c r="T102" i="1" a="1"/>
  <c r="T327" i="1" a="1"/>
  <c r="T309" i="1" a="1"/>
  <c r="T246" i="1" a="1"/>
  <c r="T219" i="1" a="1"/>
  <c r="T234" i="1" a="1"/>
  <c r="T168" i="1" a="1"/>
  <c r="T171" i="1" a="1"/>
  <c r="T106" i="1" a="1"/>
  <c r="T279" i="1" a="1"/>
  <c r="T143" i="1" a="1"/>
  <c r="T278" i="1" a="1"/>
  <c r="T57" i="1" a="1"/>
  <c r="T189" i="1" a="1"/>
  <c r="T40" i="1" a="1"/>
  <c r="T112" i="1" a="1"/>
  <c r="T73" i="1" a="1"/>
  <c r="T209" i="1" a="1"/>
  <c r="T128" i="1" a="1"/>
  <c r="T186" i="1" a="1"/>
  <c r="T299" i="1" a="1"/>
  <c r="T88" i="1" a="1"/>
  <c r="T184" i="1" a="1"/>
  <c r="T77" i="1" a="1"/>
  <c r="T64" i="1" a="1"/>
  <c r="T56" i="1" a="1"/>
  <c r="T124" i="1" a="1"/>
  <c r="T285" i="1" a="1"/>
  <c r="T249" i="1" a="1"/>
  <c r="T94" i="1" a="1"/>
  <c r="T231" i="1" a="1"/>
  <c r="T23" i="1" a="1"/>
  <c r="T298" i="1" a="1"/>
  <c r="T16" i="1" a="1"/>
  <c r="T89" i="1" a="1"/>
  <c r="T72" i="1" a="1"/>
  <c r="T109" i="1" a="1"/>
  <c r="T302" i="1" a="1"/>
  <c r="T247" i="1" a="1"/>
  <c r="T121" i="1" a="1"/>
  <c r="T41" i="1" a="1"/>
  <c r="T127" i="1" a="1"/>
  <c r="T76" i="1" a="1"/>
  <c r="T235" i="1" a="1"/>
  <c r="T81" i="1" a="1"/>
  <c r="T265" i="1" a="1"/>
  <c r="T15" i="1" a="1"/>
  <c r="T297" i="1" a="1"/>
  <c r="T273" i="1" a="1"/>
  <c r="T173" i="1" a="1"/>
  <c r="T151" i="1" a="1"/>
  <c r="T92" i="1" a="1"/>
  <c r="T288" i="1" a="1"/>
  <c r="T188" i="1" a="1"/>
  <c r="T17" i="1" a="1"/>
  <c r="T59" i="1" a="1"/>
  <c r="T218" i="1" a="1"/>
  <c r="T318" i="1" a="1"/>
  <c r="T205" i="1" a="1"/>
  <c r="T213" i="1" a="1"/>
  <c r="T93" i="1" a="1"/>
  <c r="T85" i="1" a="1"/>
  <c r="T296" i="1" a="1"/>
  <c r="T227" i="1" a="1"/>
  <c r="T105" i="1" a="1"/>
  <c r="T136" i="1" a="1"/>
  <c r="T129" i="1" a="1"/>
  <c r="T19" i="1" a="1"/>
  <c r="T123" i="1" a="1"/>
  <c r="T221" i="1" a="1"/>
  <c r="T324" i="1" a="1"/>
  <c r="T79" i="1" a="1"/>
  <c r="T32" i="1" a="1"/>
  <c r="T58" i="1" a="1"/>
  <c r="T217" i="1" a="1"/>
  <c r="T267" i="1" a="1"/>
  <c r="T69" i="1" a="1"/>
  <c r="T62" i="1" a="1"/>
  <c r="T132" i="1" a="1"/>
  <c r="T311" i="1" a="1"/>
  <c r="T13" i="1" a="1"/>
  <c r="T177" i="1" a="1"/>
  <c r="T55" i="1" a="1"/>
  <c r="T191" i="1" a="1"/>
  <c r="T108" i="1" a="1"/>
  <c r="T239" i="1" a="1"/>
  <c r="T307" i="1" a="1"/>
  <c r="T148" i="1" a="1"/>
  <c r="T146" i="1" a="1"/>
  <c r="T87" i="1" a="1"/>
  <c r="T301" i="1" a="1"/>
  <c r="T28" i="1" a="1"/>
  <c r="T111" i="1" a="1"/>
  <c r="T45" i="1" a="1"/>
  <c r="T158" i="1" a="1"/>
  <c r="T165" i="1" a="1"/>
  <c r="T199" i="1" a="1"/>
  <c r="T116" i="1" a="1"/>
  <c r="T66" i="1" a="1"/>
  <c r="T83" i="1" a="1"/>
  <c r="T241" i="1" a="1"/>
  <c r="T196" i="1" a="1"/>
  <c r="T119" i="1" a="1"/>
  <c r="T35" i="1" a="1"/>
  <c r="T198" i="1" a="1"/>
  <c r="T293" i="1" a="1"/>
  <c r="T274" i="1" a="1"/>
  <c r="T286" i="1" a="1"/>
  <c r="T238" i="1" a="1"/>
  <c r="T229" i="1" a="1"/>
  <c r="T63" i="1" a="1"/>
  <c r="T130" i="1" a="1"/>
  <c r="T167" i="1" a="1"/>
  <c r="L102" i="4" l="1"/>
  <c r="M39" i="4"/>
  <c r="L172" i="4"/>
  <c r="L38" i="4"/>
  <c r="M138" i="4"/>
  <c r="L182" i="4"/>
  <c r="L96" i="4"/>
  <c r="L161" i="4"/>
  <c r="L115" i="4"/>
  <c r="L176" i="4"/>
  <c r="L83" i="4"/>
  <c r="L169" i="4"/>
  <c r="L173" i="4"/>
  <c r="L84" i="4"/>
  <c r="L58" i="4"/>
  <c r="M117" i="4"/>
  <c r="L75" i="4"/>
  <c r="L106" i="4"/>
  <c r="L136" i="4"/>
  <c r="M171" i="4"/>
  <c r="L153" i="4"/>
  <c r="L97" i="4"/>
  <c r="M9" i="4"/>
  <c r="L100" i="4"/>
  <c r="M62" i="4"/>
  <c r="M118" i="4"/>
  <c r="K162" i="4"/>
  <c r="K5" i="4"/>
  <c r="K176" i="4"/>
  <c r="K68" i="4"/>
  <c r="M71" i="4"/>
  <c r="K26" i="4"/>
  <c r="M82" i="4"/>
  <c r="M24" i="4"/>
  <c r="K31" i="4"/>
  <c r="M166" i="4"/>
  <c r="M106" i="4"/>
  <c r="M137" i="4"/>
  <c r="K174" i="4"/>
  <c r="K96" i="4"/>
  <c r="K159" i="4"/>
  <c r="K4" i="4"/>
  <c r="K80" i="4"/>
  <c r="K130" i="4"/>
  <c r="K82" i="4"/>
  <c r="K139" i="4"/>
  <c r="M91" i="4"/>
  <c r="W289" i="1"/>
  <c r="L166" i="4" s="1"/>
  <c r="W286" i="1"/>
  <c r="L164" i="4" s="1"/>
  <c r="W251" i="1"/>
  <c r="L145" i="4" s="1"/>
  <c r="W130" i="1"/>
  <c r="L80" i="4" s="1"/>
  <c r="W61" i="1"/>
  <c r="L39" i="4" s="1"/>
  <c r="W8" i="1"/>
  <c r="L6" i="4" s="1"/>
  <c r="W285" i="1"/>
  <c r="L163" i="4" s="1"/>
  <c r="W135" i="1"/>
  <c r="L82" i="4" s="1"/>
  <c r="W54" i="1"/>
  <c r="L36" i="4" s="1"/>
  <c r="W50" i="1"/>
  <c r="L32" i="4" s="1"/>
  <c r="W270" i="1"/>
  <c r="L159" i="4" s="1"/>
  <c r="W125" i="1"/>
  <c r="L77" i="4" s="1"/>
  <c r="M127" i="4"/>
  <c r="M74" i="4"/>
  <c r="M36" i="4"/>
  <c r="L21" i="4"/>
  <c r="K78" i="4"/>
  <c r="K3" i="4"/>
  <c r="L104" i="4"/>
  <c r="L180" i="4"/>
  <c r="L5" i="4"/>
  <c r="M160" i="4"/>
  <c r="L63" i="4"/>
  <c r="L121" i="4"/>
  <c r="K120" i="4"/>
  <c r="K161" i="4"/>
  <c r="K54" i="4"/>
  <c r="K83" i="4"/>
  <c r="K123" i="4"/>
  <c r="K105" i="4"/>
  <c r="K86" i="4"/>
  <c r="K98" i="4"/>
  <c r="K107" i="4"/>
  <c r="K171" i="4"/>
  <c r="K165" i="4"/>
  <c r="K145" i="4"/>
  <c r="K125" i="4"/>
  <c r="M164" i="4"/>
  <c r="M136" i="4"/>
  <c r="K7" i="4"/>
  <c r="K155" i="4"/>
  <c r="K72" i="4"/>
  <c r="K76" i="4"/>
  <c r="K40" i="4"/>
  <c r="K102" i="4"/>
  <c r="K24" i="4"/>
  <c r="M83" i="4"/>
  <c r="M100" i="4"/>
  <c r="K38" i="4"/>
  <c r="K167" i="4"/>
  <c r="K124" i="4"/>
  <c r="K74" i="4"/>
  <c r="K75" i="4"/>
  <c r="K99" i="4"/>
  <c r="M95" i="4"/>
  <c r="M102" i="4"/>
  <c r="M172" i="4"/>
  <c r="M26" i="4"/>
  <c r="M182" i="4"/>
  <c r="K181" i="4"/>
  <c r="K43" i="4"/>
  <c r="K50" i="4"/>
  <c r="K142" i="4"/>
  <c r="K140" i="4"/>
  <c r="K129" i="4"/>
  <c r="K157" i="4"/>
  <c r="M60" i="4"/>
  <c r="M153" i="4"/>
  <c r="M37" i="4"/>
  <c r="M104" i="4"/>
  <c r="M80" i="4"/>
  <c r="M38" i="4"/>
  <c r="M105" i="4"/>
  <c r="M122" i="4"/>
  <c r="M96" i="4"/>
  <c r="M12" i="4"/>
  <c r="M92" i="4"/>
  <c r="K57" i="4"/>
  <c r="M85" i="4"/>
  <c r="M47" i="4"/>
  <c r="L60" i="4"/>
  <c r="L175" i="4"/>
  <c r="K122" i="4"/>
  <c r="K115" i="4"/>
  <c r="K13" i="4"/>
  <c r="L93" i="4"/>
  <c r="M21" i="4"/>
  <c r="M93" i="4"/>
  <c r="M177" i="4"/>
  <c r="M159" i="4"/>
  <c r="K69" i="4"/>
  <c r="K133" i="4"/>
  <c r="K135" i="4"/>
  <c r="K182" i="4"/>
  <c r="K45" i="4"/>
  <c r="K9" i="4"/>
  <c r="K177" i="4"/>
  <c r="K29" i="4"/>
  <c r="K173" i="4"/>
  <c r="K168" i="4"/>
  <c r="M6" i="4"/>
  <c r="M84" i="4"/>
  <c r="M152" i="4"/>
  <c r="M61" i="4"/>
  <c r="M70" i="4"/>
  <c r="M162" i="4"/>
  <c r="K95" i="4"/>
  <c r="K158" i="4"/>
  <c r="K59" i="4"/>
  <c r="K60" i="4"/>
  <c r="K116" i="4"/>
  <c r="M180" i="4"/>
  <c r="K71" i="4"/>
  <c r="K104" i="4"/>
  <c r="K134" i="4"/>
  <c r="M169" i="4"/>
  <c r="M97" i="4"/>
  <c r="M75" i="4"/>
  <c r="M176" i="4"/>
  <c r="K42" i="4"/>
  <c r="K138" i="4"/>
  <c r="K28" i="4"/>
  <c r="K169" i="4"/>
  <c r="K179" i="4"/>
  <c r="K27" i="4"/>
  <c r="K144" i="4"/>
  <c r="M5" i="4"/>
  <c r="M77" i="4"/>
  <c r="M161" i="4"/>
  <c r="M76" i="4"/>
  <c r="M115" i="4"/>
  <c r="K70" i="4"/>
  <c r="K23" i="4"/>
  <c r="K25" i="4"/>
  <c r="M163" i="4"/>
  <c r="M175" i="4"/>
  <c r="M63" i="4"/>
  <c r="M58" i="4"/>
  <c r="M121" i="4"/>
  <c r="K21" i="4"/>
  <c r="K87" i="4"/>
  <c r="K150" i="4"/>
  <c r="K149" i="4"/>
  <c r="K58" i="4"/>
  <c r="K32" i="4"/>
  <c r="K112" i="4"/>
  <c r="K141" i="4"/>
  <c r="K163" i="4"/>
  <c r="K46" i="4"/>
  <c r="K111" i="4"/>
  <c r="K36" i="4"/>
  <c r="K51" i="4"/>
  <c r="L61" i="4"/>
  <c r="K151" i="4"/>
  <c r="K166" i="4"/>
  <c r="K132" i="4"/>
  <c r="K15" i="4"/>
  <c r="K164" i="4"/>
  <c r="K114" i="4"/>
  <c r="K49" i="4"/>
  <c r="K22" i="4"/>
  <c r="K119" i="4"/>
  <c r="K108" i="4"/>
  <c r="K11" i="4"/>
  <c r="K126" i="4"/>
  <c r="K47" i="4"/>
  <c r="K61" i="4"/>
  <c r="K16" i="4"/>
  <c r="K137" i="4"/>
  <c r="K56" i="4"/>
  <c r="K55" i="4"/>
  <c r="K91" i="4"/>
  <c r="K35" i="4"/>
  <c r="K39" i="4"/>
  <c r="K175" i="4"/>
  <c r="K14" i="4"/>
  <c r="K18" i="4"/>
  <c r="K146" i="4"/>
  <c r="K143" i="4"/>
  <c r="K84" i="4"/>
  <c r="K100" i="4"/>
  <c r="K33" i="4"/>
  <c r="K81" i="4"/>
  <c r="K180" i="4"/>
  <c r="K34" i="4"/>
  <c r="K37" i="4"/>
  <c r="K106" i="4"/>
  <c r="K17" i="4"/>
  <c r="K79" i="4"/>
  <c r="K20" i="4"/>
  <c r="K52" i="4"/>
  <c r="K152" i="4"/>
  <c r="K178" i="4"/>
  <c r="K128" i="4"/>
  <c r="K109" i="4"/>
  <c r="K41" i="4"/>
  <c r="K77" i="4"/>
  <c r="K12" i="4"/>
  <c r="K19" i="4"/>
  <c r="K117" i="4"/>
  <c r="K136" i="4"/>
  <c r="K53" i="4"/>
  <c r="K92" i="4"/>
  <c r="K170" i="4"/>
  <c r="K67" i="4"/>
  <c r="K6" i="4"/>
  <c r="K110" i="4"/>
  <c r="K63" i="4"/>
  <c r="K121" i="4"/>
  <c r="K73" i="4"/>
  <c r="K172" i="4"/>
  <c r="K113" i="4"/>
  <c r="K160" i="4"/>
  <c r="K44" i="4"/>
  <c r="K127" i="4"/>
  <c r="K85" i="4"/>
  <c r="K148" i="4"/>
  <c r="K89" i="4"/>
  <c r="K93" i="4"/>
  <c r="K94" i="4"/>
  <c r="K2" i="4"/>
  <c r="K64" i="4"/>
  <c r="K118" i="4"/>
  <c r="K8" i="4"/>
  <c r="K10" i="4"/>
  <c r="K147" i="4"/>
  <c r="K154" i="4"/>
  <c r="K156" i="4"/>
  <c r="K131" i="4"/>
  <c r="K153" i="4"/>
  <c r="K97" i="4"/>
  <c r="K30" i="4"/>
  <c r="T118" i="1"/>
  <c r="V118" i="1" s="1"/>
  <c r="T243" i="1"/>
  <c r="V243" i="1" s="1"/>
  <c r="T260" i="1"/>
  <c r="V260" i="1" s="1"/>
  <c r="T300" i="1"/>
  <c r="V300" i="1" s="1"/>
  <c r="T32" i="1"/>
  <c r="V32" i="1" s="1"/>
  <c r="T128" i="1"/>
  <c r="V128" i="1" s="1"/>
  <c r="T68" i="1"/>
  <c r="V68" i="1" s="1"/>
  <c r="T292" i="1"/>
  <c r="V292" i="1" s="1"/>
  <c r="T316" i="1"/>
  <c r="V316" i="1" s="1"/>
  <c r="T84" i="1"/>
  <c r="V84" i="1" s="1"/>
  <c r="T198" i="1"/>
  <c r="V198" i="1" s="1"/>
  <c r="T290" i="1"/>
  <c r="V290" i="1" s="1"/>
  <c r="T79" i="1"/>
  <c r="V79" i="1" s="1"/>
  <c r="T209" i="1"/>
  <c r="V209" i="1" s="1"/>
  <c r="T236" i="1"/>
  <c r="V236" i="1" s="1"/>
  <c r="T3" i="1"/>
  <c r="V3" i="1" s="1"/>
  <c r="T224" i="1"/>
  <c r="V224" i="1" s="1"/>
  <c r="T313" i="1"/>
  <c r="V313" i="1" s="1"/>
  <c r="T35" i="1"/>
  <c r="V35" i="1" s="1"/>
  <c r="T176" i="1"/>
  <c r="V176" i="1" s="1"/>
  <c r="T324" i="1"/>
  <c r="V324" i="1" s="1"/>
  <c r="T73" i="1"/>
  <c r="V73" i="1" s="1"/>
  <c r="T11" i="1"/>
  <c r="V11" i="1" s="1"/>
  <c r="T226" i="1"/>
  <c r="V226" i="1" s="1"/>
  <c r="T253" i="1"/>
  <c r="V253" i="1" s="1"/>
  <c r="T325" i="1"/>
  <c r="V325" i="1" s="1"/>
  <c r="T76" i="1"/>
  <c r="V76" i="1" s="1"/>
  <c r="T237" i="1"/>
  <c r="V237" i="1" s="1"/>
  <c r="T221" i="1"/>
  <c r="V221" i="1" s="1"/>
  <c r="T112" i="1"/>
  <c r="V112" i="1" s="1"/>
  <c r="T71" i="1"/>
  <c r="V71" i="1" s="1"/>
  <c r="T262" i="1"/>
  <c r="V262" i="1" s="1"/>
  <c r="T295" i="1"/>
  <c r="V295" i="1" s="1"/>
  <c r="T312" i="1"/>
  <c r="V312" i="1" s="1"/>
  <c r="T119" i="1"/>
  <c r="V119" i="1" s="1"/>
  <c r="T308" i="1"/>
  <c r="V308" i="1" s="1"/>
  <c r="T123" i="1"/>
  <c r="V123" i="1" s="1"/>
  <c r="T40" i="1"/>
  <c r="V40" i="1" s="1"/>
  <c r="T67" i="1"/>
  <c r="V67" i="1" s="1"/>
  <c r="T284" i="1"/>
  <c r="V284" i="1" s="1"/>
  <c r="T138" i="1"/>
  <c r="V138" i="1" s="1"/>
  <c r="T43" i="1"/>
  <c r="V43" i="1" s="1"/>
  <c r="T127" i="1"/>
  <c r="V127" i="1" s="1"/>
  <c r="T134" i="1"/>
  <c r="V134" i="1" s="1"/>
  <c r="T19" i="1"/>
  <c r="V19" i="1" s="1"/>
  <c r="T189" i="1"/>
  <c r="V189" i="1" s="1"/>
  <c r="T240" i="1"/>
  <c r="V240" i="1" s="1"/>
  <c r="T181" i="1"/>
  <c r="V181" i="1" s="1"/>
  <c r="T263" i="1"/>
  <c r="V263" i="1" s="1"/>
  <c r="T216" i="1"/>
  <c r="V216" i="1" s="1"/>
  <c r="T196" i="1"/>
  <c r="V196" i="1" s="1"/>
  <c r="T131" i="1"/>
  <c r="V131" i="1" s="1"/>
  <c r="T129" i="1"/>
  <c r="V129" i="1" s="1"/>
  <c r="T57" i="1"/>
  <c r="V57" i="1" s="1"/>
  <c r="T104" i="1"/>
  <c r="V104" i="1" s="1"/>
  <c r="T157" i="1"/>
  <c r="V157" i="1" s="1"/>
  <c r="T306" i="1"/>
  <c r="V306" i="1" s="1"/>
  <c r="T90" i="1"/>
  <c r="V90" i="1" s="1"/>
  <c r="T328" i="1"/>
  <c r="V328" i="1" s="1"/>
  <c r="T194" i="1"/>
  <c r="V194" i="1" s="1"/>
  <c r="T136" i="1"/>
  <c r="V136" i="1" s="1"/>
  <c r="T278" i="1"/>
  <c r="V278" i="1" s="1"/>
  <c r="T254" i="1"/>
  <c r="V254" i="1" s="1"/>
  <c r="T283" i="1"/>
  <c r="V283" i="1" s="1"/>
  <c r="T20" i="1"/>
  <c r="V20" i="1" s="1"/>
  <c r="T276" i="1"/>
  <c r="V276" i="1" s="1"/>
  <c r="T241" i="1"/>
  <c r="V241" i="1" s="1"/>
  <c r="T39" i="1"/>
  <c r="V39" i="1" s="1"/>
  <c r="T105" i="1"/>
  <c r="V105" i="1" s="1"/>
  <c r="T143" i="1"/>
  <c r="V143" i="1" s="1"/>
  <c r="T24" i="1"/>
  <c r="V24" i="1" s="1"/>
  <c r="T9" i="1"/>
  <c r="V9" i="1" s="1"/>
  <c r="T74" i="1"/>
  <c r="V74" i="1" s="1"/>
  <c r="T259" i="1"/>
  <c r="V259" i="1" s="1"/>
  <c r="T41" i="1"/>
  <c r="V41" i="1" s="1"/>
  <c r="T178" i="1"/>
  <c r="V178" i="1" s="1"/>
  <c r="T227" i="1"/>
  <c r="V227" i="1" s="1"/>
  <c r="T279" i="1"/>
  <c r="V279" i="1" s="1"/>
  <c r="T256" i="1"/>
  <c r="V256" i="1" s="1"/>
  <c r="T208" i="1"/>
  <c r="V208" i="1" s="1"/>
  <c r="T315" i="1"/>
  <c r="V315" i="1" s="1"/>
  <c r="T42" i="1"/>
  <c r="V42" i="1" s="1"/>
  <c r="T83" i="1"/>
  <c r="V83" i="1" s="1"/>
  <c r="T314" i="1"/>
  <c r="V314" i="1" s="1"/>
  <c r="T296" i="1"/>
  <c r="V296" i="1" s="1"/>
  <c r="T106" i="1"/>
  <c r="V106" i="1" s="1"/>
  <c r="T197" i="1"/>
  <c r="V197" i="1" s="1"/>
  <c r="T193" i="1"/>
  <c r="V193" i="1" s="1"/>
  <c r="T212" i="1"/>
  <c r="V212" i="1" s="1"/>
  <c r="T150" i="1"/>
  <c r="V150" i="1" s="1"/>
  <c r="T66" i="1"/>
  <c r="V66" i="1" s="1"/>
  <c r="T187" i="1"/>
  <c r="V187" i="1" s="1"/>
  <c r="T85" i="1"/>
  <c r="V85" i="1" s="1"/>
  <c r="T171" i="1"/>
  <c r="V171" i="1" s="1"/>
  <c r="T179" i="1"/>
  <c r="V179" i="1" s="1"/>
  <c r="T110" i="1"/>
  <c r="V110" i="1" s="1"/>
  <c r="T96" i="1"/>
  <c r="V96" i="1" s="1"/>
  <c r="T185" i="1"/>
  <c r="V185" i="1" s="1"/>
  <c r="T116" i="1"/>
  <c r="V116" i="1" s="1"/>
  <c r="T52" i="1"/>
  <c r="V52" i="1" s="1"/>
  <c r="T93" i="1"/>
  <c r="V93" i="1" s="1"/>
  <c r="T168" i="1"/>
  <c r="V168" i="1" s="1"/>
  <c r="T36" i="1"/>
  <c r="V36" i="1" s="1"/>
  <c r="T91" i="1"/>
  <c r="V91" i="1" s="1"/>
  <c r="T2" i="1"/>
  <c r="V2" i="1" s="1"/>
  <c r="T255" i="1"/>
  <c r="V255" i="1" s="1"/>
  <c r="T121" i="1"/>
  <c r="V121" i="1" s="1"/>
  <c r="T164" i="1"/>
  <c r="V164" i="1" s="1"/>
  <c r="T213" i="1"/>
  <c r="V213" i="1" s="1"/>
  <c r="T234" i="1"/>
  <c r="V234" i="1" s="1"/>
  <c r="T10" i="1"/>
  <c r="V10" i="1" s="1"/>
  <c r="T277" i="1"/>
  <c r="V277" i="1" s="1"/>
  <c r="T271" i="1"/>
  <c r="V271" i="1" s="1"/>
  <c r="T145" i="1"/>
  <c r="V145" i="1" s="1"/>
  <c r="T199" i="1"/>
  <c r="V199" i="1" s="1"/>
  <c r="T272" i="1"/>
  <c r="V272" i="1" s="1"/>
  <c r="T205" i="1"/>
  <c r="V205" i="1" s="1"/>
  <c r="T219" i="1"/>
  <c r="V219" i="1" s="1"/>
  <c r="T304" i="1"/>
  <c r="V304" i="1" s="1"/>
  <c r="T82" i="1"/>
  <c r="V82" i="1" s="1"/>
  <c r="T250" i="1"/>
  <c r="V250" i="1" s="1"/>
  <c r="T53" i="1"/>
  <c r="V53" i="1" s="1"/>
  <c r="T165" i="1"/>
  <c r="V165" i="1" s="1"/>
  <c r="T244" i="1"/>
  <c r="V244" i="1" s="1"/>
  <c r="T318" i="1"/>
  <c r="V318" i="1" s="1"/>
  <c r="T246" i="1"/>
  <c r="V246" i="1" s="1"/>
  <c r="T12" i="1"/>
  <c r="V12" i="1" s="1"/>
  <c r="T248" i="1"/>
  <c r="V248" i="1" s="1"/>
  <c r="T107" i="1"/>
  <c r="V107" i="1" s="1"/>
  <c r="T26" i="1"/>
  <c r="V26" i="1" s="1"/>
  <c r="T247" i="1"/>
  <c r="V247" i="1" s="1"/>
  <c r="T223" i="1"/>
  <c r="V223" i="1" s="1"/>
  <c r="T218" i="1"/>
  <c r="V218" i="1" s="1"/>
  <c r="T309" i="1"/>
  <c r="V309" i="1" s="1"/>
  <c r="T4" i="1"/>
  <c r="V4" i="1" s="1"/>
  <c r="T222" i="1"/>
  <c r="V222" i="1" s="1"/>
  <c r="T149" i="1"/>
  <c r="V149" i="1" s="1"/>
  <c r="T47" i="1"/>
  <c r="V47" i="1" s="1"/>
  <c r="T158" i="1"/>
  <c r="V158" i="1" s="1"/>
  <c r="T95" i="1"/>
  <c r="V95" i="1" s="1"/>
  <c r="T59" i="1"/>
  <c r="V59" i="1" s="1"/>
  <c r="T327" i="1"/>
  <c r="V327" i="1" s="1"/>
  <c r="T195" i="1"/>
  <c r="V195" i="1" s="1"/>
  <c r="T14" i="1"/>
  <c r="V14" i="1" s="1"/>
  <c r="T153" i="1"/>
  <c r="V153" i="1" s="1"/>
  <c r="T329" i="1"/>
  <c r="V329" i="1" s="1"/>
  <c r="T45" i="1"/>
  <c r="V45" i="1" s="1"/>
  <c r="T75" i="1"/>
  <c r="V75" i="1" s="1"/>
  <c r="T17" i="1"/>
  <c r="V17" i="1" s="1"/>
  <c r="T102" i="1"/>
  <c r="V102" i="1" s="1"/>
  <c r="T100" i="1"/>
  <c r="V100" i="1" s="1"/>
  <c r="T266" i="1"/>
  <c r="V266" i="1" s="1"/>
  <c r="T122" i="1"/>
  <c r="V122" i="1" s="1"/>
  <c r="T225" i="1"/>
  <c r="V225" i="1" s="1"/>
  <c r="T111" i="1"/>
  <c r="V111" i="1" s="1"/>
  <c r="T60" i="1"/>
  <c r="V60" i="1" s="1"/>
  <c r="T188" i="1"/>
  <c r="V188" i="1" s="1"/>
  <c r="T245" i="1"/>
  <c r="V245" i="1" s="1"/>
  <c r="T144" i="1"/>
  <c r="V144" i="1" s="1"/>
  <c r="T170" i="1"/>
  <c r="V170" i="1" s="1"/>
  <c r="T261" i="1"/>
  <c r="V261" i="1" s="1"/>
  <c r="T200" i="1"/>
  <c r="V200" i="1" s="1"/>
  <c r="T28" i="1"/>
  <c r="V28" i="1" s="1"/>
  <c r="T269" i="1"/>
  <c r="V269" i="1" s="1"/>
  <c r="T288" i="1"/>
  <c r="V288" i="1" s="1"/>
  <c r="T117" i="1"/>
  <c r="V117" i="1" s="1"/>
  <c r="T38" i="1"/>
  <c r="V38" i="1" s="1"/>
  <c r="T174" i="1"/>
  <c r="V174" i="1" s="1"/>
  <c r="T242" i="1"/>
  <c r="V242" i="1" s="1"/>
  <c r="T294" i="1"/>
  <c r="V294" i="1" s="1"/>
  <c r="T319" i="1"/>
  <c r="V319" i="1" s="1"/>
  <c r="T31" i="1"/>
  <c r="V31" i="1" s="1"/>
  <c r="T92" i="1"/>
  <c r="V92" i="1" s="1"/>
  <c r="T275" i="1"/>
  <c r="V275" i="1" s="1"/>
  <c r="T21" i="1"/>
  <c r="V21" i="1" s="1"/>
  <c r="T204" i="1"/>
  <c r="V204" i="1" s="1"/>
  <c r="T291" i="1"/>
  <c r="V291" i="1" s="1"/>
  <c r="T206" i="1"/>
  <c r="V206" i="1" s="1"/>
  <c r="T302" i="1"/>
  <c r="V302" i="1" s="1"/>
  <c r="T154" i="1"/>
  <c r="V154" i="1" s="1"/>
  <c r="T151" i="1"/>
  <c r="V151" i="1" s="1"/>
  <c r="T220" i="1"/>
  <c r="V220" i="1" s="1"/>
  <c r="T303" i="1"/>
  <c r="V303" i="1" s="1"/>
  <c r="T126" i="1"/>
  <c r="V126" i="1" s="1"/>
  <c r="T44" i="1"/>
  <c r="V44" i="1" s="1"/>
  <c r="T103" i="1"/>
  <c r="V103" i="1" s="1"/>
  <c r="T301" i="1"/>
  <c r="V301" i="1" s="1"/>
  <c r="T101" i="1"/>
  <c r="V101" i="1" s="1"/>
  <c r="T173" i="1"/>
  <c r="V173" i="1" s="1"/>
  <c r="T141" i="1"/>
  <c r="V141" i="1" s="1"/>
  <c r="T142" i="1"/>
  <c r="V142" i="1" s="1"/>
  <c r="T18" i="1"/>
  <c r="V18" i="1" s="1"/>
  <c r="T190" i="1"/>
  <c r="V190" i="1" s="1"/>
  <c r="T65" i="1"/>
  <c r="V65" i="1" s="1"/>
  <c r="T175" i="1"/>
  <c r="V175" i="1" s="1"/>
  <c r="T257" i="1"/>
  <c r="V257" i="1" s="1"/>
  <c r="T81" i="1"/>
  <c r="V81" i="1" s="1"/>
  <c r="T183" i="1"/>
  <c r="V183" i="1" s="1"/>
  <c r="T267" i="1"/>
  <c r="V267" i="1" s="1"/>
  <c r="T88" i="1"/>
  <c r="V88" i="1" s="1"/>
  <c r="T201" i="1"/>
  <c r="V201" i="1" s="1"/>
  <c r="T281" i="1"/>
  <c r="V281" i="1" s="1"/>
  <c r="T97" i="1"/>
  <c r="V97" i="1" s="1"/>
  <c r="T207" i="1"/>
  <c r="V207" i="1" s="1"/>
  <c r="T293" i="1"/>
  <c r="V293" i="1" s="1"/>
  <c r="T155" i="1"/>
  <c r="V155" i="1" s="1"/>
  <c r="T217" i="1"/>
  <c r="V217" i="1" s="1"/>
  <c r="T299" i="1"/>
  <c r="V299" i="1" s="1"/>
  <c r="T160" i="1"/>
  <c r="V160" i="1" s="1"/>
  <c r="T228" i="1"/>
  <c r="V228" i="1" s="1"/>
  <c r="T323" i="1"/>
  <c r="V323" i="1" s="1"/>
  <c r="T166" i="1"/>
  <c r="V166" i="1" s="1"/>
  <c r="T235" i="1"/>
  <c r="V235" i="1" s="1"/>
  <c r="T310" i="1"/>
  <c r="V310" i="1" s="1"/>
  <c r="T58" i="1"/>
  <c r="V58" i="1" s="1"/>
  <c r="T186" i="1"/>
  <c r="V186" i="1" s="1"/>
  <c r="T233" i="1"/>
  <c r="V233" i="1" s="1"/>
  <c r="T320" i="1"/>
  <c r="V320" i="1" s="1"/>
  <c r="T270" i="1"/>
  <c r="V270" i="1" s="1"/>
  <c r="T130" i="1"/>
  <c r="V130" i="1" s="1"/>
  <c r="T8" i="1"/>
  <c r="V8" i="1" s="1"/>
  <c r="T146" i="1"/>
  <c r="V146" i="1" s="1"/>
  <c r="T72" i="1"/>
  <c r="V72" i="1" s="1"/>
  <c r="T115" i="1"/>
  <c r="V115" i="1" s="1"/>
  <c r="T49" i="1"/>
  <c r="V49" i="1" s="1"/>
  <c r="T7" i="1"/>
  <c r="V7" i="1" s="1"/>
  <c r="T214" i="1"/>
  <c r="V214" i="1" s="1"/>
  <c r="T273" i="1"/>
  <c r="V273" i="1" s="1"/>
  <c r="T322" i="1"/>
  <c r="V322" i="1" s="1"/>
  <c r="T148" i="1"/>
  <c r="V148" i="1" s="1"/>
  <c r="T89" i="1"/>
  <c r="V89" i="1" s="1"/>
  <c r="T202" i="1"/>
  <c r="V202" i="1" s="1"/>
  <c r="T268" i="1"/>
  <c r="V268" i="1" s="1"/>
  <c r="T50" i="1"/>
  <c r="V50" i="1" s="1"/>
  <c r="T86" i="1"/>
  <c r="V86" i="1" s="1"/>
  <c r="T230" i="1"/>
  <c r="V230" i="1" s="1"/>
  <c r="T287" i="1"/>
  <c r="V287" i="1" s="1"/>
  <c r="T307" i="1"/>
  <c r="V307" i="1" s="1"/>
  <c r="T16" i="1"/>
  <c r="V16" i="1" s="1"/>
  <c r="T99" i="1"/>
  <c r="V99" i="1" s="1"/>
  <c r="T211" i="1"/>
  <c r="V211" i="1" s="1"/>
  <c r="T282" i="1"/>
  <c r="V282" i="1" s="1"/>
  <c r="T133" i="1"/>
  <c r="V133" i="1" s="1"/>
  <c r="T63" i="1"/>
  <c r="V63" i="1" s="1"/>
  <c r="T167" i="1"/>
  <c r="V167" i="1" s="1"/>
  <c r="T239" i="1"/>
  <c r="V239" i="1" s="1"/>
  <c r="T298" i="1"/>
  <c r="V298" i="1" s="1"/>
  <c r="T5" i="1"/>
  <c r="V5" i="1" s="1"/>
  <c r="T22" i="1"/>
  <c r="V22" i="1" s="1"/>
  <c r="T156" i="1"/>
  <c r="V156" i="1" s="1"/>
  <c r="T215" i="1"/>
  <c r="V215" i="1" s="1"/>
  <c r="T297" i="1"/>
  <c r="V297" i="1" s="1"/>
  <c r="T51" i="1"/>
  <c r="V51" i="1" s="1"/>
  <c r="T108" i="1"/>
  <c r="V108" i="1" s="1"/>
  <c r="T23" i="1"/>
  <c r="V23" i="1" s="1"/>
  <c r="T135" i="1"/>
  <c r="V135" i="1" s="1"/>
  <c r="T251" i="1"/>
  <c r="V251" i="1" s="1"/>
  <c r="T34" i="1"/>
  <c r="V34" i="1" s="1"/>
  <c r="T152" i="1"/>
  <c r="V152" i="1" s="1"/>
  <c r="T137" i="1"/>
  <c r="V137" i="1" s="1"/>
  <c r="T70" i="1"/>
  <c r="V70" i="1" s="1"/>
  <c r="T191" i="1"/>
  <c r="V191" i="1" s="1"/>
  <c r="T231" i="1"/>
  <c r="V231" i="1" s="1"/>
  <c r="T305" i="1"/>
  <c r="V305" i="1" s="1"/>
  <c r="T113" i="1"/>
  <c r="V113" i="1" s="1"/>
  <c r="T29" i="1"/>
  <c r="V29" i="1" s="1"/>
  <c r="T161" i="1"/>
  <c r="V161" i="1" s="1"/>
  <c r="T229" i="1"/>
  <c r="V229" i="1" s="1"/>
  <c r="T321" i="1"/>
  <c r="V321" i="1" s="1"/>
  <c r="T55" i="1"/>
  <c r="V55" i="1" s="1"/>
  <c r="T94" i="1"/>
  <c r="V94" i="1" s="1"/>
  <c r="T54" i="1"/>
  <c r="V54" i="1" s="1"/>
  <c r="T80" i="1"/>
  <c r="V80" i="1" s="1"/>
  <c r="T27" i="1"/>
  <c r="V27" i="1" s="1"/>
  <c r="T162" i="1"/>
  <c r="V162" i="1" s="1"/>
  <c r="T15" i="1"/>
  <c r="V15" i="1" s="1"/>
  <c r="T87" i="1"/>
  <c r="V87" i="1" s="1"/>
  <c r="T177" i="1"/>
  <c r="V177" i="1" s="1"/>
  <c r="T249" i="1"/>
  <c r="V249" i="1" s="1"/>
  <c r="T326" i="1"/>
  <c r="V326" i="1" s="1"/>
  <c r="T120" i="1"/>
  <c r="V120" i="1" s="1"/>
  <c r="T33" i="1"/>
  <c r="V33" i="1" s="1"/>
  <c r="T169" i="1"/>
  <c r="V169" i="1" s="1"/>
  <c r="T238" i="1"/>
  <c r="V238" i="1" s="1"/>
  <c r="T78" i="1"/>
  <c r="V78" i="1" s="1"/>
  <c r="T13" i="1"/>
  <c r="V13" i="1" s="1"/>
  <c r="T285" i="1"/>
  <c r="V285" i="1" s="1"/>
  <c r="T46" i="1"/>
  <c r="V46" i="1" s="1"/>
  <c r="T172" i="1"/>
  <c r="V172" i="1" s="1"/>
  <c r="T25" i="1"/>
  <c r="V25" i="1" s="1"/>
  <c r="T98" i="1"/>
  <c r="V98" i="1" s="1"/>
  <c r="T182" i="1"/>
  <c r="V182" i="1" s="1"/>
  <c r="T264" i="1"/>
  <c r="V264" i="1" s="1"/>
  <c r="T311" i="1"/>
  <c r="V311" i="1" s="1"/>
  <c r="T124" i="1"/>
  <c r="V124" i="1" s="1"/>
  <c r="T48" i="1"/>
  <c r="V48" i="1" s="1"/>
  <c r="T192" i="1"/>
  <c r="V192" i="1" s="1"/>
  <c r="T232" i="1"/>
  <c r="V232" i="1" s="1"/>
  <c r="T147" i="1"/>
  <c r="V147" i="1" s="1"/>
  <c r="T286" i="1"/>
  <c r="V286" i="1" s="1"/>
  <c r="T61" i="1"/>
  <c r="V61" i="1" s="1"/>
  <c r="T109" i="1"/>
  <c r="V109" i="1" s="1"/>
  <c r="T56" i="1"/>
  <c r="V56" i="1" s="1"/>
  <c r="T6" i="1"/>
  <c r="V6" i="1" s="1"/>
  <c r="T30" i="1"/>
  <c r="V30" i="1" s="1"/>
  <c r="T159" i="1"/>
  <c r="V159" i="1" s="1"/>
  <c r="T203" i="1"/>
  <c r="V203" i="1" s="1"/>
  <c r="T265" i="1"/>
  <c r="V265" i="1" s="1"/>
  <c r="T317" i="1"/>
  <c r="V317" i="1" s="1"/>
  <c r="T132" i="1"/>
  <c r="V132" i="1" s="1"/>
  <c r="T64" i="1"/>
  <c r="V64" i="1" s="1"/>
  <c r="T180" i="1"/>
  <c r="V180" i="1" s="1"/>
  <c r="T252" i="1"/>
  <c r="V252" i="1" s="1"/>
  <c r="T289" i="1"/>
  <c r="V289" i="1" s="1"/>
  <c r="T114" i="1"/>
  <c r="V114" i="1" s="1"/>
  <c r="T125" i="1"/>
  <c r="V125" i="1" s="1"/>
  <c r="T140" i="1"/>
  <c r="V140" i="1" s="1"/>
  <c r="T62" i="1"/>
  <c r="V62" i="1" s="1"/>
  <c r="T77" i="1"/>
  <c r="V77" i="1" s="1"/>
  <c r="T37" i="1"/>
  <c r="V37" i="1" s="1"/>
  <c r="T163" i="1"/>
  <c r="V163" i="1" s="1"/>
  <c r="T210" i="1"/>
  <c r="V210" i="1" s="1"/>
  <c r="T280" i="1"/>
  <c r="V280" i="1" s="1"/>
  <c r="T274" i="1"/>
  <c r="V274" i="1" s="1"/>
  <c r="T139" i="1"/>
  <c r="V139" i="1" s="1"/>
  <c r="T69" i="1"/>
  <c r="V69" i="1" s="1"/>
  <c r="T184" i="1"/>
  <c r="V184" i="1" s="1"/>
  <c r="T258" i="1"/>
  <c r="V258" i="1" s="1"/>
  <c r="U274" i="1" l="1"/>
  <c r="U15" i="1"/>
  <c r="U154" i="1"/>
  <c r="U272" i="1"/>
  <c r="U187" i="1"/>
  <c r="U178" i="1"/>
  <c r="U134" i="1"/>
  <c r="U308" i="1"/>
  <c r="U237" i="1"/>
  <c r="U300" i="1"/>
  <c r="U27" i="1"/>
  <c r="U282" i="1"/>
  <c r="U281" i="1"/>
  <c r="U329" i="1"/>
  <c r="U216" i="1"/>
  <c r="U163" i="1"/>
  <c r="U30" i="1"/>
  <c r="U192" i="1"/>
  <c r="U172" i="1"/>
  <c r="U120" i="1"/>
  <c r="U211" i="1"/>
  <c r="U160" i="1"/>
  <c r="U190" i="1"/>
  <c r="U44" i="1"/>
  <c r="U242" i="1"/>
  <c r="U261" i="1"/>
  <c r="U107" i="1"/>
  <c r="U271" i="1"/>
  <c r="U96" i="1"/>
  <c r="U315" i="1"/>
  <c r="U306" i="1"/>
  <c r="U263" i="1"/>
  <c r="U138" i="1"/>
  <c r="U316" i="1"/>
  <c r="U118" i="1"/>
  <c r="U114" i="1"/>
  <c r="U98" i="1"/>
  <c r="U152" i="1"/>
  <c r="U323" i="1"/>
  <c r="U175" i="1"/>
  <c r="U319" i="1"/>
  <c r="U165" i="1"/>
  <c r="U116" i="1"/>
  <c r="U241" i="1"/>
  <c r="U84" i="1"/>
  <c r="U258" i="1"/>
  <c r="U37" i="1"/>
  <c r="U180" i="1"/>
  <c r="U6" i="1"/>
  <c r="U54" i="1"/>
  <c r="U135" i="1"/>
  <c r="U5" i="1"/>
  <c r="U99" i="1"/>
  <c r="U115" i="1"/>
  <c r="U299" i="1"/>
  <c r="U88" i="1"/>
  <c r="U126" i="1"/>
  <c r="U204" i="1"/>
  <c r="U170" i="1"/>
  <c r="U277" i="1"/>
  <c r="U91" i="1"/>
  <c r="U110" i="1"/>
  <c r="U193" i="1"/>
  <c r="U283" i="1"/>
  <c r="U157" i="1"/>
  <c r="U284" i="1"/>
  <c r="U262" i="1"/>
  <c r="U226" i="1"/>
  <c r="U166" i="1"/>
  <c r="U290" i="1"/>
  <c r="U169" i="1"/>
  <c r="U161" i="1"/>
  <c r="U133" i="1"/>
  <c r="U214" i="1"/>
  <c r="U97" i="1"/>
  <c r="U302" i="1"/>
  <c r="U111" i="1"/>
  <c r="U158" i="1"/>
  <c r="U121" i="1"/>
  <c r="U83" i="1"/>
  <c r="U119" i="1"/>
  <c r="U260" i="1"/>
  <c r="U34" i="1"/>
  <c r="U7" i="1"/>
  <c r="U206" i="1"/>
  <c r="U294" i="1"/>
  <c r="U26" i="1"/>
  <c r="U145" i="1"/>
  <c r="U259" i="1"/>
  <c r="U276" i="1"/>
  <c r="U90" i="1"/>
  <c r="U43" i="1"/>
  <c r="U312" i="1"/>
  <c r="U325" i="1"/>
  <c r="U236" i="1"/>
  <c r="U244" i="1"/>
  <c r="U280" i="1"/>
  <c r="U162" i="1"/>
  <c r="U215" i="1"/>
  <c r="U28" i="1"/>
  <c r="U41" i="1"/>
  <c r="U328" i="1"/>
  <c r="U35" i="1"/>
  <c r="U125" i="1"/>
  <c r="U286" i="1"/>
  <c r="U182" i="1"/>
  <c r="U238" i="1"/>
  <c r="U229" i="1"/>
  <c r="U137" i="1"/>
  <c r="U297" i="1"/>
  <c r="U63" i="1"/>
  <c r="U273" i="1"/>
  <c r="U257" i="1"/>
  <c r="U31" i="1"/>
  <c r="U269" i="1"/>
  <c r="U60" i="1"/>
  <c r="U95" i="1"/>
  <c r="U164" i="1"/>
  <c r="U314" i="1"/>
  <c r="U194" i="1"/>
  <c r="U176" i="1"/>
  <c r="U210" i="1"/>
  <c r="U33" i="1"/>
  <c r="U29" i="1"/>
  <c r="U156" i="1"/>
  <c r="U228" i="1"/>
  <c r="U313" i="1"/>
  <c r="U184" i="1"/>
  <c r="U56" i="1"/>
  <c r="U124" i="1"/>
  <c r="U298" i="1"/>
  <c r="U16" i="1"/>
  <c r="U89" i="1"/>
  <c r="U217" i="1"/>
  <c r="U142" i="1"/>
  <c r="U144" i="1"/>
  <c r="U100" i="1"/>
  <c r="U195" i="1"/>
  <c r="U12" i="1"/>
  <c r="U304" i="1"/>
  <c r="U36" i="1"/>
  <c r="U179" i="1"/>
  <c r="U240" i="1"/>
  <c r="U71" i="1"/>
  <c r="U11" i="1"/>
  <c r="U62" i="1"/>
  <c r="U132" i="1"/>
  <c r="U109" i="1"/>
  <c r="U311" i="1"/>
  <c r="U177" i="1"/>
  <c r="U55" i="1"/>
  <c r="U191" i="1"/>
  <c r="U108" i="1"/>
  <c r="U239" i="1"/>
  <c r="U307" i="1"/>
  <c r="U310" i="1"/>
  <c r="U155" i="1"/>
  <c r="U183" i="1"/>
  <c r="U141" i="1"/>
  <c r="U220" i="1"/>
  <c r="U275" i="1"/>
  <c r="U117" i="1"/>
  <c r="U327" i="1"/>
  <c r="U309" i="1"/>
  <c r="U219" i="1"/>
  <c r="U168" i="1"/>
  <c r="U171" i="1"/>
  <c r="U279" i="1"/>
  <c r="U143" i="1"/>
  <c r="U278" i="1"/>
  <c r="U57" i="1"/>
  <c r="U189" i="1"/>
  <c r="U40" i="1"/>
  <c r="U209" i="1"/>
  <c r="U139" i="1"/>
  <c r="U140" i="1"/>
  <c r="U317" i="1"/>
  <c r="U61" i="1"/>
  <c r="U87" i="1"/>
  <c r="U167" i="1"/>
  <c r="U287" i="1"/>
  <c r="U322" i="1"/>
  <c r="U8" i="1"/>
  <c r="U293" i="1"/>
  <c r="U151" i="1"/>
  <c r="U92" i="1"/>
  <c r="U188" i="1"/>
  <c r="U17" i="1"/>
  <c r="U218" i="1"/>
  <c r="U318" i="1"/>
  <c r="U205" i="1"/>
  <c r="U93" i="1"/>
  <c r="U85" i="1"/>
  <c r="U296" i="1"/>
  <c r="U136" i="1"/>
  <c r="U129" i="1"/>
  <c r="U123" i="1"/>
  <c r="U324" i="1"/>
  <c r="U32" i="1"/>
  <c r="F116" i="4"/>
  <c r="U207" i="1"/>
  <c r="F87" i="4"/>
  <c r="U147" i="1"/>
  <c r="F155" i="4"/>
  <c r="U265" i="1"/>
  <c r="F23" i="4"/>
  <c r="U39" i="1"/>
  <c r="F154" i="4"/>
  <c r="U264" i="1"/>
  <c r="F46" i="4"/>
  <c r="U70" i="1"/>
  <c r="F56" i="4"/>
  <c r="U81" i="1"/>
  <c r="F80" i="4"/>
  <c r="U130" i="1"/>
  <c r="F64" i="4"/>
  <c r="U101" i="1"/>
  <c r="F125" i="4"/>
  <c r="U223" i="1"/>
  <c r="F114" i="4"/>
  <c r="U203" i="1"/>
  <c r="F59" i="4"/>
  <c r="U86" i="1"/>
  <c r="F27" i="4"/>
  <c r="U45" i="1"/>
  <c r="F51" i="4"/>
  <c r="U76" i="1"/>
  <c r="F109" i="4"/>
  <c r="U198" i="1"/>
  <c r="F94" i="4"/>
  <c r="U159" i="1"/>
  <c r="F32" i="4"/>
  <c r="U50" i="1"/>
  <c r="F178" i="4"/>
  <c r="U320" i="1"/>
  <c r="F90" i="4"/>
  <c r="U150" i="1"/>
  <c r="F138" i="4"/>
  <c r="U243" i="1"/>
  <c r="F181" i="4"/>
  <c r="U326" i="1"/>
  <c r="F104" i="4"/>
  <c r="U186" i="1"/>
  <c r="F57" i="4"/>
  <c r="U82" i="1"/>
  <c r="F3" i="4"/>
  <c r="U3" i="1"/>
  <c r="F168" i="4"/>
  <c r="U292" i="1"/>
  <c r="F135" i="4"/>
  <c r="U235" i="1"/>
  <c r="F68" i="4"/>
  <c r="U105" i="1"/>
  <c r="F50" i="4"/>
  <c r="U75" i="1"/>
  <c r="F34" i="4"/>
  <c r="U52" i="1"/>
  <c r="F81" i="4"/>
  <c r="U131" i="1"/>
  <c r="F159" i="4"/>
  <c r="U270" i="1"/>
  <c r="F172" i="4"/>
  <c r="U301" i="1"/>
  <c r="F42" i="4"/>
  <c r="U66" i="1"/>
  <c r="F78" i="4"/>
  <c r="U127" i="1"/>
  <c r="F166" i="4"/>
  <c r="U289" i="1"/>
  <c r="F132" i="4"/>
  <c r="U232" i="1"/>
  <c r="F20" i="4"/>
  <c r="U25" i="1"/>
  <c r="F41" i="4"/>
  <c r="U65" i="1"/>
  <c r="F111" i="4"/>
  <c r="U200" i="1"/>
  <c r="F127" i="4"/>
  <c r="U225" i="1"/>
  <c r="F35" i="4"/>
  <c r="U53" i="1"/>
  <c r="F149" i="4"/>
  <c r="U255" i="1"/>
  <c r="F103" i="4"/>
  <c r="U185" i="1"/>
  <c r="F25" i="4"/>
  <c r="U42" i="1"/>
  <c r="F146" i="4"/>
  <c r="U252" i="1"/>
  <c r="F73" i="4"/>
  <c r="U113" i="1"/>
  <c r="F158" i="4"/>
  <c r="U268" i="1"/>
  <c r="F31" i="4"/>
  <c r="U49" i="1"/>
  <c r="F133" i="4"/>
  <c r="U233" i="1"/>
  <c r="F112" i="4"/>
  <c r="U201" i="1"/>
  <c r="F76" i="4"/>
  <c r="U122" i="1"/>
  <c r="F92" i="4"/>
  <c r="U153" i="1"/>
  <c r="F89" i="4"/>
  <c r="U149" i="1"/>
  <c r="F144" i="4"/>
  <c r="U250" i="1"/>
  <c r="F119" i="4"/>
  <c r="U212" i="1"/>
  <c r="F126" i="4"/>
  <c r="U224" i="1"/>
  <c r="F30" i="4"/>
  <c r="U48" i="1"/>
  <c r="F28" i="4"/>
  <c r="U46" i="1"/>
  <c r="F113" i="4"/>
  <c r="U202" i="1"/>
  <c r="F13" i="4"/>
  <c r="U18" i="1"/>
  <c r="F124" i="4"/>
  <c r="U222" i="1"/>
  <c r="F7" i="4"/>
  <c r="U9" i="1"/>
  <c r="F163" i="4"/>
  <c r="U285" i="1"/>
  <c r="F131" i="4"/>
  <c r="U231" i="1"/>
  <c r="F18" i="4"/>
  <c r="U23" i="1"/>
  <c r="F37" i="4"/>
  <c r="U58" i="1"/>
  <c r="F157" i="4"/>
  <c r="U267" i="1"/>
  <c r="F44" i="4"/>
  <c r="U68" i="1"/>
  <c r="F53" i="4"/>
  <c r="U78" i="1"/>
  <c r="F179" i="4"/>
  <c r="U321" i="1"/>
  <c r="F33" i="4"/>
  <c r="U51" i="1"/>
  <c r="F98" i="4"/>
  <c r="U173" i="1"/>
  <c r="F165" i="4"/>
  <c r="U288" i="1"/>
  <c r="F38" i="4"/>
  <c r="U59" i="1"/>
  <c r="F120" i="4"/>
  <c r="U213" i="1"/>
  <c r="F128" i="4"/>
  <c r="U227" i="1"/>
  <c r="F14" i="4"/>
  <c r="U19" i="1"/>
  <c r="F123" i="4"/>
  <c r="U221" i="1"/>
  <c r="F54" i="4"/>
  <c r="U79" i="1"/>
  <c r="F130" i="4"/>
  <c r="U230" i="1"/>
  <c r="F141" i="4"/>
  <c r="U247" i="1"/>
  <c r="F110" i="4"/>
  <c r="U199" i="1"/>
  <c r="F107" i="4"/>
  <c r="U196" i="1"/>
  <c r="F66" i="4"/>
  <c r="U103" i="1"/>
  <c r="F29" i="4"/>
  <c r="U47" i="1"/>
  <c r="F55" i="4"/>
  <c r="U80" i="1"/>
  <c r="F145" i="4"/>
  <c r="U251" i="1"/>
  <c r="F17" i="4"/>
  <c r="U22" i="1"/>
  <c r="F167" i="4"/>
  <c r="U291" i="1"/>
  <c r="F2" i="4"/>
  <c r="U2" i="1"/>
  <c r="F49" i="4"/>
  <c r="U74" i="1"/>
  <c r="F15" i="4"/>
  <c r="U20" i="1"/>
  <c r="F170" i="4"/>
  <c r="U295" i="1"/>
  <c r="F147" i="4"/>
  <c r="U253" i="1"/>
  <c r="F174" i="4"/>
  <c r="U305" i="1"/>
  <c r="F99" i="4"/>
  <c r="U174" i="1"/>
  <c r="F156" i="4"/>
  <c r="U266" i="1"/>
  <c r="F11" i="4"/>
  <c r="U14" i="1"/>
  <c r="F142" i="4"/>
  <c r="U248" i="1"/>
  <c r="F117" i="4"/>
  <c r="U208" i="1"/>
  <c r="F101" i="4"/>
  <c r="U181" i="1"/>
  <c r="F52" i="4"/>
  <c r="U77" i="1"/>
  <c r="F40" i="4"/>
  <c r="U64" i="1"/>
  <c r="F143" i="4"/>
  <c r="U249" i="1"/>
  <c r="F62" i="4"/>
  <c r="U94" i="1"/>
  <c r="F47" i="4"/>
  <c r="U72" i="1"/>
  <c r="F173" i="4"/>
  <c r="U303" i="1"/>
  <c r="F16" i="4"/>
  <c r="U21" i="1"/>
  <c r="F22" i="4"/>
  <c r="U38" i="1"/>
  <c r="F4" i="4"/>
  <c r="U4" i="1"/>
  <c r="F8" i="4"/>
  <c r="U10" i="1"/>
  <c r="F108" i="4"/>
  <c r="U197" i="1"/>
  <c r="F150" i="4"/>
  <c r="U256" i="1"/>
  <c r="F19" i="4"/>
  <c r="U24" i="1"/>
  <c r="F148" i="4"/>
  <c r="U254" i="1"/>
  <c r="F67" i="4"/>
  <c r="U104" i="1"/>
  <c r="F43" i="4"/>
  <c r="U67" i="1"/>
  <c r="F45" i="4"/>
  <c r="U69" i="1"/>
  <c r="F10" i="4"/>
  <c r="U13" i="1"/>
  <c r="F88" i="4"/>
  <c r="U148" i="1"/>
  <c r="F86" i="4"/>
  <c r="U146" i="1"/>
  <c r="F139" i="4"/>
  <c r="U245" i="1"/>
  <c r="F65" i="4"/>
  <c r="U102" i="1"/>
  <c r="F140" i="4"/>
  <c r="U246" i="1"/>
  <c r="F134" i="4"/>
  <c r="U234" i="1"/>
  <c r="F69" i="4"/>
  <c r="U106" i="1"/>
  <c r="F72" i="4"/>
  <c r="U112" i="1"/>
  <c r="F48" i="4"/>
  <c r="U73" i="1"/>
  <c r="F79" i="4"/>
  <c r="U128" i="1"/>
  <c r="F75" i="4"/>
  <c r="F152" i="4"/>
  <c r="F96" i="4"/>
  <c r="F71" i="4"/>
  <c r="F115" i="4"/>
  <c r="F85" i="4"/>
  <c r="F176" i="4"/>
  <c r="F58" i="4"/>
  <c r="F26" i="4"/>
  <c r="F118" i="4"/>
  <c r="F153" i="4"/>
  <c r="F164" i="4"/>
  <c r="F161" i="4"/>
  <c r="F84" i="4"/>
  <c r="F70" i="4"/>
  <c r="F180" i="4"/>
  <c r="F169" i="4"/>
  <c r="F82" i="4"/>
  <c r="F175" i="4"/>
  <c r="F137" i="4"/>
  <c r="F9" i="4"/>
  <c r="F60" i="4"/>
  <c r="F24" i="4"/>
  <c r="F39" i="4"/>
  <c r="F136" i="4"/>
  <c r="F83" i="4"/>
  <c r="F171" i="4"/>
  <c r="F160" i="4"/>
  <c r="F105" i="4"/>
  <c r="F122" i="4"/>
  <c r="F177" i="4"/>
  <c r="F12" i="4"/>
  <c r="F162" i="4"/>
  <c r="F74" i="4"/>
  <c r="F91" i="4"/>
  <c r="F63" i="4"/>
  <c r="F21" i="4"/>
  <c r="F6" i="4"/>
  <c r="F182" i="4"/>
  <c r="F61" i="4"/>
  <c r="F36" i="4"/>
  <c r="F97" i="4"/>
  <c r="F102" i="4"/>
  <c r="F151" i="4"/>
  <c r="F121" i="4"/>
  <c r="F100" i="4"/>
  <c r="F129" i="4"/>
  <c r="F95" i="4"/>
  <c r="F5" i="4"/>
  <c r="F77" i="4"/>
  <c r="F106" i="4"/>
  <c r="F9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<sst xmlns="http://schemas.openxmlformats.org/spreadsheetml/2006/main" count="2651" uniqueCount="257">
  <si>
    <t>Disturbance</t>
  </si>
  <si>
    <t>Species</t>
  </si>
  <si>
    <t>Status</t>
  </si>
  <si>
    <t>Length</t>
  </si>
  <si>
    <t>Height</t>
  </si>
  <si>
    <t>Notes</t>
  </si>
  <si>
    <t>TN</t>
  </si>
  <si>
    <t>B2</t>
  </si>
  <si>
    <t>NA</t>
  </si>
  <si>
    <t>F</t>
  </si>
  <si>
    <t>B4</t>
  </si>
  <si>
    <t>S</t>
  </si>
  <si>
    <t>B3</t>
  </si>
  <si>
    <t>B1</t>
  </si>
  <si>
    <t>fire</t>
  </si>
  <si>
    <t>mature_forest</t>
  </si>
  <si>
    <t>GM</t>
  </si>
  <si>
    <t>insect</t>
  </si>
  <si>
    <t>Park_ID</t>
  </si>
  <si>
    <t>Site_ID</t>
  </si>
  <si>
    <t>Excl_Ctrl</t>
  </si>
  <si>
    <t>Subplot_ID</t>
  </si>
  <si>
    <t>EX</t>
  </si>
  <si>
    <t>CTRL</t>
  </si>
  <si>
    <t>Decay_Class</t>
  </si>
  <si>
    <t>Diameter_A</t>
  </si>
  <si>
    <t>Diameter_B</t>
  </si>
  <si>
    <t>Diameter_C</t>
  </si>
  <si>
    <t>Diameter_D</t>
  </si>
  <si>
    <t>eq</t>
  </si>
  <si>
    <t>eq param</t>
  </si>
  <si>
    <t>H</t>
  </si>
  <si>
    <t>T</t>
  </si>
  <si>
    <t>DW_type</t>
  </si>
  <si>
    <t>Status (S/F/T)</t>
  </si>
  <si>
    <t>Decay class</t>
  </si>
  <si>
    <t>Hardwood or softwood</t>
  </si>
  <si>
    <t>Equation</t>
  </si>
  <si>
    <t>volume eq (cm3)</t>
  </si>
  <si>
    <t>avg density (g/cm3)</t>
  </si>
  <si>
    <t>density std error</t>
  </si>
  <si>
    <t>citation</t>
  </si>
  <si>
    <t>Clean Eq</t>
  </si>
  <si>
    <t>=volume * avg density</t>
  </si>
  <si>
    <t>(pi*X2*100/32)*((a+b)^2 + (c+d)^2)</t>
  </si>
  <si>
    <t>(Harmon et al. 2011)</t>
  </si>
  <si>
    <t>*standing deadwood avg density used for stumps</t>
  </si>
  <si>
    <t>F_1_H</t>
  </si>
  <si>
    <t>F_2_NA</t>
  </si>
  <si>
    <t>F_1_NA</t>
  </si>
  <si>
    <t>__</t>
  </si>
  <si>
    <t>Length or Height</t>
  </si>
  <si>
    <t>dw_carbon_9m2</t>
  </si>
  <si>
    <t>Site_Subplot_ID</t>
  </si>
  <si>
    <t>GM_1_CTRL_B1</t>
  </si>
  <si>
    <t>GM_1_CTRL_B2</t>
  </si>
  <si>
    <t>GM_1_CTRL_B3</t>
  </si>
  <si>
    <t>GM_1_CTRL_B4</t>
  </si>
  <si>
    <t>GM_1_EX_B1</t>
  </si>
  <si>
    <t>GM_1_EX_B2</t>
  </si>
  <si>
    <t>GM_1_EX_B3</t>
  </si>
  <si>
    <t>GM_10_NA_B1</t>
  </si>
  <si>
    <t>GM_10_NA_B2</t>
  </si>
  <si>
    <t>GM_10_NA_B3</t>
  </si>
  <si>
    <t>GM_10_NA_B4</t>
  </si>
  <si>
    <t>GM_11_NA_B1</t>
  </si>
  <si>
    <t>GM_11_NA_B2</t>
  </si>
  <si>
    <t>GM_11_NA_B3</t>
  </si>
  <si>
    <t>GM_11_NA_B4</t>
  </si>
  <si>
    <t>GM_12_NA_B1</t>
  </si>
  <si>
    <t>GM_12_NA_B2</t>
  </si>
  <si>
    <t>GM_12_NA_B3</t>
  </si>
  <si>
    <t>GM_12_NA_B4</t>
  </si>
  <si>
    <t>GM_13_CTRL_B1</t>
  </si>
  <si>
    <t>GM_13_CTRL_B2</t>
  </si>
  <si>
    <t>GM_13_CTRL_B3</t>
  </si>
  <si>
    <t>GM_13_CTRL_B4</t>
  </si>
  <si>
    <t>GM_13_EX_B1</t>
  </si>
  <si>
    <t>GM_13_EX_B2</t>
  </si>
  <si>
    <t>GM_13_EX_B3</t>
  </si>
  <si>
    <t>GM_14_NA_B1</t>
  </si>
  <si>
    <t>GM_14_NA_B2</t>
  </si>
  <si>
    <t>GM_14_NA_B3</t>
  </si>
  <si>
    <t>GM_14_NA_B4</t>
  </si>
  <si>
    <t>GM_15_NA_B1</t>
  </si>
  <si>
    <t>GM_15_NA_B2</t>
  </si>
  <si>
    <t>GM_15_NA_B3</t>
  </si>
  <si>
    <t>GM_15_NA_B4</t>
  </si>
  <si>
    <t>GM_16_NA_B1</t>
  </si>
  <si>
    <t>GM_16_NA_B2</t>
  </si>
  <si>
    <t>GM_16_NA_B3</t>
  </si>
  <si>
    <t>GM_16_NA_B4</t>
  </si>
  <si>
    <t>GM_17_NA_B1</t>
  </si>
  <si>
    <t>GM_17_NA_B2</t>
  </si>
  <si>
    <t>GM_17_NA_B3</t>
  </si>
  <si>
    <t>GM_17_NA_B4</t>
  </si>
  <si>
    <t>GM_18_NA_B1</t>
  </si>
  <si>
    <t>GM_18_NA_B2</t>
  </si>
  <si>
    <t>GM_18_NA_B3</t>
  </si>
  <si>
    <t>GM_18_NA_B4</t>
  </si>
  <si>
    <t>GM_2_NA_B1</t>
  </si>
  <si>
    <t>GM_2_NA_B2</t>
  </si>
  <si>
    <t>GM_2_NA_B3</t>
  </si>
  <si>
    <t>GM_2_NA_B4</t>
  </si>
  <si>
    <t>GM_3_NA_B1</t>
  </si>
  <si>
    <t>GM_3_NA_B2</t>
  </si>
  <si>
    <t>GM_3_NA_B3</t>
  </si>
  <si>
    <t>GM_3_NA_B4</t>
  </si>
  <si>
    <t>GM_35_NA_B1</t>
  </si>
  <si>
    <t>GM_35_NA_B2</t>
  </si>
  <si>
    <t>GM_35_NA_B3</t>
  </si>
  <si>
    <t>GM_35_NA_B4</t>
  </si>
  <si>
    <t>GM_36_NA_B1</t>
  </si>
  <si>
    <t>GM_36_NA_B2</t>
  </si>
  <si>
    <t>GM_36_NA_B3</t>
  </si>
  <si>
    <t>GM_36_NA_B4</t>
  </si>
  <si>
    <t>GM_4_NA_B1</t>
  </si>
  <si>
    <t>GM_4_NA_B2</t>
  </si>
  <si>
    <t>GM_4_NA_B3</t>
  </si>
  <si>
    <t>GM_4_NA_B4</t>
  </si>
  <si>
    <t>GM_5_CTRL_B1</t>
  </si>
  <si>
    <t>GM_5_CTRL_B2</t>
  </si>
  <si>
    <t>GM_5_CTRL_B3</t>
  </si>
  <si>
    <t>GM_5_CTRL_B4</t>
  </si>
  <si>
    <t>GM_5_EX_B1</t>
  </si>
  <si>
    <t>GM_5_EX_B2</t>
  </si>
  <si>
    <t>GM_5_EX_B3</t>
  </si>
  <si>
    <t>GM_6_NA_B1</t>
  </si>
  <si>
    <t>GM_6_NA_B2</t>
  </si>
  <si>
    <t>GM_6_NA_B3</t>
  </si>
  <si>
    <t>GM_6_NA_B4</t>
  </si>
  <si>
    <t>GM_7_NA_B1</t>
  </si>
  <si>
    <t>GM_7_NA_B2</t>
  </si>
  <si>
    <t>GM_7_NA_B3</t>
  </si>
  <si>
    <t>GM_7_NA_B4</t>
  </si>
  <si>
    <t>GM_8_NA_B1</t>
  </si>
  <si>
    <t>GM_8_NA_B2</t>
  </si>
  <si>
    <t>GM_8_NA_B3</t>
  </si>
  <si>
    <t>GM_8_NA_B4</t>
  </si>
  <si>
    <t>GM_9_NA_B1</t>
  </si>
  <si>
    <t>GM_9_NA_B2</t>
  </si>
  <si>
    <t>GM_9_NA_B3</t>
  </si>
  <si>
    <t>GM_9_NA_B4</t>
  </si>
  <si>
    <t>TN_19_CTRL_B1</t>
  </si>
  <si>
    <t>TN_19_CTRL_B2</t>
  </si>
  <si>
    <t>TN_19_CTRL_B3</t>
  </si>
  <si>
    <t>TN_19_CTRL_B4</t>
  </si>
  <si>
    <t>TN_19_EX_B1</t>
  </si>
  <si>
    <t>TN_19_EX_B2</t>
  </si>
  <si>
    <t>TN_19_EX_B3</t>
  </si>
  <si>
    <t>TN_19_EX_B4</t>
  </si>
  <si>
    <t>TN_20_CTRL_B1</t>
  </si>
  <si>
    <t>TN_20_CTRL_B2</t>
  </si>
  <si>
    <t>TN_20_CTRL_B3</t>
  </si>
  <si>
    <t>TN_20_CTRL_B4</t>
  </si>
  <si>
    <t>TN_20_EX_B1</t>
  </si>
  <si>
    <t>TN_20_EX_B2</t>
  </si>
  <si>
    <t>TN_20_EX_B3</t>
  </si>
  <si>
    <t>TN_20_EX_B4</t>
  </si>
  <si>
    <t>TN_21_CTRL_B1</t>
  </si>
  <si>
    <t>TN_21_CTRL_B2</t>
  </si>
  <si>
    <t>TN_21_CTRL_B3</t>
  </si>
  <si>
    <t>TN_21_CTRL_B4</t>
  </si>
  <si>
    <t>TN_21_EX_B1</t>
  </si>
  <si>
    <t>TN_21_EX_B2</t>
  </si>
  <si>
    <t>TN_21_EX_B3</t>
  </si>
  <si>
    <t>TN_21_EX_B4</t>
  </si>
  <si>
    <t>TN_22_CTRL_B1</t>
  </si>
  <si>
    <t>TN_22_CTRL_B2</t>
  </si>
  <si>
    <t>TN_22_CTRL_B3</t>
  </si>
  <si>
    <t>TN_22_CTRL_B4</t>
  </si>
  <si>
    <t>TN_22_EX_B1</t>
  </si>
  <si>
    <t>TN_22_EX_B2</t>
  </si>
  <si>
    <t>TN_22_EX_B3</t>
  </si>
  <si>
    <t>TN_22_EX_B4</t>
  </si>
  <si>
    <t>TN_23_NA_B1</t>
  </si>
  <si>
    <t>TN_23_NA_B2</t>
  </si>
  <si>
    <t>TN_23_NA_B3</t>
  </si>
  <si>
    <t>TN_23_NA_B4</t>
  </si>
  <si>
    <t>TN_24_NA_B1</t>
  </si>
  <si>
    <t>TN_24_NA_B2</t>
  </si>
  <si>
    <t>TN_24_NA_B3</t>
  </si>
  <si>
    <t>TN_24_NA_B4</t>
  </si>
  <si>
    <t>TN_25_CTRL_B1</t>
  </si>
  <si>
    <t>TN_25_CTRL_B2</t>
  </si>
  <si>
    <t>TN_25_CTRL_B3</t>
  </si>
  <si>
    <t>TN_25_CTRL_B4</t>
  </si>
  <si>
    <t>TN_25_EX_B1</t>
  </si>
  <si>
    <t>TN_25_EX_B2</t>
  </si>
  <si>
    <t>TN_25_EX_B3</t>
  </si>
  <si>
    <t>TN_25_EX_B4</t>
  </si>
  <si>
    <t>TN_26_NA_B1</t>
  </si>
  <si>
    <t>TN_26_NA_B2</t>
  </si>
  <si>
    <t>TN_26_NA_B3</t>
  </si>
  <si>
    <t>TN_26_NA_B4</t>
  </si>
  <si>
    <t>TN_27_NA_B1</t>
  </si>
  <si>
    <t>TN_27_NA_B2</t>
  </si>
  <si>
    <t>TN_27_NA_B3</t>
  </si>
  <si>
    <t>TN_27_NA_B4</t>
  </si>
  <si>
    <t>TN_28_NA_B1</t>
  </si>
  <si>
    <t>TN_28_NA_B2</t>
  </si>
  <si>
    <t>TN_28_NA_B3</t>
  </si>
  <si>
    <t>TN_28_NA_B4</t>
  </si>
  <si>
    <t>TN_29_NA_B1</t>
  </si>
  <si>
    <t>TN_29_NA_B2</t>
  </si>
  <si>
    <t>TN_29_NA_B3</t>
  </si>
  <si>
    <t>TN_29_NA_B4</t>
  </si>
  <si>
    <t>TN_30_NA_B1</t>
  </si>
  <si>
    <t>TN_30_NA_B2</t>
  </si>
  <si>
    <t>TN_30_NA_B3</t>
  </si>
  <si>
    <t>TN_30_NA_B4</t>
  </si>
  <si>
    <t>TN_31_CTRL_B1</t>
  </si>
  <si>
    <t>TN_31_CTRL_B2</t>
  </si>
  <si>
    <t>TN_31_CTRL_B3</t>
  </si>
  <si>
    <t>TN_31_CTRL_B4</t>
  </si>
  <si>
    <t>TN_31_EX_B1</t>
  </si>
  <si>
    <t>TN_31_EX_B2</t>
  </si>
  <si>
    <t>TN_31_EX_B3</t>
  </si>
  <si>
    <t>TN_31_EX_B4</t>
  </si>
  <si>
    <t>TN_32_NA_B1</t>
  </si>
  <si>
    <t>TN_32_NA_B2</t>
  </si>
  <si>
    <t>TN_32_NA_B3</t>
  </si>
  <si>
    <t>TN_32_NA_B4</t>
  </si>
  <si>
    <t>TN_33_NA_B1</t>
  </si>
  <si>
    <t>TN_33_NA_B2</t>
  </si>
  <si>
    <t>TN_33_NA_B3</t>
  </si>
  <si>
    <t>TN_33_NA_B4</t>
  </si>
  <si>
    <t>TN_34_CTRL_B1</t>
  </si>
  <si>
    <t>TN_34_CTRL_B2</t>
  </si>
  <si>
    <t>TN_34_CTRL_B3</t>
  </si>
  <si>
    <t>TN_34_CTRL_B4</t>
  </si>
  <si>
    <t>TN_34_EX_B1</t>
  </si>
  <si>
    <t>TN_34_EX_B2</t>
  </si>
  <si>
    <t>TN_34_EX_B3</t>
  </si>
  <si>
    <t>TN_34_EX_B4</t>
  </si>
  <si>
    <t>convert diam to m</t>
  </si>
  <si>
    <t>carbon</t>
  </si>
  <si>
    <t>OG_DW</t>
  </si>
  <si>
    <t>Try to transform</t>
  </si>
  <si>
    <t>approximate dbh</t>
  </si>
  <si>
    <t>number of dw</t>
  </si>
  <si>
    <t>C in balsam fir of same dimensions (multiplied by number of dw in quadrat)</t>
  </si>
  <si>
    <t>try formula convert diam to m</t>
  </si>
  <si>
    <t>f accidentally didn’t convert cm to m</t>
  </si>
  <si>
    <t>accidentally didn’t convert cm to m</t>
  </si>
  <si>
    <t>volume</t>
  </si>
  <si>
    <t>biomass</t>
  </si>
  <si>
    <t>(0.0000598*((X4^2)*X2)^0.946)*(1.0-0.0019*X4)*1000000</t>
  </si>
  <si>
    <t>(0.0000598*((X4^2)*X2)^0.946)*(1.0-0.0019*X4)*1000001</t>
  </si>
  <si>
    <t>(0.0000598*((X4^2)*X2)^0.946)*(1.0-0.0019*X4)*1000002</t>
  </si>
  <si>
    <t>(0.0000598*((X4^2)*X2)^0.946)*(1.0-0.0019*X4)*1000003</t>
  </si>
  <si>
    <t>(0.0000598*((X4^2)*X2)^0.946)*(1.0-0.0019*X4)*1000004</t>
  </si>
  <si>
    <t>(0.0000598*((X4^2)*X2)^0.946)*(1.0-0.0019*X4)*1000005</t>
  </si>
  <si>
    <t>(0.0000598*((X4^2)*X2)^0.946)*(1.0-0.0019*X4)*1000006</t>
  </si>
  <si>
    <t>(0.0000598*((X4^2)*X2)^0.946)*(1.0-0.0019*X4)*1000007</t>
  </si>
  <si>
    <t>(0.0000598*((X4^2)*X2)^0.946)*(1.0-0.0019*X4)*1000008</t>
  </si>
  <si>
    <t>(0.0000598*((X4^2)*X2)^0.946)*(1.0-0.0019*X4)*1000009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</si>
</sst>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Docs-Roboto"/>
    </font>
    <font>
      <sz val="10"/>
      <color rgb="FF000000"/>
      <name val="Roboto"/>
    </font>
    <font>
      <sz val="10"/>
      <color theme="1"/>
      <name val="Arial"/>
      <family val="2"/>
    </font>
    <font>
      <sz val="12"/>
      <color rgb="FF000000"/>
      <name val="Calibri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sz val="12"/>
      <color theme="1"/>
      <name val="Calibri"/>
      <family val="2"/>
    </font>
    <font>
      <sz val="8"/>
      <name val="Arial"/>
      <family val="2"/>
      <scheme val="minor"/>
    </font>
    <font>
      <sz val="11"/>
      <color rgb="FF00000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15" fillId="0" borderId="1"/>
  </cellStyleXfs>
  <cellXfs count="29">
    <xf numFmtId="0" fontId="0" fillId="0" borderId="0" xfId="0"/>
    <xf numFmtId="0" fontId="4" fillId="0" borderId="1" xfId="0" applyFont="1" applyBorder="1"/>
    <xf numFmtId="0" fontId="6" fillId="0" borderId="1" xfId="0" applyFont="1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right"/>
    </xf>
    <xf numFmtId="0" fontId="7" fillId="0" borderId="1" xfId="0" applyFont="1" applyBorder="1" applyAlignment="1">
      <alignment horizontal="right"/>
    </xf>
    <xf numFmtId="0" fontId="10" fillId="0" borderId="1" xfId="0" applyFont="1" applyBorder="1"/>
    <xf numFmtId="0" fontId="10" fillId="0" borderId="1" xfId="0" applyFont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4" fillId="2" borderId="1" xfId="0" applyFont="1" applyFill="1" applyBorder="1"/>
    <xf numFmtId="0" fontId="6" fillId="2" borderId="1" xfId="0" applyFont="1" applyFill="1" applyBorder="1"/>
    <xf numFmtId="0" fontId="8" fillId="0" borderId="1" xfId="0" applyFont="1" applyBorder="1" applyAlignment="1">
      <alignment horizontal="right"/>
    </xf>
    <xf numFmtId="0" fontId="13" fillId="0" borderId="3" xfId="0" applyFont="1" applyBorder="1"/>
    <xf numFmtId="0" fontId="13" fillId="0" borderId="2" xfId="0" applyFont="1" applyBorder="1"/>
    <xf numFmtId="0" fontId="2" fillId="0" borderId="2" xfId="0" applyFont="1" applyBorder="1"/>
    <xf numFmtId="0" fontId="2" fillId="0" borderId="0" xfId="0" quotePrefix="1" applyFont="1"/>
    <xf numFmtId="0" fontId="2" fillId="0" borderId="0" xfId="0" applyFont="1"/>
    <xf numFmtId="0" fontId="12" fillId="0" borderId="0" xfId="0" applyFont="1"/>
    <xf numFmtId="0" fontId="3" fillId="0" borderId="1" xfId="0" applyFont="1" applyBorder="1"/>
    <xf numFmtId="0" fontId="11" fillId="0" borderId="1" xfId="0" applyFont="1" applyBorder="1"/>
    <xf numFmtId="0" fontId="0" fillId="0" borderId="1" xfId="0" applyBorder="1"/>
    <xf numFmtId="0" fontId="8" fillId="0" borderId="1" xfId="0" applyFont="1" applyBorder="1"/>
    <xf numFmtId="0" fontId="7" fillId="0" borderId="1" xfId="0" applyFont="1" applyBorder="1"/>
    <xf numFmtId="0" fontId="9" fillId="0" borderId="1" xfId="0" applyFont="1" applyBorder="1"/>
    <xf numFmtId="0" fontId="15" fillId="0" borderId="1" xfId="1"/>
    <xf numFmtId="0" fontId="0" fillId="2" borderId="1" xfId="0" applyFill="1" applyBorder="1"/>
    <xf numFmtId="0" fontId="0" fillId="2" borderId="0" xfId="0" applyFill="1"/>
    <xf numFmtId="0" fontId="12" fillId="2" borderId="0" xfId="0" applyFont="1" applyFill="1"/>
    <xf numFmtId="0" fontId="1" fillId="0" borderId="0" xfId="0" quotePrefix="1" applyFont="1"/>
  </cellXfs>
  <cellStyles count="2">
    <cellStyle name="Normal" xfId="0" builtinId="0"/>
    <cellStyle name="Normal 2" xfId="1" xr:uid="{A8CB9FCD-FA5E-604D-8316-4FE95CB27C2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50E29-5909-E649-8186-7F01A8892623}">
  <dimension ref="A1:M182"/>
  <sheetViews>
    <sheetView tabSelected="1" workbookViewId="0">
      <selection activeCell="F30" sqref="F30"/>
    </sheetView>
  </sheetViews>
  <sheetFormatPr baseColWidth="10" defaultRowHeight="13"/>
  <cols>
    <col min="1" max="1" width="15.33203125" bestFit="1" customWidth="1"/>
    <col min="6" max="6" width="14.6640625" bestFit="1" customWidth="1"/>
    <col min="7" max="7" width="12.1640625" bestFit="1" customWidth="1"/>
    <col min="8" max="8" width="14.1640625" bestFit="1" customWidth="1"/>
    <col min="9" max="10" width="14.1640625" customWidth="1"/>
    <col min="11" max="11" width="63.83203125" bestFit="1" customWidth="1"/>
    <col min="12" max="12" width="19.6640625" customWidth="1"/>
    <col min="13" max="13" width="29.5" bestFit="1" customWidth="1"/>
  </cols>
  <sheetData>
    <row r="1" spans="1:13">
      <c r="A1" s="18" t="s">
        <v>53</v>
      </c>
      <c r="B1" s="18" t="s">
        <v>18</v>
      </c>
      <c r="C1" s="18" t="s">
        <v>19</v>
      </c>
      <c r="D1" s="18" t="s">
        <v>20</v>
      </c>
      <c r="E1" s="18" t="s">
        <v>21</v>
      </c>
      <c r="F1" s="18" t="s">
        <v>52</v>
      </c>
      <c r="G1" s="18" t="s">
        <v>237</v>
      </c>
      <c r="H1" s="18" t="s">
        <v>238</v>
      </c>
      <c r="I1" s="18" t="s">
        <v>239</v>
      </c>
      <c r="J1" s="18" t="s">
        <v>240</v>
      </c>
      <c r="K1" s="18" t="s">
        <v>241</v>
      </c>
      <c r="L1" s="18" t="s">
        <v>242</v>
      </c>
      <c r="M1" s="18" t="s">
        <v>244</v>
      </c>
    </row>
    <row r="2" spans="1:13">
      <c r="A2" t="s">
        <v>54</v>
      </c>
      <c r="B2" t="str">
        <f t="shared" ref="B2:B33" si="0">LEFT(A2,2)</f>
        <v>GM</v>
      </c>
      <c r="C2" t="str">
        <f t="shared" ref="C2:C33" si="1">MID(A2,SEARCH("_",A2)+1,SEARCH("_",A2,SEARCH("_",A2)+1)-SEARCH("_",A2)-1)</f>
        <v>1</v>
      </c>
      <c r="D2" t="str">
        <f t="shared" ref="D2:D33" si="2">MID(A2,SEARCH("_",A2,4)+1,SEARCH("_",A2,SEARCH("_",A2,4)+1)-SEARCH("_",A2,4)-1)</f>
        <v>CTRL</v>
      </c>
      <c r="E2" t="str">
        <f t="shared" ref="E2:E33" si="3">RIGHT(A2,1)</f>
        <v>1</v>
      </c>
      <c r="F2">
        <f>SUMIF(Sheet1!$F$2:$F$329,A2,Sheet1!$T$2:$T$329)</f>
        <v>0</v>
      </c>
      <c r="G2">
        <f>VLOOKUP(A2,og_dw!$A$2:$B$182,2,)</f>
        <v>0</v>
      </c>
      <c r="H2">
        <f>G2*(VLOOKUP(VLOOKUP(A2,Sheet1!$F$2:$J$329,5,),eq!$D$2:$G$42,4,)/1000)/2</f>
        <v>0</v>
      </c>
      <c r="I2" s="17" t="e">
        <f ca="1">AVERAGEIF(Sheet1!$F$2:$F$329,A2,Sheet1!$K$2:$N$21)</f>
        <v>#DIV/0!</v>
      </c>
      <c r="J2" s="17">
        <f>COUNTIF(Sheet1!$F$2:$F$329,A2)</f>
        <v>1</v>
      </c>
      <c r="K2" t="e">
        <f ca="1">(0.0534*(I2^2.403)+0.0115*(I2^2.3484)+0.007*(I2^2.5406)+0.084*(I2^1.6695))*1000*J2/2</f>
        <v>#DIV/0!</v>
      </c>
      <c r="L2" t="e">
        <f>SUMIF(Sheet1!$F$2:$F$329,A2,Sheet1!$W$2:$W$329)</f>
        <v>#VALUE!</v>
      </c>
      <c r="M2" t="e">
        <f>SUMIF(Sheet1!$F$2:$F$329,A2,Sheet1!$X$2:$X$329)</f>
        <v>#VALUE!</v>
      </c>
    </row>
    <row r="3" spans="1:13">
      <c r="A3" t="s">
        <v>55</v>
      </c>
      <c r="B3" t="str">
        <f t="shared" si="0"/>
        <v>GM</v>
      </c>
      <c r="C3" t="str">
        <f t="shared" si="1"/>
        <v>1</v>
      </c>
      <c r="D3" t="str">
        <f t="shared" si="2"/>
        <v>CTRL</v>
      </c>
      <c r="E3" t="str">
        <f t="shared" si="3"/>
        <v>2</v>
      </c>
      <c r="F3">
        <f>SUMIF(Sheet1!$F$2:$F$329,A3,Sheet1!$T$2:$T$329)</f>
        <v>0</v>
      </c>
      <c r="G3">
        <f>VLOOKUP(A3,og_dw!$A$2:$B$182,2,)</f>
        <v>0</v>
      </c>
      <c r="H3">
        <f>G3*(VLOOKUP(VLOOKUP(A3,Sheet1!$F$2:$J$329,5,),eq!$D$2:$G$42,4,)/1000)/2</f>
        <v>0</v>
      </c>
      <c r="I3" s="17" t="e">
        <f ca="1">AVERAGEIF(Sheet1!$F$2:$F$329,A3,Sheet1!$K$2:$N$21)</f>
        <v>#DIV/0!</v>
      </c>
      <c r="J3" s="17">
        <f>COUNTIF(Sheet1!$F$2:$F$329,A3)</f>
        <v>1</v>
      </c>
      <c r="K3" t="e">
        <f t="shared" ref="K3:K66" ca="1" si="4">(0.0534*(I3^2.403)+0.0115*(I3^2.3484)+0.007*(I3^2.5406)+0.084*(I3^1.6695))*1000*J3/2</f>
        <v>#DIV/0!</v>
      </c>
      <c r="L3" t="e">
        <f>SUMIF(Sheet1!$F$2:$F$329,A3,Sheet1!$W$2:$W$329)</f>
        <v>#VALUE!</v>
      </c>
      <c r="M3" t="e">
        <f>SUMIF(Sheet1!$F$2:$F$329,A3,Sheet1!$X$2:$X$329)</f>
        <v>#VALUE!</v>
      </c>
    </row>
    <row r="4" spans="1:13">
      <c r="A4" t="s">
        <v>56</v>
      </c>
      <c r="B4" t="str">
        <f t="shared" si="0"/>
        <v>GM</v>
      </c>
      <c r="C4" t="str">
        <f t="shared" si="1"/>
        <v>1</v>
      </c>
      <c r="D4" t="str">
        <f t="shared" si="2"/>
        <v>CTRL</v>
      </c>
      <c r="E4" t="str">
        <f t="shared" si="3"/>
        <v>3</v>
      </c>
      <c r="F4">
        <f>SUMIF(Sheet1!$F$2:$F$329,A4,Sheet1!$T$2:$T$329)</f>
        <v>0</v>
      </c>
      <c r="G4">
        <f>VLOOKUP(A4,og_dw!$A$2:$B$182,2,)</f>
        <v>0</v>
      </c>
      <c r="H4">
        <f>G4*(VLOOKUP(VLOOKUP(A4,Sheet1!$F$2:$J$329,5,),eq!$D$2:$G$42,4,)/1000)/2</f>
        <v>0</v>
      </c>
      <c r="I4" s="17" t="e">
        <f ca="1">AVERAGEIF(Sheet1!$F$2:$F$329,A4,Sheet1!$K$2:$N$21)</f>
        <v>#DIV/0!</v>
      </c>
      <c r="J4" s="17">
        <f>COUNTIF(Sheet1!$F$2:$F$329,A4)</f>
        <v>1</v>
      </c>
      <c r="K4" t="e">
        <f t="shared" ca="1" si="4"/>
        <v>#DIV/0!</v>
      </c>
      <c r="L4" t="e">
        <f>SUMIF(Sheet1!$F$2:$F$329,A4,Sheet1!$W$2:$W$329)</f>
        <v>#VALUE!</v>
      </c>
      <c r="M4" t="e">
        <f>SUMIF(Sheet1!$F$2:$F$329,A4,Sheet1!$X$2:$X$329)</f>
        <v>#VALUE!</v>
      </c>
    </row>
    <row r="5" spans="1:13" s="26" customFormat="1">
      <c r="A5" s="26" t="s">
        <v>57</v>
      </c>
      <c r="B5" s="26" t="str">
        <f t="shared" si="0"/>
        <v>GM</v>
      </c>
      <c r="C5" s="26" t="str">
        <f t="shared" si="1"/>
        <v>1</v>
      </c>
      <c r="D5" s="26" t="str">
        <f t="shared" si="2"/>
        <v>CTRL</v>
      </c>
      <c r="E5" s="26" t="str">
        <f t="shared" si="3"/>
        <v>4</v>
      </c>
      <c r="F5" s="26">
        <f>SUMIF(Sheet1!$F$2:$F$329,A5,Sheet1!$T$2:$T$329)</f>
        <v>5915.5459879140617</v>
      </c>
      <c r="G5" s="26">
        <f>VLOOKUP(A5,og_dw!$A$2:$B$182,2,)</f>
        <v>62374316.622815102</v>
      </c>
      <c r="H5" s="26">
        <f>G5*(VLOOKUP(VLOOKUP(A5,Sheet1!$F$2:$J$329,5,),eq!$D$2:$G$42,4,)/1000)/2</f>
        <v>7173.0464116237372</v>
      </c>
      <c r="I5" s="27">
        <f ca="1">AVERAGEIF(Sheet1!$F$2:$F$329,A5,Sheet1!$K$2:$N$21)</f>
        <v>20.5</v>
      </c>
      <c r="J5" s="27">
        <f>COUNTIF(Sheet1!$F$2:$F$329,A5)</f>
        <v>2</v>
      </c>
      <c r="K5" s="26">
        <f t="shared" ca="1" si="4"/>
        <v>117711.89058085489</v>
      </c>
      <c r="L5" s="26">
        <f>SUMIF(Sheet1!$F$2:$F$329,A5,Sheet1!$W$2:$W$329)</f>
        <v>5915.5459879140626</v>
      </c>
      <c r="M5">
        <f>SUMIF(Sheet1!$F$2:$F$329,A5,Sheet1!$X$2:$X$329)</f>
        <v>59155459.879140615</v>
      </c>
    </row>
    <row r="6" spans="1:13" s="26" customFormat="1">
      <c r="A6" s="26" t="s">
        <v>58</v>
      </c>
      <c r="B6" s="26" t="str">
        <f t="shared" si="0"/>
        <v>GM</v>
      </c>
      <c r="C6" s="26" t="str">
        <f t="shared" si="1"/>
        <v>1</v>
      </c>
      <c r="D6" s="26" t="str">
        <f t="shared" si="2"/>
        <v>EX</v>
      </c>
      <c r="E6" s="26" t="str">
        <f t="shared" si="3"/>
        <v>1</v>
      </c>
      <c r="F6" s="26">
        <f>SUMIF(Sheet1!$F$2:$F$329,A6,Sheet1!$T$2:$T$329)</f>
        <v>10147.024375268051</v>
      </c>
      <c r="G6" s="26">
        <f>VLOOKUP(A6,og_dw!$A$2:$B$182,2,)</f>
        <v>33573.084018810398</v>
      </c>
      <c r="H6" s="26">
        <f>G6*(VLOOKUP(VLOOKUP(A6,Sheet1!$F$2:$J$329,5,),eq!$D$2:$G$42,4,)/1000)/2</f>
        <v>5.5395588631037151</v>
      </c>
      <c r="I6" s="27">
        <f ca="1">AVERAGEIF(Sheet1!$F$2:$F$329,A6,Sheet1!$K$2:$N$21)</f>
        <v>13.7</v>
      </c>
      <c r="J6" s="27">
        <f>COUNTIF(Sheet1!$F$2:$F$329,A6)</f>
        <v>2</v>
      </c>
      <c r="K6" s="26">
        <f t="shared" ca="1" si="4"/>
        <v>46197.911405588828</v>
      </c>
      <c r="L6" s="26">
        <f>SUMIF(Sheet1!$F$2:$F$329,A6,Sheet1!$W$2:$W$329)</f>
        <v>10147.024375268051</v>
      </c>
      <c r="M6">
        <f>SUMIF(Sheet1!$F$2:$F$329,A6,Sheet1!$X$2:$X$329)</f>
        <v>112062097.28791352</v>
      </c>
    </row>
    <row r="7" spans="1:13">
      <c r="A7" t="s">
        <v>59</v>
      </c>
      <c r="B7" t="str">
        <f t="shared" si="0"/>
        <v>GM</v>
      </c>
      <c r="C7" t="str">
        <f t="shared" si="1"/>
        <v>1</v>
      </c>
      <c r="D7" t="str">
        <f t="shared" si="2"/>
        <v>EX</v>
      </c>
      <c r="E7" t="str">
        <f t="shared" si="3"/>
        <v>2</v>
      </c>
      <c r="F7">
        <f>SUMIF(Sheet1!$F$2:$F$329,A7,Sheet1!$T$2:$T$329)</f>
        <v>0</v>
      </c>
      <c r="G7">
        <f>VLOOKUP(A7,og_dw!$A$2:$B$182,2,)</f>
        <v>0</v>
      </c>
      <c r="H7">
        <f>G7*(VLOOKUP(VLOOKUP(A7,Sheet1!$F$2:$J$329,5,),eq!$D$2:$G$42,4,)/1000)/2</f>
        <v>0</v>
      </c>
      <c r="I7" s="17" t="e">
        <f ca="1">AVERAGEIF(Sheet1!$F$2:$F$329,A7,Sheet1!$K$2:$N$21)</f>
        <v>#DIV/0!</v>
      </c>
      <c r="J7" s="17">
        <f>COUNTIF(Sheet1!$F$2:$F$329,A7)</f>
        <v>1</v>
      </c>
      <c r="K7" t="e">
        <f t="shared" ca="1" si="4"/>
        <v>#DIV/0!</v>
      </c>
      <c r="L7" t="e">
        <f>SUMIF(Sheet1!$F$2:$F$329,A7,Sheet1!$W$2:$W$329)</f>
        <v>#VALUE!</v>
      </c>
      <c r="M7" t="e">
        <f>SUMIF(Sheet1!$F$2:$F$329,A7,Sheet1!$X$2:$X$329)</f>
        <v>#VALUE!</v>
      </c>
    </row>
    <row r="8" spans="1:13">
      <c r="A8" t="s">
        <v>60</v>
      </c>
      <c r="B8" t="str">
        <f t="shared" si="0"/>
        <v>GM</v>
      </c>
      <c r="C8" t="str">
        <f t="shared" si="1"/>
        <v>1</v>
      </c>
      <c r="D8" t="str">
        <f t="shared" si="2"/>
        <v>EX</v>
      </c>
      <c r="E8" t="str">
        <f t="shared" si="3"/>
        <v>3</v>
      </c>
      <c r="F8">
        <f>SUMIF(Sheet1!$F$2:$F$329,A8,Sheet1!$T$2:$T$329)</f>
        <v>0</v>
      </c>
      <c r="G8">
        <f>VLOOKUP(A8,og_dw!$A$2:$B$182,2,)</f>
        <v>0</v>
      </c>
      <c r="H8">
        <f>G8*(VLOOKUP(VLOOKUP(A8,Sheet1!$F$2:$J$329,5,),eq!$D$2:$G$42,4,)/1000)/2</f>
        <v>0</v>
      </c>
      <c r="I8" s="17" t="e">
        <f ca="1">AVERAGEIF(Sheet1!$F$2:$F$329,A8,Sheet1!$K$2:$N$21)</f>
        <v>#DIV/0!</v>
      </c>
      <c r="J8" s="17">
        <f>COUNTIF(Sheet1!$F$2:$F$329,A8)</f>
        <v>1</v>
      </c>
      <c r="K8" t="e">
        <f t="shared" ca="1" si="4"/>
        <v>#DIV/0!</v>
      </c>
      <c r="L8" t="e">
        <f>SUMIF(Sheet1!$F$2:$F$329,A8,Sheet1!$W$2:$W$329)</f>
        <v>#VALUE!</v>
      </c>
      <c r="M8" t="e">
        <f>SUMIF(Sheet1!$F$2:$F$329,A8,Sheet1!$X$2:$X$329)</f>
        <v>#VALUE!</v>
      </c>
    </row>
    <row r="9" spans="1:13">
      <c r="A9" t="s">
        <v>61</v>
      </c>
      <c r="B9" t="str">
        <f t="shared" si="0"/>
        <v>GM</v>
      </c>
      <c r="C9" t="str">
        <f t="shared" si="1"/>
        <v>10</v>
      </c>
      <c r="D9" t="str">
        <f t="shared" si="2"/>
        <v>NA</v>
      </c>
      <c r="E9" t="str">
        <f t="shared" si="3"/>
        <v>1</v>
      </c>
      <c r="F9">
        <f>SUMIF(Sheet1!$F$2:$F$329,A9,Sheet1!$T$2:$T$329)</f>
        <v>2584.2086246965623</v>
      </c>
      <c r="G9">
        <f>VLOOKUP(A9,og_dw!$A$2:$B$182,2,)</f>
        <v>88560013.620378107</v>
      </c>
      <c r="H9">
        <f>G9*(VLOOKUP(VLOOKUP(A9,Sheet1!$F$2:$J$329,5,),eq!$D$2:$G$42,4,)/1000)/2</f>
        <v>11512.801770649156</v>
      </c>
      <c r="I9" s="17">
        <f ca="1">AVERAGEIF(Sheet1!$F$2:$F$329,A9,Sheet1!$K$2:$N$21)</f>
        <v>11.5</v>
      </c>
      <c r="J9" s="17">
        <f>COUNTIF(Sheet1!$F$2:$F$329,A9)</f>
        <v>2</v>
      </c>
      <c r="K9">
        <f t="shared" ca="1" si="4"/>
        <v>30881.226195893552</v>
      </c>
      <c r="L9">
        <f>SUMIF(Sheet1!$F$2:$F$329,A9,Sheet1!$W$2:$W$329)</f>
        <v>2584.2086246965632</v>
      </c>
      <c r="M9">
        <f>SUMIF(Sheet1!$F$2:$F$329,A9,Sheet1!$X$2:$X$329)</f>
        <v>25842086.246965628</v>
      </c>
    </row>
    <row r="10" spans="1:13">
      <c r="A10" t="s">
        <v>62</v>
      </c>
      <c r="B10" t="str">
        <f t="shared" si="0"/>
        <v>GM</v>
      </c>
      <c r="C10" t="str">
        <f t="shared" si="1"/>
        <v>10</v>
      </c>
      <c r="D10" t="str">
        <f t="shared" si="2"/>
        <v>NA</v>
      </c>
      <c r="E10" t="str">
        <f t="shared" si="3"/>
        <v>2</v>
      </c>
      <c r="F10">
        <f>SUMIF(Sheet1!$F$2:$F$329,A10,Sheet1!$T$2:$T$329)</f>
        <v>5149.578490619062</v>
      </c>
      <c r="G10">
        <f>VLOOKUP(A10,og_dw!$A$2:$B$182,2,)</f>
        <v>170092119.26813599</v>
      </c>
      <c r="H10">
        <f>G10*(VLOOKUP(VLOOKUP(A10,Sheet1!$F$2:$J$329,5,),eq!$D$2:$G$42,4,)/1000)/2</f>
        <v>28065.19967924244</v>
      </c>
      <c r="I10" s="17">
        <f ca="1">AVERAGEIF(Sheet1!$F$2:$F$329,A10,Sheet1!$K$2:$N$21)</f>
        <v>14</v>
      </c>
      <c r="J10" s="17">
        <f>COUNTIF(Sheet1!$F$2:$F$329,A10)</f>
        <v>1</v>
      </c>
      <c r="K10">
        <f t="shared" ca="1" si="4"/>
        <v>24283.204371561216</v>
      </c>
      <c r="L10">
        <f>SUMIF(Sheet1!$F$2:$F$329,A10,Sheet1!$W$2:$W$329)</f>
        <v>5149.5784906190638</v>
      </c>
      <c r="M10">
        <f>SUMIF(Sheet1!$F$2:$F$329,A10,Sheet1!$X$2:$X$329)</f>
        <v>51495784.906190626</v>
      </c>
    </row>
    <row r="11" spans="1:13">
      <c r="A11" t="s">
        <v>63</v>
      </c>
      <c r="B11" t="str">
        <f t="shared" si="0"/>
        <v>GM</v>
      </c>
      <c r="C11" t="str">
        <f t="shared" si="1"/>
        <v>10</v>
      </c>
      <c r="D11" t="str">
        <f t="shared" si="2"/>
        <v>NA</v>
      </c>
      <c r="E11" t="str">
        <f t="shared" si="3"/>
        <v>3</v>
      </c>
      <c r="F11">
        <f>SUMIF(Sheet1!$F$2:$F$329,A11,Sheet1!$T$2:$T$329)</f>
        <v>12454.218111647811</v>
      </c>
      <c r="G11">
        <f>VLOOKUP(A11,og_dw!$A$2:$B$182,2,)</f>
        <v>411366552.87355602</v>
      </c>
      <c r="H11">
        <f>G11*(VLOOKUP(VLOOKUP(A11,Sheet1!$F$2:$J$329,5,),eq!$D$2:$G$42,4,)/1000)/2</f>
        <v>67875.481224136747</v>
      </c>
      <c r="I11" s="17">
        <f ca="1">AVERAGEIF(Sheet1!$F$2:$F$329,A11,Sheet1!$K$2:$N$21)</f>
        <v>16</v>
      </c>
      <c r="J11" s="17">
        <f>COUNTIF(Sheet1!$F$2:$F$329,A11)</f>
        <v>1</v>
      </c>
      <c r="K11">
        <f t="shared" ca="1" si="4"/>
        <v>33072.564827895032</v>
      </c>
      <c r="L11">
        <f>SUMIF(Sheet1!$F$2:$F$329,A11,Sheet1!$W$2:$W$329)</f>
        <v>12454.218111647811</v>
      </c>
      <c r="M11">
        <f>SUMIF(Sheet1!$F$2:$F$329,A11,Sheet1!$X$2:$X$329)</f>
        <v>124542181.1164781</v>
      </c>
    </row>
    <row r="12" spans="1:13">
      <c r="A12" t="s">
        <v>64</v>
      </c>
      <c r="B12" t="str">
        <f t="shared" si="0"/>
        <v>GM</v>
      </c>
      <c r="C12" t="str">
        <f t="shared" si="1"/>
        <v>10</v>
      </c>
      <c r="D12" t="str">
        <f t="shared" si="2"/>
        <v>NA</v>
      </c>
      <c r="E12" t="str">
        <f t="shared" si="3"/>
        <v>4</v>
      </c>
      <c r="F12">
        <f>SUMIF(Sheet1!$F$2:$F$329,A12,Sheet1!$T$2:$T$329)</f>
        <v>27788.751769215938</v>
      </c>
      <c r="G12">
        <f>VLOOKUP(A12,og_dw!$A$2:$B$182,2,)</f>
        <v>917870790.56132102</v>
      </c>
      <c r="H12">
        <f>G12*(VLOOKUP(VLOOKUP(A12,Sheet1!$F$2:$J$329,5,),eq!$D$2:$G$42,4,)/1000)/2</f>
        <v>151448.68044261797</v>
      </c>
      <c r="I12" s="17">
        <f ca="1">AVERAGEIF(Sheet1!$F$2:$F$329,A12,Sheet1!$K$2:$N$21)</f>
        <v>15</v>
      </c>
      <c r="J12" s="17">
        <f>COUNTIF(Sheet1!$F$2:$F$329,A12)</f>
        <v>3</v>
      </c>
      <c r="K12">
        <f t="shared" ca="1" si="4"/>
        <v>85443.789117237669</v>
      </c>
      <c r="L12">
        <f>SUMIF(Sheet1!$F$2:$F$329,A12,Sheet1!$W$2:$W$329)</f>
        <v>27788.751769215942</v>
      </c>
      <c r="M12">
        <f>SUMIF(Sheet1!$F$2:$F$329,A12,Sheet1!$X$2:$X$329)</f>
        <v>277887517.69215935</v>
      </c>
    </row>
    <row r="13" spans="1:13">
      <c r="A13" t="s">
        <v>65</v>
      </c>
      <c r="B13" t="str">
        <f t="shared" si="0"/>
        <v>GM</v>
      </c>
      <c r="C13" t="str">
        <f t="shared" si="1"/>
        <v>11</v>
      </c>
      <c r="D13" t="str">
        <f t="shared" si="2"/>
        <v>NA</v>
      </c>
      <c r="E13" t="str">
        <f t="shared" si="3"/>
        <v>1</v>
      </c>
      <c r="F13">
        <f>SUMIF(Sheet1!$F$2:$F$329,A13,Sheet1!$T$2:$T$329)</f>
        <v>0</v>
      </c>
      <c r="G13">
        <f>VLOOKUP(A13,og_dw!$A$2:$B$182,2,)</f>
        <v>0</v>
      </c>
      <c r="H13">
        <f>G13*(VLOOKUP(VLOOKUP(A13,Sheet1!$F$2:$J$329,5,),eq!$D$2:$G$42,4,)/1000)/2</f>
        <v>0</v>
      </c>
      <c r="I13" s="17" t="e">
        <f ca="1">AVERAGEIF(Sheet1!$F$2:$F$329,A13,Sheet1!$K$2:$N$21)</f>
        <v>#DIV/0!</v>
      </c>
      <c r="J13" s="17">
        <f>COUNTIF(Sheet1!$F$2:$F$329,A13)</f>
        <v>1</v>
      </c>
      <c r="K13" t="e">
        <f t="shared" ca="1" si="4"/>
        <v>#DIV/0!</v>
      </c>
      <c r="L13" t="e">
        <f>SUMIF(Sheet1!$F$2:$F$329,A13,Sheet1!$W$2:$W$329)</f>
        <v>#VALUE!</v>
      </c>
      <c r="M13" t="e">
        <f>SUMIF(Sheet1!$F$2:$F$329,A13,Sheet1!$X$2:$X$329)</f>
        <v>#VALUE!</v>
      </c>
    </row>
    <row r="14" spans="1:13">
      <c r="A14" t="s">
        <v>66</v>
      </c>
      <c r="B14" t="str">
        <f t="shared" si="0"/>
        <v>GM</v>
      </c>
      <c r="C14" t="str">
        <f t="shared" si="1"/>
        <v>11</v>
      </c>
      <c r="D14" t="str">
        <f t="shared" si="2"/>
        <v>NA</v>
      </c>
      <c r="E14" t="str">
        <f t="shared" si="3"/>
        <v>2</v>
      </c>
      <c r="F14">
        <f>SUMIF(Sheet1!$F$2:$F$329,A14,Sheet1!$T$2:$T$329)</f>
        <v>0</v>
      </c>
      <c r="G14">
        <f>VLOOKUP(A14,og_dw!$A$2:$B$182,2,)</f>
        <v>0</v>
      </c>
      <c r="H14">
        <f>G14*(VLOOKUP(VLOOKUP(A14,Sheet1!$F$2:$J$329,5,),eq!$D$2:$G$42,4,)/1000)/2</f>
        <v>0</v>
      </c>
      <c r="I14" s="17" t="e">
        <f ca="1">AVERAGEIF(Sheet1!$F$2:$F$329,A14,Sheet1!$K$2:$N$21)</f>
        <v>#DIV/0!</v>
      </c>
      <c r="J14" s="17">
        <f>COUNTIF(Sheet1!$F$2:$F$329,A14)</f>
        <v>1</v>
      </c>
      <c r="K14" t="e">
        <f t="shared" ca="1" si="4"/>
        <v>#DIV/0!</v>
      </c>
      <c r="L14" t="e">
        <f>SUMIF(Sheet1!$F$2:$F$329,A14,Sheet1!$W$2:$W$329)</f>
        <v>#VALUE!</v>
      </c>
      <c r="M14" t="e">
        <f>SUMIF(Sheet1!$F$2:$F$329,A14,Sheet1!$X$2:$X$329)</f>
        <v>#VALUE!</v>
      </c>
    </row>
    <row r="15" spans="1:13">
      <c r="A15" t="s">
        <v>67</v>
      </c>
      <c r="B15" t="str">
        <f t="shared" si="0"/>
        <v>GM</v>
      </c>
      <c r="C15" t="str">
        <f t="shared" si="1"/>
        <v>11</v>
      </c>
      <c r="D15" t="str">
        <f t="shared" si="2"/>
        <v>NA</v>
      </c>
      <c r="E15" t="str">
        <f t="shared" si="3"/>
        <v>3</v>
      </c>
      <c r="F15">
        <f>SUMIF(Sheet1!$F$2:$F$329,A15,Sheet1!$T$2:$T$329)</f>
        <v>1293.7698475121874</v>
      </c>
      <c r="G15">
        <f>VLOOKUP(A15,og_dw!$A$2:$B$182,2,)</f>
        <v>4776.9958333057602</v>
      </c>
      <c r="H15">
        <f>G15*(VLOOKUP(VLOOKUP(A15,Sheet1!$F$2:$J$329,5,),eq!$D$2:$G$42,4,)/1000)/2</f>
        <v>0.62100945832974885</v>
      </c>
      <c r="I15" s="17">
        <f ca="1">AVERAGEIF(Sheet1!$F$2:$F$329,A15,Sheet1!$K$2:$N$21)</f>
        <v>10</v>
      </c>
      <c r="J15" s="17">
        <f>COUNTIF(Sheet1!$F$2:$F$329,A15)</f>
        <v>1</v>
      </c>
      <c r="K15">
        <f t="shared" ca="1" si="4"/>
        <v>11213.240523678</v>
      </c>
      <c r="L15">
        <f>SUMIF(Sheet1!$F$2:$F$329,A15,Sheet1!$W$2:$W$329)</f>
        <v>1293.7698475121877</v>
      </c>
      <c r="M15">
        <f>SUMIF(Sheet1!$F$2:$F$329,A15,Sheet1!$X$2:$X$329)</f>
        <v>12937698.475121874</v>
      </c>
    </row>
    <row r="16" spans="1:13">
      <c r="A16" t="s">
        <v>68</v>
      </c>
      <c r="B16" t="str">
        <f t="shared" si="0"/>
        <v>GM</v>
      </c>
      <c r="C16" t="str">
        <f t="shared" si="1"/>
        <v>11</v>
      </c>
      <c r="D16" t="str">
        <f t="shared" si="2"/>
        <v>NA</v>
      </c>
      <c r="E16" t="str">
        <f t="shared" si="3"/>
        <v>4</v>
      </c>
      <c r="F16">
        <f>SUMIF(Sheet1!$F$2:$F$329,A16,Sheet1!$T$2:$T$329)</f>
        <v>1499.3129874023437</v>
      </c>
      <c r="G16">
        <f>VLOOKUP(A16,og_dw!$A$2:$B$182,2,)</f>
        <v>6497.0222290108504</v>
      </c>
      <c r="H16">
        <f>G16*(VLOOKUP(VLOOKUP(A16,Sheet1!$F$2:$J$329,5,),eq!$D$2:$G$42,4,)/1000)/2</f>
        <v>0.48727666717581375</v>
      </c>
      <c r="I16" s="17">
        <f ca="1">AVERAGEIF(Sheet1!$F$2:$F$329,A16,Sheet1!$K$2:$N$21)</f>
        <v>13</v>
      </c>
      <c r="J16" s="17">
        <f>COUNTIF(Sheet1!$F$2:$F$329,A16)</f>
        <v>1</v>
      </c>
      <c r="K16">
        <f t="shared" ca="1" si="4"/>
        <v>20468.197389615292</v>
      </c>
      <c r="L16">
        <f>SUMIF(Sheet1!$F$2:$F$329,A16,Sheet1!$W$2:$W$329)</f>
        <v>1499.3129874023441</v>
      </c>
      <c r="M16">
        <f>SUMIF(Sheet1!$F$2:$F$329,A16,Sheet1!$X$2:$X$329)</f>
        <v>14993129.874023438</v>
      </c>
    </row>
    <row r="17" spans="1:13">
      <c r="A17" t="s">
        <v>69</v>
      </c>
      <c r="B17" t="str">
        <f t="shared" si="0"/>
        <v>GM</v>
      </c>
      <c r="C17" t="str">
        <f t="shared" si="1"/>
        <v>12</v>
      </c>
      <c r="D17" t="str">
        <f t="shared" si="2"/>
        <v>NA</v>
      </c>
      <c r="E17" t="str">
        <f t="shared" si="3"/>
        <v>1</v>
      </c>
      <c r="F17">
        <f>SUMIF(Sheet1!$F$2:$F$329,A17,Sheet1!$T$2:$T$329)</f>
        <v>0</v>
      </c>
      <c r="G17">
        <f>VLOOKUP(A17,og_dw!$A$2:$B$182,2,)</f>
        <v>0</v>
      </c>
      <c r="H17">
        <f>G17*(VLOOKUP(VLOOKUP(A17,Sheet1!$F$2:$J$329,5,),eq!$D$2:$G$42,4,)/1000)/2</f>
        <v>0</v>
      </c>
      <c r="I17" s="17" t="e">
        <f ca="1">AVERAGEIF(Sheet1!$F$2:$F$329,A17,Sheet1!$K$2:$N$21)</f>
        <v>#DIV/0!</v>
      </c>
      <c r="J17" s="17">
        <f>COUNTIF(Sheet1!$F$2:$F$329,A17)</f>
        <v>1</v>
      </c>
      <c r="K17" t="e">
        <f t="shared" ca="1" si="4"/>
        <v>#DIV/0!</v>
      </c>
      <c r="L17" t="e">
        <f>SUMIF(Sheet1!$F$2:$F$329,A17,Sheet1!$W$2:$W$329)</f>
        <v>#VALUE!</v>
      </c>
      <c r="M17" t="e">
        <f>SUMIF(Sheet1!$F$2:$F$329,A17,Sheet1!$X$2:$X$329)</f>
        <v>#VALUE!</v>
      </c>
    </row>
    <row r="18" spans="1:13">
      <c r="A18" t="s">
        <v>70</v>
      </c>
      <c r="B18" t="str">
        <f t="shared" si="0"/>
        <v>GM</v>
      </c>
      <c r="C18" t="str">
        <f t="shared" si="1"/>
        <v>12</v>
      </c>
      <c r="D18" t="str">
        <f t="shared" si="2"/>
        <v>NA</v>
      </c>
      <c r="E18" t="str">
        <f t="shared" si="3"/>
        <v>2</v>
      </c>
      <c r="F18">
        <f>SUMIF(Sheet1!$F$2:$F$329,A18,Sheet1!$T$2:$T$329)</f>
        <v>5419.051575437501</v>
      </c>
      <c r="G18">
        <f>VLOOKUP(A18,og_dw!$A$2:$B$182,2,)</f>
        <v>20008.803610713399</v>
      </c>
      <c r="H18">
        <f>G18*(VLOOKUP(VLOOKUP(A18,Sheet1!$F$2:$J$329,5,),eq!$D$2:$G$42,4,)/1000)/2</f>
        <v>2.6011444693927421</v>
      </c>
      <c r="I18" s="17">
        <f ca="1">AVERAGEIF(Sheet1!$F$2:$F$329,A18,Sheet1!$K$2:$N$21)</f>
        <v>16</v>
      </c>
      <c r="J18" s="17">
        <f>COUNTIF(Sheet1!$F$2:$F$329,A18)</f>
        <v>1</v>
      </c>
      <c r="K18">
        <f t="shared" ca="1" si="4"/>
        <v>33072.564827895032</v>
      </c>
      <c r="L18">
        <f>SUMIF(Sheet1!$F$2:$F$329,A18,Sheet1!$W$2:$W$329)</f>
        <v>5419.0515754375019</v>
      </c>
      <c r="M18">
        <f>SUMIF(Sheet1!$F$2:$F$329,A18,Sheet1!$X$2:$X$329)</f>
        <v>54190515.754375011</v>
      </c>
    </row>
    <row r="19" spans="1:13">
      <c r="A19" t="s">
        <v>71</v>
      </c>
      <c r="B19" t="str">
        <f t="shared" si="0"/>
        <v>GM</v>
      </c>
      <c r="C19" t="str">
        <f t="shared" si="1"/>
        <v>12</v>
      </c>
      <c r="D19" t="str">
        <f t="shared" si="2"/>
        <v>NA</v>
      </c>
      <c r="E19" t="str">
        <f t="shared" si="3"/>
        <v>3</v>
      </c>
      <c r="F19">
        <f>SUMIF(Sheet1!$F$2:$F$329,A19,Sheet1!$T$2:$T$329)</f>
        <v>0</v>
      </c>
      <c r="G19">
        <f>VLOOKUP(A19,og_dw!$A$2:$B$182,2,)</f>
        <v>0</v>
      </c>
      <c r="H19">
        <f>G19*(VLOOKUP(VLOOKUP(A19,Sheet1!$F$2:$J$329,5,),eq!$D$2:$G$42,4,)/1000)/2</f>
        <v>0</v>
      </c>
      <c r="I19" s="17" t="e">
        <f ca="1">AVERAGEIF(Sheet1!$F$2:$F$329,A19,Sheet1!$K$2:$N$21)</f>
        <v>#DIV/0!</v>
      </c>
      <c r="J19" s="17">
        <f>COUNTIF(Sheet1!$F$2:$F$329,A19)</f>
        <v>1</v>
      </c>
      <c r="K19" t="e">
        <f t="shared" ca="1" si="4"/>
        <v>#DIV/0!</v>
      </c>
      <c r="L19" t="e">
        <f>SUMIF(Sheet1!$F$2:$F$329,A19,Sheet1!$W$2:$W$329)</f>
        <v>#VALUE!</v>
      </c>
      <c r="M19" t="e">
        <f>SUMIF(Sheet1!$F$2:$F$329,A19,Sheet1!$X$2:$X$329)</f>
        <v>#VALUE!</v>
      </c>
    </row>
    <row r="20" spans="1:13">
      <c r="A20" t="s">
        <v>72</v>
      </c>
      <c r="B20" t="str">
        <f t="shared" si="0"/>
        <v>GM</v>
      </c>
      <c r="C20" t="str">
        <f t="shared" si="1"/>
        <v>12</v>
      </c>
      <c r="D20" t="str">
        <f t="shared" si="2"/>
        <v>NA</v>
      </c>
      <c r="E20" t="str">
        <f t="shared" si="3"/>
        <v>4</v>
      </c>
      <c r="F20">
        <f>SUMIF(Sheet1!$F$2:$F$329,A20,Sheet1!$T$2:$T$329)</f>
        <v>33847.03210809375</v>
      </c>
      <c r="G20">
        <f>VLOOKUP(A20,og_dw!$A$2:$B$182,2,)</f>
        <v>880022737.774032</v>
      </c>
      <c r="H20">
        <f>G20*(VLOOKUP(VLOOKUP(A20,Sheet1!$F$2:$J$329,5,),eq!$D$2:$G$42,4,)/1000)/2</f>
        <v>110002.84222175401</v>
      </c>
      <c r="I20" s="17">
        <f ca="1">AVERAGEIF(Sheet1!$F$2:$F$329,A20,Sheet1!$K$2:$N$21)</f>
        <v>73</v>
      </c>
      <c r="J20" s="17">
        <f>COUNTIF(Sheet1!$F$2:$F$329,A20)</f>
        <v>1</v>
      </c>
      <c r="K20">
        <f t="shared" ca="1" si="4"/>
        <v>1182322.9730679481</v>
      </c>
      <c r="L20">
        <f>SUMIF(Sheet1!$F$2:$F$329,A20,Sheet1!$W$2:$W$329)</f>
        <v>33847.032108093743</v>
      </c>
      <c r="M20">
        <f>SUMIF(Sheet1!$F$2:$F$329,A20,Sheet1!$X$2:$X$329)</f>
        <v>338470321.08093756</v>
      </c>
    </row>
    <row r="21" spans="1:13">
      <c r="A21" t="s">
        <v>73</v>
      </c>
      <c r="B21" t="str">
        <f t="shared" si="0"/>
        <v>GM</v>
      </c>
      <c r="C21" t="str">
        <f t="shared" si="1"/>
        <v>13</v>
      </c>
      <c r="D21" t="str">
        <f t="shared" si="2"/>
        <v>CTRL</v>
      </c>
      <c r="E21" t="str">
        <f t="shared" si="3"/>
        <v>1</v>
      </c>
      <c r="F21">
        <f>SUMIF(Sheet1!$F$2:$F$329,A21,Sheet1!$T$2:$T$329)</f>
        <v>20062.94724536375</v>
      </c>
      <c r="G21">
        <f>VLOOKUP(A21,og_dw!$A$2:$B$182,2,)</f>
        <v>106625.80732460599</v>
      </c>
      <c r="H21">
        <f>G21*(VLOOKUP(VLOOKUP(A21,Sheet1!$F$2:$J$329,5,),eq!$D$2:$G$42,4,)/1000)/2</f>
        <v>5.8644194028533301</v>
      </c>
      <c r="I21" s="17">
        <f ca="1">AVERAGEIF(Sheet1!$F$2:$F$329,A21,Sheet1!$K$2:$N$21)</f>
        <v>13.416666666666666</v>
      </c>
      <c r="J21" s="17">
        <f>COUNTIF(Sheet1!$F$2:$F$329,A21)</f>
        <v>12</v>
      </c>
      <c r="K21">
        <f t="shared" ca="1" si="4"/>
        <v>264142.82452639885</v>
      </c>
      <c r="L21">
        <f>SUMIF(Sheet1!$F$2:$F$329,A21,Sheet1!$W$2:$W$329)</f>
        <v>20062.94724536375</v>
      </c>
      <c r="M21">
        <f>SUMIF(Sheet1!$F$2:$F$329,A21,Sheet1!$X$2:$X$329)</f>
        <v>200629472.45363748</v>
      </c>
    </row>
    <row r="22" spans="1:13">
      <c r="A22" t="s">
        <v>74</v>
      </c>
      <c r="B22" t="str">
        <f t="shared" si="0"/>
        <v>GM</v>
      </c>
      <c r="C22" t="str">
        <f t="shared" si="1"/>
        <v>13</v>
      </c>
      <c r="D22" t="str">
        <f t="shared" si="2"/>
        <v>CTRL</v>
      </c>
      <c r="E22" t="str">
        <f t="shared" si="3"/>
        <v>2</v>
      </c>
      <c r="F22">
        <f>SUMIF(Sheet1!$F$2:$F$329,A22,Sheet1!$T$2:$T$329)</f>
        <v>0</v>
      </c>
      <c r="G22">
        <f>VLOOKUP(A22,og_dw!$A$2:$B$182,2,)</f>
        <v>0</v>
      </c>
      <c r="H22">
        <f>G22*(VLOOKUP(VLOOKUP(A22,Sheet1!$F$2:$J$329,5,),eq!$D$2:$G$42,4,)/1000)/2</f>
        <v>0</v>
      </c>
      <c r="I22" s="17" t="e">
        <f ca="1">AVERAGEIF(Sheet1!$F$2:$F$329,A22,Sheet1!$K$2:$N$21)</f>
        <v>#DIV/0!</v>
      </c>
      <c r="J22" s="17">
        <f>COUNTIF(Sheet1!$F$2:$F$329,A22)</f>
        <v>1</v>
      </c>
      <c r="K22" t="e">
        <f t="shared" ca="1" si="4"/>
        <v>#DIV/0!</v>
      </c>
      <c r="L22" t="e">
        <f>SUMIF(Sheet1!$F$2:$F$329,A22,Sheet1!$W$2:$W$329)</f>
        <v>#VALUE!</v>
      </c>
      <c r="M22" t="e">
        <f>SUMIF(Sheet1!$F$2:$F$329,A22,Sheet1!$X$2:$X$329)</f>
        <v>#VALUE!</v>
      </c>
    </row>
    <row r="23" spans="1:13">
      <c r="A23" t="s">
        <v>75</v>
      </c>
      <c r="B23" t="str">
        <f t="shared" si="0"/>
        <v>GM</v>
      </c>
      <c r="C23" t="str">
        <f t="shared" si="1"/>
        <v>13</v>
      </c>
      <c r="D23" t="str">
        <f t="shared" si="2"/>
        <v>CTRL</v>
      </c>
      <c r="E23" t="str">
        <f t="shared" si="3"/>
        <v>3</v>
      </c>
      <c r="F23">
        <f>SUMIF(Sheet1!$F$2:$F$329,A23,Sheet1!$T$2:$T$329)</f>
        <v>2637.2249700671873</v>
      </c>
      <c r="G23">
        <f>VLOOKUP(A23,og_dw!$A$2:$B$182,2,)</f>
        <v>15823.348075629099</v>
      </c>
      <c r="H23">
        <f>G23*(VLOOKUP(VLOOKUP(A23,Sheet1!$F$2:$J$329,5,),eq!$D$2:$G$42,4,)/1000)/2</f>
        <v>1.0285176249158916</v>
      </c>
      <c r="I23" s="17">
        <f ca="1">AVERAGEIF(Sheet1!$F$2:$F$329,A23,Sheet1!$K$2:$N$21)</f>
        <v>19</v>
      </c>
      <c r="J23" s="17">
        <f>COUNTIF(Sheet1!$F$2:$F$329,A23)</f>
        <v>1</v>
      </c>
      <c r="K23">
        <f t="shared" ca="1" si="4"/>
        <v>49302.5993981711</v>
      </c>
      <c r="L23">
        <f>SUMIF(Sheet1!$F$2:$F$329,A23,Sheet1!$W$2:$W$329)</f>
        <v>2637.2249700671878</v>
      </c>
      <c r="M23">
        <f>SUMIF(Sheet1!$F$2:$F$329,A23,Sheet1!$X$2:$X$329)</f>
        <v>26372249.700671874</v>
      </c>
    </row>
    <row r="24" spans="1:13">
      <c r="A24" t="s">
        <v>76</v>
      </c>
      <c r="B24" t="str">
        <f t="shared" si="0"/>
        <v>GM</v>
      </c>
      <c r="C24" t="str">
        <f t="shared" si="1"/>
        <v>13</v>
      </c>
      <c r="D24" t="str">
        <f t="shared" si="2"/>
        <v>CTRL</v>
      </c>
      <c r="E24" t="str">
        <f t="shared" si="3"/>
        <v>4</v>
      </c>
      <c r="F24">
        <f>SUMIF(Sheet1!$F$2:$F$329,A24,Sheet1!$T$2:$T$329)</f>
        <v>2183.9480780446875</v>
      </c>
      <c r="G24">
        <f>VLOOKUP(A24,og_dw!$A$2:$B$182,2,)</f>
        <v>15765232.632776299</v>
      </c>
      <c r="H24">
        <f>G24*(VLOOKUP(VLOOKUP(A24,Sheet1!$F$2:$J$329,5,),eq!$D$2:$G$42,4,)/1000)/2</f>
        <v>1970.6540790970375</v>
      </c>
      <c r="I24" s="17">
        <f ca="1">AVERAGEIF(Sheet1!$F$2:$F$329,A24,Sheet1!$K$2:$N$21)</f>
        <v>11</v>
      </c>
      <c r="J24" s="17">
        <f>COUNTIF(Sheet1!$F$2:$F$329,A24)</f>
        <v>2</v>
      </c>
      <c r="K24">
        <f t="shared" ca="1" si="4"/>
        <v>27889.025811586031</v>
      </c>
      <c r="L24">
        <f>SUMIF(Sheet1!$F$2:$F$329,A24,Sheet1!$W$2:$W$329)</f>
        <v>2183.9480780446875</v>
      </c>
      <c r="M24">
        <f>SUMIF(Sheet1!$F$2:$F$329,A24,Sheet1!$X$2:$X$329)</f>
        <v>21839480.780446876</v>
      </c>
    </row>
    <row r="25" spans="1:13">
      <c r="A25" t="s">
        <v>77</v>
      </c>
      <c r="B25" t="str">
        <f t="shared" si="0"/>
        <v>GM</v>
      </c>
      <c r="C25" t="str">
        <f t="shared" si="1"/>
        <v>13</v>
      </c>
      <c r="D25" t="str">
        <f t="shared" si="2"/>
        <v>EX</v>
      </c>
      <c r="E25" t="str">
        <f t="shared" si="3"/>
        <v>1</v>
      </c>
      <c r="F25">
        <f>SUMIF(Sheet1!$F$2:$F$329,A25,Sheet1!$T$2:$T$329)</f>
        <v>0</v>
      </c>
      <c r="G25">
        <f>VLOOKUP(A25,og_dw!$A$2:$B$182,2,)</f>
        <v>0</v>
      </c>
      <c r="H25">
        <f>G25*(VLOOKUP(VLOOKUP(A25,Sheet1!$F$2:$J$329,5,),eq!$D$2:$G$42,4,)/1000)/2</f>
        <v>0</v>
      </c>
      <c r="I25" s="17" t="e">
        <f ca="1">AVERAGEIF(Sheet1!$F$2:$F$329,A25,Sheet1!$K$2:$N$21)</f>
        <v>#DIV/0!</v>
      </c>
      <c r="J25" s="17">
        <f>COUNTIF(Sheet1!$F$2:$F$329,A25)</f>
        <v>1</v>
      </c>
      <c r="K25" t="e">
        <f t="shared" ca="1" si="4"/>
        <v>#DIV/0!</v>
      </c>
      <c r="L25" t="e">
        <f>SUMIF(Sheet1!$F$2:$F$329,A25,Sheet1!$W$2:$W$329)</f>
        <v>#VALUE!</v>
      </c>
      <c r="M25" t="e">
        <f>SUMIF(Sheet1!$F$2:$F$329,A25,Sheet1!$X$2:$X$329)</f>
        <v>#VALUE!</v>
      </c>
    </row>
    <row r="26" spans="1:13">
      <c r="A26" t="s">
        <v>78</v>
      </c>
      <c r="B26" t="str">
        <f t="shared" si="0"/>
        <v>GM</v>
      </c>
      <c r="C26" t="str">
        <f t="shared" si="1"/>
        <v>13</v>
      </c>
      <c r="D26" t="str">
        <f t="shared" si="2"/>
        <v>EX</v>
      </c>
      <c r="E26" t="str">
        <f t="shared" si="3"/>
        <v>2</v>
      </c>
      <c r="F26">
        <f>SUMIF(Sheet1!$F$2:$F$329,A26,Sheet1!$T$2:$T$329)</f>
        <v>12416.1645846875</v>
      </c>
      <c r="G26">
        <f>VLOOKUP(A26,og_dw!$A$2:$B$182,2,)</f>
        <v>302954382.46087003</v>
      </c>
      <c r="H26">
        <f>G26*(VLOOKUP(VLOOKUP(A26,Sheet1!$F$2:$J$329,5,),eq!$D$2:$G$42,4,)/1000)/2</f>
        <v>37869.297807608753</v>
      </c>
      <c r="I26" s="17">
        <f ca="1">AVERAGEIF(Sheet1!$F$2:$F$329,A26,Sheet1!$K$2:$N$21)</f>
        <v>26</v>
      </c>
      <c r="J26" s="17">
        <f>COUNTIF(Sheet1!$F$2:$F$329,A26)</f>
        <v>2</v>
      </c>
      <c r="K26">
        <f t="shared" ca="1" si="4"/>
        <v>205266.17932106816</v>
      </c>
      <c r="L26">
        <f>SUMIF(Sheet1!$F$2:$F$329,A26,Sheet1!$W$2:$W$329)</f>
        <v>12416.164584687502</v>
      </c>
      <c r="M26">
        <f>SUMIF(Sheet1!$F$2:$F$329,A26,Sheet1!$X$2:$X$329)</f>
        <v>124161645.84687498</v>
      </c>
    </row>
    <row r="27" spans="1:13">
      <c r="A27" t="s">
        <v>79</v>
      </c>
      <c r="B27" t="str">
        <f t="shared" si="0"/>
        <v>GM</v>
      </c>
      <c r="C27" t="str">
        <f t="shared" si="1"/>
        <v>13</v>
      </c>
      <c r="D27" t="str">
        <f t="shared" si="2"/>
        <v>EX</v>
      </c>
      <c r="E27" t="str">
        <f t="shared" si="3"/>
        <v>3</v>
      </c>
      <c r="F27">
        <f>SUMIF(Sheet1!$F$2:$F$329,A27,Sheet1!$T$2:$T$329)</f>
        <v>5357.7659682421881</v>
      </c>
      <c r="G27">
        <f>VLOOKUP(A27,og_dw!$A$2:$B$182,2,)</f>
        <v>130729475.21012001</v>
      </c>
      <c r="H27">
        <f>G27*(VLOOKUP(VLOOKUP(A27,Sheet1!$F$2:$J$329,5,),eq!$D$2:$G$42,4,)/1000)/2</f>
        <v>16341.184401265002</v>
      </c>
      <c r="I27" s="17">
        <f ca="1">AVERAGEIF(Sheet1!$F$2:$F$329,A27,Sheet1!$K$2:$N$21)</f>
        <v>31</v>
      </c>
      <c r="J27" s="17">
        <f>COUNTIF(Sheet1!$F$2:$F$329,A27)</f>
        <v>1</v>
      </c>
      <c r="K27">
        <f t="shared" ca="1" si="4"/>
        <v>155172.25374991115</v>
      </c>
      <c r="L27">
        <f>SUMIF(Sheet1!$F$2:$F$329,A27,Sheet1!$W$2:$W$329)</f>
        <v>5357.7659682421881</v>
      </c>
      <c r="M27">
        <f>SUMIF(Sheet1!$F$2:$F$329,A27,Sheet1!$X$2:$X$329)</f>
        <v>53577659.682421878</v>
      </c>
    </row>
    <row r="28" spans="1:13">
      <c r="A28" t="s">
        <v>80</v>
      </c>
      <c r="B28" t="str">
        <f t="shared" si="0"/>
        <v>GM</v>
      </c>
      <c r="C28" t="str">
        <f t="shared" si="1"/>
        <v>14</v>
      </c>
      <c r="D28" t="str">
        <f t="shared" si="2"/>
        <v>NA</v>
      </c>
      <c r="E28" t="str">
        <f t="shared" si="3"/>
        <v>1</v>
      </c>
      <c r="F28">
        <f>SUMIF(Sheet1!$F$2:$F$329,A28,Sheet1!$T$2:$T$329)</f>
        <v>2736.4551302156246</v>
      </c>
      <c r="G28">
        <f>VLOOKUP(A28,og_dw!$A$2:$B$182,2,)</f>
        <v>16418.728970869601</v>
      </c>
      <c r="H28">
        <f>G28*(VLOOKUP(VLOOKUP(A28,Sheet1!$F$2:$J$329,5,),eq!$D$2:$G$42,4,)/1000)/2</f>
        <v>1.0672173831065241</v>
      </c>
      <c r="I28" s="17">
        <f ca="1">AVERAGEIF(Sheet1!$F$2:$F$329,A28,Sheet1!$K$2:$N$21)</f>
        <v>29</v>
      </c>
      <c r="J28" s="17">
        <f>COUNTIF(Sheet1!$F$2:$F$329,A28)</f>
        <v>1</v>
      </c>
      <c r="K28">
        <f t="shared" ca="1" si="4"/>
        <v>132638.18354819549</v>
      </c>
      <c r="L28">
        <f>SUMIF(Sheet1!$F$2:$F$329,A28,Sheet1!$W$2:$W$329)</f>
        <v>2736.4551302156242</v>
      </c>
      <c r="M28">
        <f>SUMIF(Sheet1!$F$2:$F$329,A28,Sheet1!$X$2:$X$329)</f>
        <v>27364551.302156247</v>
      </c>
    </row>
    <row r="29" spans="1:13">
      <c r="A29" t="s">
        <v>81</v>
      </c>
      <c r="B29" t="str">
        <f t="shared" si="0"/>
        <v>GM</v>
      </c>
      <c r="C29" t="str">
        <f t="shared" si="1"/>
        <v>14</v>
      </c>
      <c r="D29" t="str">
        <f t="shared" si="2"/>
        <v>NA</v>
      </c>
      <c r="E29" t="str">
        <f t="shared" si="3"/>
        <v>2</v>
      </c>
      <c r="F29">
        <f>SUMIF(Sheet1!$F$2:$F$329,A29,Sheet1!$T$2:$T$329)</f>
        <v>0</v>
      </c>
      <c r="G29">
        <f>VLOOKUP(A29,og_dw!$A$2:$B$182,2,)</f>
        <v>0</v>
      </c>
      <c r="H29">
        <f>G29*(VLOOKUP(VLOOKUP(A29,Sheet1!$F$2:$J$329,5,),eq!$D$2:$G$42,4,)/1000)/2</f>
        <v>0</v>
      </c>
      <c r="I29" s="17" t="e">
        <f ca="1">AVERAGEIF(Sheet1!$F$2:$F$329,A29,Sheet1!$K$2:$N$21)</f>
        <v>#DIV/0!</v>
      </c>
      <c r="J29" s="17">
        <f>COUNTIF(Sheet1!$F$2:$F$329,A29)</f>
        <v>1</v>
      </c>
      <c r="K29" t="e">
        <f t="shared" ca="1" si="4"/>
        <v>#DIV/0!</v>
      </c>
      <c r="L29" t="e">
        <f>SUMIF(Sheet1!$F$2:$F$329,A29,Sheet1!$W$2:$W$329)</f>
        <v>#VALUE!</v>
      </c>
      <c r="M29" t="e">
        <f>SUMIF(Sheet1!$F$2:$F$329,A29,Sheet1!$X$2:$X$329)</f>
        <v>#VALUE!</v>
      </c>
    </row>
    <row r="30" spans="1:13">
      <c r="A30" t="s">
        <v>82</v>
      </c>
      <c r="B30" t="str">
        <f t="shared" si="0"/>
        <v>GM</v>
      </c>
      <c r="C30" t="str">
        <f t="shared" si="1"/>
        <v>14</v>
      </c>
      <c r="D30" t="str">
        <f t="shared" si="2"/>
        <v>NA</v>
      </c>
      <c r="E30" t="str">
        <f t="shared" si="3"/>
        <v>3</v>
      </c>
      <c r="F30">
        <f>SUMIF(Sheet1!$F$2:$F$329,A30,Sheet1!$T$2:$T$329)</f>
        <v>0</v>
      </c>
      <c r="G30">
        <f>VLOOKUP(A30,og_dw!$A$2:$B$182,2,)</f>
        <v>0</v>
      </c>
      <c r="H30">
        <f>G30*(VLOOKUP(VLOOKUP(A30,Sheet1!$F$2:$J$329,5,),eq!$D$2:$G$42,4,)/1000)/2</f>
        <v>0</v>
      </c>
      <c r="I30" s="17" t="e">
        <f ca="1">AVERAGEIF(Sheet1!$F$2:$F$329,A30,Sheet1!$K$2:$N$21)</f>
        <v>#DIV/0!</v>
      </c>
      <c r="J30" s="17">
        <f>COUNTIF(Sheet1!$F$2:$F$329,A30)</f>
        <v>1</v>
      </c>
      <c r="K30" t="e">
        <f t="shared" ca="1" si="4"/>
        <v>#DIV/0!</v>
      </c>
      <c r="L30" t="e">
        <f>SUMIF(Sheet1!$F$2:$F$329,A30,Sheet1!$W$2:$W$329)</f>
        <v>#VALUE!</v>
      </c>
      <c r="M30" t="e">
        <f>SUMIF(Sheet1!$F$2:$F$329,A30,Sheet1!$X$2:$X$329)</f>
        <v>#VALUE!</v>
      </c>
    </row>
    <row r="31" spans="1:13">
      <c r="A31" t="s">
        <v>83</v>
      </c>
      <c r="B31" t="str">
        <f t="shared" si="0"/>
        <v>GM</v>
      </c>
      <c r="C31" t="str">
        <f t="shared" si="1"/>
        <v>14</v>
      </c>
      <c r="D31" t="str">
        <f t="shared" si="2"/>
        <v>NA</v>
      </c>
      <c r="E31" t="str">
        <f t="shared" si="3"/>
        <v>4</v>
      </c>
      <c r="F31">
        <f>SUMIF(Sheet1!$F$2:$F$329,A31,Sheet1!$T$2:$T$329)</f>
        <v>0</v>
      </c>
      <c r="G31">
        <f>VLOOKUP(A31,og_dw!$A$2:$B$182,2,)</f>
        <v>0</v>
      </c>
      <c r="H31">
        <f>G31*(VLOOKUP(VLOOKUP(A31,Sheet1!$F$2:$J$329,5,),eq!$D$2:$G$42,4,)/1000)/2</f>
        <v>0</v>
      </c>
      <c r="I31" s="17" t="e">
        <f ca="1">AVERAGEIF(Sheet1!$F$2:$F$329,A31,Sheet1!$K$2:$N$21)</f>
        <v>#DIV/0!</v>
      </c>
      <c r="J31" s="17">
        <f>COUNTIF(Sheet1!$F$2:$F$329,A31)</f>
        <v>1</v>
      </c>
      <c r="K31" t="e">
        <f t="shared" ca="1" si="4"/>
        <v>#DIV/0!</v>
      </c>
      <c r="L31" t="e">
        <f>SUMIF(Sheet1!$F$2:$F$329,A31,Sheet1!$W$2:$W$329)</f>
        <v>#VALUE!</v>
      </c>
      <c r="M31" t="e">
        <f>SUMIF(Sheet1!$F$2:$F$329,A31,Sheet1!$X$2:$X$329)</f>
        <v>#VALUE!</v>
      </c>
    </row>
    <row r="32" spans="1:13">
      <c r="A32" t="s">
        <v>84</v>
      </c>
      <c r="B32" t="str">
        <f t="shared" si="0"/>
        <v>GM</v>
      </c>
      <c r="C32" t="str">
        <f t="shared" si="1"/>
        <v>15</v>
      </c>
      <c r="D32" t="str">
        <f t="shared" si="2"/>
        <v>NA</v>
      </c>
      <c r="E32" t="str">
        <f t="shared" si="3"/>
        <v>1</v>
      </c>
      <c r="F32">
        <f>SUMIF(Sheet1!$F$2:$F$329,A32,Sheet1!$T$2:$T$329)</f>
        <v>14721.87498625405</v>
      </c>
      <c r="G32">
        <f>VLOOKUP(A32,og_dw!$A$2:$B$182,2,)</f>
        <v>59623.116709395203</v>
      </c>
      <c r="H32">
        <f>G32*(VLOOKUP(VLOOKUP(A32,Sheet1!$F$2:$J$329,5,),eq!$D$2:$G$42,4,)/1000)/2</f>
        <v>5.9623116709395205</v>
      </c>
      <c r="I32" s="17">
        <f ca="1">AVERAGEIF(Sheet1!$F$2:$F$329,A32,Sheet1!$K$2:$N$21)</f>
        <v>26</v>
      </c>
      <c r="J32" s="17">
        <f>COUNTIF(Sheet1!$F$2:$F$329,A32)</f>
        <v>1</v>
      </c>
      <c r="K32">
        <f t="shared" ca="1" si="4"/>
        <v>102633.08966053408</v>
      </c>
      <c r="L32">
        <f>SUMIF(Sheet1!$F$2:$F$329,A32,Sheet1!$W$2:$W$329)</f>
        <v>14721.87498625405</v>
      </c>
      <c r="M32">
        <f>SUMIF(Sheet1!$F$2:$F$329,A32,Sheet1!$X$2:$X$329)</f>
        <v>39819691.274999999</v>
      </c>
    </row>
    <row r="33" spans="1:13">
      <c r="A33" t="s">
        <v>85</v>
      </c>
      <c r="B33" t="str">
        <f t="shared" si="0"/>
        <v>GM</v>
      </c>
      <c r="C33" t="str">
        <f t="shared" si="1"/>
        <v>15</v>
      </c>
      <c r="D33" t="str">
        <f t="shared" si="2"/>
        <v>NA</v>
      </c>
      <c r="E33" t="str">
        <f t="shared" si="3"/>
        <v>2</v>
      </c>
      <c r="F33">
        <f>SUMIF(Sheet1!$F$2:$F$329,A33,Sheet1!$T$2:$T$329)</f>
        <v>0</v>
      </c>
      <c r="G33">
        <f>VLOOKUP(A33,og_dw!$A$2:$B$182,2,)</f>
        <v>0</v>
      </c>
      <c r="H33">
        <f>G33*(VLOOKUP(VLOOKUP(A33,Sheet1!$F$2:$J$329,5,),eq!$D$2:$G$42,4,)/1000)/2</f>
        <v>0</v>
      </c>
      <c r="I33" s="17" t="e">
        <f ca="1">AVERAGEIF(Sheet1!$F$2:$F$329,A33,Sheet1!$K$2:$N$21)</f>
        <v>#DIV/0!</v>
      </c>
      <c r="J33" s="17">
        <f>COUNTIF(Sheet1!$F$2:$F$329,A33)</f>
        <v>1</v>
      </c>
      <c r="K33" t="e">
        <f t="shared" ca="1" si="4"/>
        <v>#DIV/0!</v>
      </c>
      <c r="L33">
        <f>SUMIF(Sheet1!$F$2:$F$329,A33,Sheet1!$W$2:$W$329)</f>
        <v>0</v>
      </c>
      <c r="M33">
        <f>SUMIF(Sheet1!$F$2:$F$329,A33,Sheet1!$X$2:$X$329)</f>
        <v>0</v>
      </c>
    </row>
    <row r="34" spans="1:13">
      <c r="A34" t="s">
        <v>86</v>
      </c>
      <c r="B34" t="str">
        <f t="shared" ref="B34:B65" si="5">LEFT(A34,2)</f>
        <v>GM</v>
      </c>
      <c r="C34" t="str">
        <f t="shared" ref="C34:C65" si="6">MID(A34,SEARCH("_",A34)+1,SEARCH("_",A34,SEARCH("_",A34)+1)-SEARCH("_",A34)-1)</f>
        <v>15</v>
      </c>
      <c r="D34" t="str">
        <f t="shared" ref="D34:D65" si="7">MID(A34,SEARCH("_",A34,4)+1,SEARCH("_",A34,SEARCH("_",A34,4)+1)-SEARCH("_",A34,4)-1)</f>
        <v>NA</v>
      </c>
      <c r="E34" t="str">
        <f t="shared" ref="E34:E65" si="8">RIGHT(A34,1)</f>
        <v>3</v>
      </c>
      <c r="F34">
        <f>SUMIF(Sheet1!$F$2:$F$329,A34,Sheet1!$T$2:$T$329)</f>
        <v>0</v>
      </c>
      <c r="G34">
        <f>VLOOKUP(A34,og_dw!$A$2:$B$182,2,)</f>
        <v>0</v>
      </c>
      <c r="H34">
        <f>G34*(VLOOKUP(VLOOKUP(A34,Sheet1!$F$2:$J$329,5,),eq!$D$2:$G$42,4,)/1000)/2</f>
        <v>0</v>
      </c>
      <c r="I34" s="17" t="e">
        <f ca="1">AVERAGEIF(Sheet1!$F$2:$F$329,A34,Sheet1!$K$2:$N$21)</f>
        <v>#DIV/0!</v>
      </c>
      <c r="J34" s="17">
        <f>COUNTIF(Sheet1!$F$2:$F$329,A34)</f>
        <v>1</v>
      </c>
      <c r="K34" t="e">
        <f t="shared" ca="1" si="4"/>
        <v>#DIV/0!</v>
      </c>
      <c r="L34" t="e">
        <f>SUMIF(Sheet1!$F$2:$F$329,A34,Sheet1!$W$2:$W$329)</f>
        <v>#VALUE!</v>
      </c>
      <c r="M34" t="e">
        <f>SUMIF(Sheet1!$F$2:$F$329,A34,Sheet1!$X$2:$X$329)</f>
        <v>#VALUE!</v>
      </c>
    </row>
    <row r="35" spans="1:13">
      <c r="A35" t="s">
        <v>87</v>
      </c>
      <c r="B35" t="str">
        <f t="shared" si="5"/>
        <v>GM</v>
      </c>
      <c r="C35" t="str">
        <f t="shared" si="6"/>
        <v>15</v>
      </c>
      <c r="D35" t="str">
        <f t="shared" si="7"/>
        <v>NA</v>
      </c>
      <c r="E35" t="str">
        <f t="shared" si="8"/>
        <v>4</v>
      </c>
      <c r="F35">
        <f>SUMIF(Sheet1!$F$2:$F$329,A35,Sheet1!$T$2:$T$329)</f>
        <v>0</v>
      </c>
      <c r="G35">
        <f>VLOOKUP(A35,og_dw!$A$2:$B$182,2,)</f>
        <v>0</v>
      </c>
      <c r="H35">
        <f>G35*(VLOOKUP(VLOOKUP(A35,Sheet1!$F$2:$J$329,5,),eq!$D$2:$G$42,4,)/1000)/2</f>
        <v>0</v>
      </c>
      <c r="I35" s="17" t="e">
        <f ca="1">AVERAGEIF(Sheet1!$F$2:$F$329,A35,Sheet1!$K$2:$N$21)</f>
        <v>#DIV/0!</v>
      </c>
      <c r="J35" s="17">
        <f>COUNTIF(Sheet1!$F$2:$F$329,A35)</f>
        <v>1</v>
      </c>
      <c r="K35" t="e">
        <f t="shared" ca="1" si="4"/>
        <v>#DIV/0!</v>
      </c>
      <c r="L35" t="e">
        <f>SUMIF(Sheet1!$F$2:$F$329,A35,Sheet1!$W$2:$W$329)</f>
        <v>#VALUE!</v>
      </c>
      <c r="M35" t="e">
        <f>SUMIF(Sheet1!$F$2:$F$329,A35,Sheet1!$X$2:$X$329)</f>
        <v>#VALUE!</v>
      </c>
    </row>
    <row r="36" spans="1:13">
      <c r="A36" t="s">
        <v>88</v>
      </c>
      <c r="B36" t="str">
        <f t="shared" si="5"/>
        <v>GM</v>
      </c>
      <c r="C36" t="str">
        <f t="shared" si="6"/>
        <v>16</v>
      </c>
      <c r="D36" t="str">
        <f t="shared" si="7"/>
        <v>NA</v>
      </c>
      <c r="E36" t="str">
        <f t="shared" si="8"/>
        <v>1</v>
      </c>
      <c r="F36">
        <f>SUMIF(Sheet1!$F$2:$F$329,A36,Sheet1!$T$2:$T$329)</f>
        <v>39499.098571636016</v>
      </c>
      <c r="G36">
        <f>VLOOKUP(A36,og_dw!$A$2:$B$182,2,)</f>
        <v>67484233.960818306</v>
      </c>
      <c r="H36">
        <f>G36*(VLOOKUP(VLOOKUP(A36,Sheet1!$F$2:$J$329,5,),eq!$D$2:$G$42,4,)/1000)/2</f>
        <v>12822.004452555479</v>
      </c>
      <c r="I36" s="17">
        <f ca="1">AVERAGEIF(Sheet1!$F$2:$F$329,A36,Sheet1!$K$2:$N$21)</f>
        <v>20</v>
      </c>
      <c r="J36" s="17">
        <f>COUNTIF(Sheet1!$F$2:$F$329,A36)</f>
        <v>3</v>
      </c>
      <c r="K36">
        <f t="shared" ca="1" si="4"/>
        <v>166686.03091996795</v>
      </c>
      <c r="L36">
        <f>SUMIF(Sheet1!$F$2:$F$329,A36,Sheet1!$W$2:$W$329)</f>
        <v>39499.098571636016</v>
      </c>
      <c r="M36">
        <f>SUMIF(Sheet1!$F$2:$F$329,A36,Sheet1!$X$2:$X$329)</f>
        <v>131960542.47711562</v>
      </c>
    </row>
    <row r="37" spans="1:13">
      <c r="A37" t="s">
        <v>89</v>
      </c>
      <c r="B37" t="str">
        <f t="shared" si="5"/>
        <v>GM</v>
      </c>
      <c r="C37" t="str">
        <f t="shared" si="6"/>
        <v>16</v>
      </c>
      <c r="D37" t="str">
        <f t="shared" si="7"/>
        <v>NA</v>
      </c>
      <c r="E37" t="str">
        <f t="shared" si="8"/>
        <v>2</v>
      </c>
      <c r="F37">
        <f>SUMIF(Sheet1!$F$2:$F$329,A37,Sheet1!$T$2:$T$329)</f>
        <v>4119.4383649453121</v>
      </c>
      <c r="G37">
        <f>VLOOKUP(A37,og_dw!$A$2:$B$182,2,)</f>
        <v>31809091.775950301</v>
      </c>
      <c r="H37">
        <f>G37*(VLOOKUP(VLOOKUP(A37,Sheet1!$F$2:$J$329,5,),eq!$D$2:$G$42,4,)/1000)/2</f>
        <v>5248.5001430317998</v>
      </c>
      <c r="I37" s="17">
        <f ca="1">AVERAGEIF(Sheet1!$F$2:$F$329,A37,Sheet1!$K$2:$N$21)</f>
        <v>15</v>
      </c>
      <c r="J37" s="17">
        <f>COUNTIF(Sheet1!$F$2:$F$329,A37)</f>
        <v>2</v>
      </c>
      <c r="K37">
        <f t="shared" ca="1" si="4"/>
        <v>56962.526078158444</v>
      </c>
      <c r="L37">
        <f>SUMIF(Sheet1!$F$2:$F$329,A37,Sheet1!$W$2:$W$329)</f>
        <v>4119.438364945313</v>
      </c>
      <c r="M37">
        <f>SUMIF(Sheet1!$F$2:$F$329,A37,Sheet1!$X$2:$X$329)</f>
        <v>41194383.649453118</v>
      </c>
    </row>
    <row r="38" spans="1:13">
      <c r="A38" t="s">
        <v>90</v>
      </c>
      <c r="B38" t="str">
        <f t="shared" si="5"/>
        <v>GM</v>
      </c>
      <c r="C38" t="str">
        <f t="shared" si="6"/>
        <v>16</v>
      </c>
      <c r="D38" t="str">
        <f t="shared" si="7"/>
        <v>NA</v>
      </c>
      <c r="E38" t="str">
        <f t="shared" si="8"/>
        <v>3</v>
      </c>
      <c r="F38">
        <f>SUMIF(Sheet1!$F$2:$F$329,A38,Sheet1!$T$2:$T$329)</f>
        <v>3997.2451234624991</v>
      </c>
      <c r="G38">
        <f>VLOOKUP(A38,og_dw!$A$2:$B$182,2,)</f>
        <v>146354628.05921599</v>
      </c>
      <c r="H38">
        <f>G38*(VLOOKUP(VLOOKUP(A38,Sheet1!$F$2:$J$329,5,),eq!$D$2:$G$42,4,)/1000)/2</f>
        <v>10976.597104441198</v>
      </c>
      <c r="I38" s="17">
        <f ca="1">AVERAGEIF(Sheet1!$F$2:$F$329,A38,Sheet1!$K$2:$N$21)</f>
        <v>17</v>
      </c>
      <c r="J38" s="17">
        <f>COUNTIF(Sheet1!$F$2:$F$329,A38)</f>
        <v>2</v>
      </c>
      <c r="K38">
        <f t="shared" ca="1" si="4"/>
        <v>76133.876860268778</v>
      </c>
      <c r="L38">
        <f>SUMIF(Sheet1!$F$2:$F$329,A38,Sheet1!$W$2:$W$329)</f>
        <v>3997.2451234624991</v>
      </c>
      <c r="M38">
        <f>SUMIF(Sheet1!$F$2:$F$329,A38,Sheet1!$X$2:$X$329)</f>
        <v>39972451.234624997</v>
      </c>
    </row>
    <row r="39" spans="1:13">
      <c r="A39" t="s">
        <v>91</v>
      </c>
      <c r="B39" t="str">
        <f t="shared" si="5"/>
        <v>GM</v>
      </c>
      <c r="C39" t="str">
        <f t="shared" si="6"/>
        <v>16</v>
      </c>
      <c r="D39" t="str">
        <f t="shared" si="7"/>
        <v>NA</v>
      </c>
      <c r="E39" t="str">
        <f t="shared" si="8"/>
        <v>4</v>
      </c>
      <c r="F39">
        <f>SUMIF(Sheet1!$F$2:$F$329,A39,Sheet1!$T$2:$T$329)</f>
        <v>5447.1967933884171</v>
      </c>
      <c r="G39">
        <f>VLOOKUP(A39,og_dw!$A$2:$B$182,2,)</f>
        <v>80911874.599045604</v>
      </c>
      <c r="H39">
        <f>G39*(VLOOKUP(VLOOKUP(A39,Sheet1!$F$2:$J$329,5,),eq!$D$2:$G$42,4,)/1000)/2</f>
        <v>10518.54369787593</v>
      </c>
      <c r="I39" s="17">
        <f ca="1">AVERAGEIF(Sheet1!$F$2:$F$329,A39,Sheet1!$K$2:$N$21)</f>
        <v>14.166666666666666</v>
      </c>
      <c r="J39" s="17">
        <f>COUNTIF(Sheet1!$F$2:$F$329,A39)</f>
        <v>3</v>
      </c>
      <c r="K39">
        <f t="shared" ca="1" si="4"/>
        <v>74868.000064730819</v>
      </c>
      <c r="L39">
        <f>SUMIF(Sheet1!$F$2:$F$329,A39,Sheet1!$W$2:$W$329)</f>
        <v>5447.1967933884171</v>
      </c>
      <c r="M39">
        <f>SUMIF(Sheet1!$F$2:$F$329,A39,Sheet1!$X$2:$X$329)</f>
        <v>38082365.802304693</v>
      </c>
    </row>
    <row r="40" spans="1:13">
      <c r="A40" t="s">
        <v>92</v>
      </c>
      <c r="B40" t="str">
        <f t="shared" si="5"/>
        <v>GM</v>
      </c>
      <c r="C40" t="str">
        <f t="shared" si="6"/>
        <v>17</v>
      </c>
      <c r="D40" t="str">
        <f t="shared" si="7"/>
        <v>NA</v>
      </c>
      <c r="E40" t="str">
        <f t="shared" si="8"/>
        <v>1</v>
      </c>
      <c r="F40">
        <f>SUMIF(Sheet1!$F$2:$F$329,A40,Sheet1!$T$2:$T$329)</f>
        <v>0</v>
      </c>
      <c r="G40">
        <f>VLOOKUP(A40,og_dw!$A$2:$B$182,2,)</f>
        <v>0</v>
      </c>
      <c r="H40">
        <f>G40*(VLOOKUP(VLOOKUP(A40,Sheet1!$F$2:$J$329,5,),eq!$D$2:$G$42,4,)/1000)/2</f>
        <v>0</v>
      </c>
      <c r="I40" s="17" t="e">
        <f ca="1">AVERAGEIF(Sheet1!$F$2:$F$329,A40,Sheet1!$K$2:$N$21)</f>
        <v>#DIV/0!</v>
      </c>
      <c r="J40" s="17">
        <f>COUNTIF(Sheet1!$F$2:$F$329,A40)</f>
        <v>1</v>
      </c>
      <c r="K40" t="e">
        <f t="shared" ca="1" si="4"/>
        <v>#DIV/0!</v>
      </c>
      <c r="L40" t="e">
        <f>SUMIF(Sheet1!$F$2:$F$329,A40,Sheet1!$W$2:$W$329)</f>
        <v>#VALUE!</v>
      </c>
      <c r="M40" t="e">
        <f>SUMIF(Sheet1!$F$2:$F$329,A40,Sheet1!$X$2:$X$329)</f>
        <v>#VALUE!</v>
      </c>
    </row>
    <row r="41" spans="1:13">
      <c r="A41" t="s">
        <v>93</v>
      </c>
      <c r="B41" t="str">
        <f t="shared" si="5"/>
        <v>GM</v>
      </c>
      <c r="C41" t="str">
        <f t="shared" si="6"/>
        <v>17</v>
      </c>
      <c r="D41" t="str">
        <f t="shared" si="7"/>
        <v>NA</v>
      </c>
      <c r="E41" t="str">
        <f t="shared" si="8"/>
        <v>2</v>
      </c>
      <c r="F41">
        <f>SUMIF(Sheet1!$F$2:$F$329,A41,Sheet1!$T$2:$T$329)</f>
        <v>0</v>
      </c>
      <c r="G41">
        <f>VLOOKUP(A41,og_dw!$A$2:$B$182,2,)</f>
        <v>0</v>
      </c>
      <c r="H41">
        <f>G41*(VLOOKUP(VLOOKUP(A41,Sheet1!$F$2:$J$329,5,),eq!$D$2:$G$42,4,)/1000)/2</f>
        <v>0</v>
      </c>
      <c r="I41" s="17" t="e">
        <f ca="1">AVERAGEIF(Sheet1!$F$2:$F$329,A41,Sheet1!$K$2:$N$21)</f>
        <v>#DIV/0!</v>
      </c>
      <c r="J41" s="17">
        <f>COUNTIF(Sheet1!$F$2:$F$329,A41)</f>
        <v>1</v>
      </c>
      <c r="K41" t="e">
        <f t="shared" ca="1" si="4"/>
        <v>#DIV/0!</v>
      </c>
      <c r="L41" t="e">
        <f>SUMIF(Sheet1!$F$2:$F$329,A41,Sheet1!$W$2:$W$329)</f>
        <v>#VALUE!</v>
      </c>
      <c r="M41" t="e">
        <f>SUMIF(Sheet1!$F$2:$F$329,A41,Sheet1!$X$2:$X$329)</f>
        <v>#VALUE!</v>
      </c>
    </row>
    <row r="42" spans="1:13">
      <c r="A42" t="s">
        <v>94</v>
      </c>
      <c r="B42" t="str">
        <f t="shared" si="5"/>
        <v>GM</v>
      </c>
      <c r="C42" t="str">
        <f t="shared" si="6"/>
        <v>17</v>
      </c>
      <c r="D42" t="str">
        <f t="shared" si="7"/>
        <v>NA</v>
      </c>
      <c r="E42" t="str">
        <f t="shared" si="8"/>
        <v>3</v>
      </c>
      <c r="F42">
        <f>SUMIF(Sheet1!$F$2:$F$329,A42,Sheet1!$T$2:$T$329)</f>
        <v>1075.5439985062499</v>
      </c>
      <c r="G42">
        <f>VLOOKUP(A42,og_dw!$A$2:$B$182,2,)</f>
        <v>46606901.462790497</v>
      </c>
      <c r="H42">
        <f>G42*(VLOOKUP(VLOOKUP(A42,Sheet1!$F$2:$J$329,5,),eq!$D$2:$G$42,4,)/1000)/2</f>
        <v>3495.5176097092867</v>
      </c>
      <c r="I42" s="17">
        <f ca="1">AVERAGEIF(Sheet1!$F$2:$F$329,A42,Sheet1!$K$2:$N$21)</f>
        <v>15</v>
      </c>
      <c r="J42" s="17">
        <f>COUNTIF(Sheet1!$F$2:$F$329,A42)</f>
        <v>1</v>
      </c>
      <c r="K42">
        <f t="shared" ca="1" si="4"/>
        <v>28481.263039079222</v>
      </c>
      <c r="L42">
        <f>SUMIF(Sheet1!$F$2:$F$329,A42,Sheet1!$W$2:$W$329)</f>
        <v>1075.5439985062499</v>
      </c>
      <c r="M42">
        <f>SUMIF(Sheet1!$F$2:$F$329,A42,Sheet1!$X$2:$X$329)</f>
        <v>10755439.9850625</v>
      </c>
    </row>
    <row r="43" spans="1:13">
      <c r="A43" t="s">
        <v>95</v>
      </c>
      <c r="B43" t="str">
        <f t="shared" si="5"/>
        <v>GM</v>
      </c>
      <c r="C43" t="str">
        <f t="shared" si="6"/>
        <v>17</v>
      </c>
      <c r="D43" t="str">
        <f t="shared" si="7"/>
        <v>NA</v>
      </c>
      <c r="E43" t="str">
        <f t="shared" si="8"/>
        <v>4</v>
      </c>
      <c r="F43">
        <f>SUMIF(Sheet1!$F$2:$F$329,A43,Sheet1!$T$2:$T$329)</f>
        <v>0</v>
      </c>
      <c r="G43">
        <f>VLOOKUP(A43,og_dw!$A$2:$B$182,2,)</f>
        <v>0</v>
      </c>
      <c r="H43">
        <f>G43*(VLOOKUP(VLOOKUP(A43,Sheet1!$F$2:$J$329,5,),eq!$D$2:$G$42,4,)/1000)/2</f>
        <v>0</v>
      </c>
      <c r="I43" s="17" t="e">
        <f ca="1">AVERAGEIF(Sheet1!$F$2:$F$329,A43,Sheet1!$K$2:$N$21)</f>
        <v>#DIV/0!</v>
      </c>
      <c r="J43" s="17">
        <f>COUNTIF(Sheet1!$F$2:$F$329,A43)</f>
        <v>1</v>
      </c>
      <c r="K43" t="e">
        <f t="shared" ca="1" si="4"/>
        <v>#DIV/0!</v>
      </c>
      <c r="L43" t="e">
        <f>SUMIF(Sheet1!$F$2:$F$329,A43,Sheet1!$W$2:$W$329)</f>
        <v>#VALUE!</v>
      </c>
      <c r="M43" t="e">
        <f>SUMIF(Sheet1!$F$2:$F$329,A43,Sheet1!$X$2:$X$329)</f>
        <v>#VALUE!</v>
      </c>
    </row>
    <row r="44" spans="1:13">
      <c r="A44" t="s">
        <v>96</v>
      </c>
      <c r="B44" t="str">
        <f t="shared" si="5"/>
        <v>GM</v>
      </c>
      <c r="C44" t="str">
        <f t="shared" si="6"/>
        <v>18</v>
      </c>
      <c r="D44" t="str">
        <f t="shared" si="7"/>
        <v>NA</v>
      </c>
      <c r="E44" t="str">
        <f t="shared" si="8"/>
        <v>1</v>
      </c>
      <c r="F44">
        <f>SUMIF(Sheet1!$F$2:$F$329,A44,Sheet1!$T$2:$T$329)</f>
        <v>0</v>
      </c>
      <c r="G44">
        <f>VLOOKUP(A44,og_dw!$A$2:$B$182,2,)</f>
        <v>0</v>
      </c>
      <c r="H44">
        <f>G44*(VLOOKUP(VLOOKUP(A44,Sheet1!$F$2:$J$329,5,),eq!$D$2:$G$42,4,)/1000)/2</f>
        <v>0</v>
      </c>
      <c r="I44" s="17" t="e">
        <f ca="1">AVERAGEIF(Sheet1!$F$2:$F$329,A44,Sheet1!$K$2:$N$21)</f>
        <v>#DIV/0!</v>
      </c>
      <c r="J44" s="17">
        <f>COUNTIF(Sheet1!$F$2:$F$329,A44)</f>
        <v>1</v>
      </c>
      <c r="K44" t="e">
        <f t="shared" ca="1" si="4"/>
        <v>#DIV/0!</v>
      </c>
      <c r="L44" t="e">
        <f>SUMIF(Sheet1!$F$2:$F$329,A44,Sheet1!$W$2:$W$329)</f>
        <v>#VALUE!</v>
      </c>
      <c r="M44" t="e">
        <f>SUMIF(Sheet1!$F$2:$F$329,A44,Sheet1!$X$2:$X$329)</f>
        <v>#VALUE!</v>
      </c>
    </row>
    <row r="45" spans="1:13">
      <c r="A45" t="s">
        <v>97</v>
      </c>
      <c r="B45" t="str">
        <f t="shared" si="5"/>
        <v>GM</v>
      </c>
      <c r="C45" t="str">
        <f t="shared" si="6"/>
        <v>18</v>
      </c>
      <c r="D45" t="str">
        <f t="shared" si="7"/>
        <v>NA</v>
      </c>
      <c r="E45" t="str">
        <f t="shared" si="8"/>
        <v>2</v>
      </c>
      <c r="F45">
        <f>SUMIF(Sheet1!$F$2:$F$329,A45,Sheet1!$T$2:$T$329)</f>
        <v>0</v>
      </c>
      <c r="G45">
        <f>VLOOKUP(A45,og_dw!$A$2:$B$182,2,)</f>
        <v>0</v>
      </c>
      <c r="H45">
        <f>G45*(VLOOKUP(VLOOKUP(A45,Sheet1!$F$2:$J$329,5,),eq!$D$2:$G$42,4,)/1000)/2</f>
        <v>0</v>
      </c>
      <c r="I45" s="17" t="e">
        <f ca="1">AVERAGEIF(Sheet1!$F$2:$F$329,A45,Sheet1!$K$2:$N$21)</f>
        <v>#DIV/0!</v>
      </c>
      <c r="J45" s="17">
        <f>COUNTIF(Sheet1!$F$2:$F$329,A45)</f>
        <v>1</v>
      </c>
      <c r="K45" t="e">
        <f t="shared" ca="1" si="4"/>
        <v>#DIV/0!</v>
      </c>
      <c r="L45" t="e">
        <f>SUMIF(Sheet1!$F$2:$F$329,A45,Sheet1!$W$2:$W$329)</f>
        <v>#VALUE!</v>
      </c>
      <c r="M45" t="e">
        <f>SUMIF(Sheet1!$F$2:$F$329,A45,Sheet1!$X$2:$X$329)</f>
        <v>#VALUE!</v>
      </c>
    </row>
    <row r="46" spans="1:13">
      <c r="A46" t="s">
        <v>98</v>
      </c>
      <c r="B46" t="str">
        <f t="shared" si="5"/>
        <v>GM</v>
      </c>
      <c r="C46" t="str">
        <f t="shared" si="6"/>
        <v>18</v>
      </c>
      <c r="D46" t="str">
        <f t="shared" si="7"/>
        <v>NA</v>
      </c>
      <c r="E46" t="str">
        <f t="shared" si="8"/>
        <v>3</v>
      </c>
      <c r="F46">
        <f>SUMIF(Sheet1!$F$2:$F$329,A46,Sheet1!$T$2:$T$329)</f>
        <v>0</v>
      </c>
      <c r="G46">
        <f>VLOOKUP(A46,og_dw!$A$2:$B$182,2,)</f>
        <v>0</v>
      </c>
      <c r="H46">
        <f>G46*(VLOOKUP(VLOOKUP(A46,Sheet1!$F$2:$J$329,5,),eq!$D$2:$G$42,4,)/1000)/2</f>
        <v>0</v>
      </c>
      <c r="I46" s="17" t="e">
        <f ca="1">AVERAGEIF(Sheet1!$F$2:$F$329,A46,Sheet1!$K$2:$N$21)</f>
        <v>#DIV/0!</v>
      </c>
      <c r="J46" s="17">
        <f>COUNTIF(Sheet1!$F$2:$F$329,A46)</f>
        <v>1</v>
      </c>
      <c r="K46" t="e">
        <f t="shared" ca="1" si="4"/>
        <v>#DIV/0!</v>
      </c>
      <c r="L46" t="e">
        <f>SUMIF(Sheet1!$F$2:$F$329,A46,Sheet1!$W$2:$W$329)</f>
        <v>#VALUE!</v>
      </c>
      <c r="M46" t="e">
        <f>SUMIF(Sheet1!$F$2:$F$329,A46,Sheet1!$X$2:$X$329)</f>
        <v>#VALUE!</v>
      </c>
    </row>
    <row r="47" spans="1:13">
      <c r="A47" t="s">
        <v>99</v>
      </c>
      <c r="B47" t="str">
        <f t="shared" si="5"/>
        <v>GM</v>
      </c>
      <c r="C47" t="str">
        <f t="shared" si="6"/>
        <v>18</v>
      </c>
      <c r="D47" t="str">
        <f t="shared" si="7"/>
        <v>NA</v>
      </c>
      <c r="E47" t="str">
        <f t="shared" si="8"/>
        <v>4</v>
      </c>
      <c r="F47">
        <f>SUMIF(Sheet1!$F$2:$F$329,A47,Sheet1!$T$2:$T$329)</f>
        <v>12443.366853076248</v>
      </c>
      <c r="G47">
        <f>VLOOKUP(A47,og_dw!$A$2:$B$182,2,)</f>
        <v>429245896.62637299</v>
      </c>
      <c r="H47">
        <f>G47*(VLOOKUP(VLOOKUP(A47,Sheet1!$F$2:$J$329,5,),eq!$D$2:$G$42,4,)/1000)/2</f>
        <v>55801.966561428497</v>
      </c>
      <c r="I47" s="17">
        <f ca="1">AVERAGEIF(Sheet1!$F$2:$F$329,A47,Sheet1!$K$2:$N$21)</f>
        <v>18.5</v>
      </c>
      <c r="J47" s="17">
        <f>COUNTIF(Sheet1!$F$2:$F$329,A47)</f>
        <v>2</v>
      </c>
      <c r="K47">
        <f t="shared" ca="1" si="4"/>
        <v>92669.912278560383</v>
      </c>
      <c r="L47">
        <f>SUMIF(Sheet1!$F$2:$F$329,A47,Sheet1!$W$2:$W$329)</f>
        <v>12443.366853076248</v>
      </c>
      <c r="M47">
        <f>SUMIF(Sheet1!$F$2:$F$329,A47,Sheet1!$X$2:$X$329)</f>
        <v>124433668.53076246</v>
      </c>
    </row>
    <row r="48" spans="1:13">
      <c r="A48" t="s">
        <v>100</v>
      </c>
      <c r="B48" t="str">
        <f t="shared" si="5"/>
        <v>GM</v>
      </c>
      <c r="C48" t="str">
        <f t="shared" si="6"/>
        <v>2</v>
      </c>
      <c r="D48" t="str">
        <f t="shared" si="7"/>
        <v>NA</v>
      </c>
      <c r="E48" t="str">
        <f t="shared" si="8"/>
        <v>1</v>
      </c>
      <c r="F48">
        <f>SUMIF(Sheet1!$F$2:$F$329,A48,Sheet1!$T$2:$T$329)</f>
        <v>0</v>
      </c>
      <c r="G48">
        <f>VLOOKUP(A48,og_dw!$A$2:$B$182,2,)</f>
        <v>0</v>
      </c>
      <c r="H48">
        <f>G48*(VLOOKUP(VLOOKUP(A48,Sheet1!$F$2:$J$329,5,),eq!$D$2:$G$42,4,)/1000)/2</f>
        <v>0</v>
      </c>
      <c r="I48" s="17" t="e">
        <f ca="1">AVERAGEIF(Sheet1!$F$2:$F$329,A48,Sheet1!$K$2:$N$21)</f>
        <v>#DIV/0!</v>
      </c>
      <c r="J48" s="17">
        <f>COUNTIF(Sheet1!$F$2:$F$329,A48)</f>
        <v>1</v>
      </c>
      <c r="K48" t="e">
        <f t="shared" ca="1" si="4"/>
        <v>#DIV/0!</v>
      </c>
      <c r="L48" t="e">
        <f>SUMIF(Sheet1!$F$2:$F$329,A48,Sheet1!$W$2:$W$329)</f>
        <v>#VALUE!</v>
      </c>
      <c r="M48" t="e">
        <f>SUMIF(Sheet1!$F$2:$F$329,A48,Sheet1!$X$2:$X$329)</f>
        <v>#VALUE!</v>
      </c>
    </row>
    <row r="49" spans="1:13">
      <c r="A49" t="s">
        <v>101</v>
      </c>
      <c r="B49" t="str">
        <f t="shared" si="5"/>
        <v>GM</v>
      </c>
      <c r="C49" t="str">
        <f t="shared" si="6"/>
        <v>2</v>
      </c>
      <c r="D49" t="str">
        <f t="shared" si="7"/>
        <v>NA</v>
      </c>
      <c r="E49" t="str">
        <f t="shared" si="8"/>
        <v>2</v>
      </c>
      <c r="F49">
        <f>SUMIF(Sheet1!$F$2:$F$329,A49,Sheet1!$T$2:$T$329)</f>
        <v>5968.8696203499994</v>
      </c>
      <c r="G49">
        <f>VLOOKUP(A49,og_dw!$A$2:$B$182,2,)</f>
        <v>22038.900783463101</v>
      </c>
      <c r="H49">
        <f>G49*(VLOOKUP(VLOOKUP(A49,Sheet1!$F$2:$J$329,5,),eq!$D$2:$G$42,4,)/1000)/2</f>
        <v>2.8650571018502036</v>
      </c>
      <c r="I49" s="17">
        <f ca="1">AVERAGEIF(Sheet1!$F$2:$F$329,A49,Sheet1!$K$2:$N$21)</f>
        <v>10</v>
      </c>
      <c r="J49" s="17">
        <f>COUNTIF(Sheet1!$F$2:$F$329,A49)</f>
        <v>1</v>
      </c>
      <c r="K49">
        <f t="shared" ca="1" si="4"/>
        <v>11213.240523678</v>
      </c>
      <c r="L49">
        <f>SUMIF(Sheet1!$F$2:$F$329,A49,Sheet1!$W$2:$W$329)</f>
        <v>5968.8696203500003</v>
      </c>
      <c r="M49">
        <f>SUMIF(Sheet1!$F$2:$F$329,A49,Sheet1!$X$2:$X$329)</f>
        <v>59688696.203500003</v>
      </c>
    </row>
    <row r="50" spans="1:13">
      <c r="A50" t="s">
        <v>102</v>
      </c>
      <c r="B50" t="str">
        <f t="shared" si="5"/>
        <v>GM</v>
      </c>
      <c r="C50" t="str">
        <f t="shared" si="6"/>
        <v>2</v>
      </c>
      <c r="D50" t="str">
        <f t="shared" si="7"/>
        <v>NA</v>
      </c>
      <c r="E50" t="str">
        <f t="shared" si="8"/>
        <v>3</v>
      </c>
      <c r="F50">
        <f>SUMIF(Sheet1!$F$2:$F$329,A50,Sheet1!$T$2:$T$329)</f>
        <v>1856.2249502671873</v>
      </c>
      <c r="G50">
        <f>VLOOKUP(A50,og_dw!$A$2:$B$182,2,)</f>
        <v>6131.1665839154903</v>
      </c>
      <c r="H50">
        <f>G50*(VLOOKUP(VLOOKUP(A50,Sheet1!$F$2:$J$329,5,),eq!$D$2:$G$42,4,)/1000)/2</f>
        <v>1.0116424863460558</v>
      </c>
      <c r="I50" s="17">
        <f ca="1">AVERAGEIF(Sheet1!$F$2:$F$329,A50,Sheet1!$K$2:$N$21)</f>
        <v>13</v>
      </c>
      <c r="J50" s="17">
        <f>COUNTIF(Sheet1!$F$2:$F$329,A50)</f>
        <v>1</v>
      </c>
      <c r="K50">
        <f t="shared" ca="1" si="4"/>
        <v>20468.197389615292</v>
      </c>
      <c r="L50">
        <f>SUMIF(Sheet1!$F$2:$F$329,A50,Sheet1!$W$2:$W$329)</f>
        <v>1856.2249502671875</v>
      </c>
      <c r="M50">
        <f>SUMIF(Sheet1!$F$2:$F$329,A50,Sheet1!$X$2:$X$329)</f>
        <v>18562249.502671871</v>
      </c>
    </row>
    <row r="51" spans="1:13">
      <c r="A51" t="s">
        <v>103</v>
      </c>
      <c r="B51" t="str">
        <f t="shared" si="5"/>
        <v>GM</v>
      </c>
      <c r="C51" t="str">
        <f t="shared" si="6"/>
        <v>2</v>
      </c>
      <c r="D51" t="str">
        <f t="shared" si="7"/>
        <v>NA</v>
      </c>
      <c r="E51" t="str">
        <f t="shared" si="8"/>
        <v>4</v>
      </c>
      <c r="F51">
        <f>SUMIF(Sheet1!$F$2:$F$329,A51,Sheet1!$T$2:$T$329)</f>
        <v>0</v>
      </c>
      <c r="G51">
        <f>VLOOKUP(A51,og_dw!$A$2:$B$182,2,)</f>
        <v>0</v>
      </c>
      <c r="H51">
        <f>G51*(VLOOKUP(VLOOKUP(A51,Sheet1!$F$2:$J$329,5,),eq!$D$2:$G$42,4,)/1000)/2</f>
        <v>0</v>
      </c>
      <c r="I51" s="17" t="e">
        <f ca="1">AVERAGEIF(Sheet1!$F$2:$F$329,A51,Sheet1!$K$2:$N$21)</f>
        <v>#DIV/0!</v>
      </c>
      <c r="J51" s="17">
        <f>COUNTIF(Sheet1!$F$2:$F$329,A51)</f>
        <v>1</v>
      </c>
      <c r="K51" t="e">
        <f t="shared" ca="1" si="4"/>
        <v>#DIV/0!</v>
      </c>
      <c r="L51" t="e">
        <f>SUMIF(Sheet1!$F$2:$F$329,A51,Sheet1!$W$2:$W$329)</f>
        <v>#VALUE!</v>
      </c>
      <c r="M51" t="e">
        <f>SUMIF(Sheet1!$F$2:$F$329,A51,Sheet1!$X$2:$X$329)</f>
        <v>#VALUE!</v>
      </c>
    </row>
    <row r="52" spans="1:13">
      <c r="A52" t="s">
        <v>104</v>
      </c>
      <c r="B52" t="str">
        <f t="shared" si="5"/>
        <v>GM</v>
      </c>
      <c r="C52" t="str">
        <f t="shared" si="6"/>
        <v>3</v>
      </c>
      <c r="D52" t="str">
        <f t="shared" si="7"/>
        <v>NA</v>
      </c>
      <c r="E52" t="str">
        <f t="shared" si="8"/>
        <v>1</v>
      </c>
      <c r="F52">
        <f>SUMIF(Sheet1!$F$2:$F$329,A52,Sheet1!$T$2:$T$329)</f>
        <v>0</v>
      </c>
      <c r="G52">
        <f>VLOOKUP(A52,og_dw!$A$2:$B$182,2,)</f>
        <v>0</v>
      </c>
      <c r="H52">
        <f>G52*(VLOOKUP(VLOOKUP(A52,Sheet1!$F$2:$J$329,5,),eq!$D$2:$G$42,4,)/1000)/2</f>
        <v>0</v>
      </c>
      <c r="I52" s="17" t="e">
        <f ca="1">AVERAGEIF(Sheet1!$F$2:$F$329,A52,Sheet1!$K$2:$N$21)</f>
        <v>#DIV/0!</v>
      </c>
      <c r="J52" s="17">
        <f>COUNTIF(Sheet1!$F$2:$F$329,A52)</f>
        <v>1</v>
      </c>
      <c r="K52" t="e">
        <f t="shared" ca="1" si="4"/>
        <v>#DIV/0!</v>
      </c>
      <c r="L52" t="e">
        <f>SUMIF(Sheet1!$F$2:$F$329,A52,Sheet1!$W$2:$W$329)</f>
        <v>#VALUE!</v>
      </c>
      <c r="M52" t="e">
        <f>SUMIF(Sheet1!$F$2:$F$329,A52,Sheet1!$X$2:$X$329)</f>
        <v>#VALUE!</v>
      </c>
    </row>
    <row r="53" spans="1:13">
      <c r="A53" t="s">
        <v>105</v>
      </c>
      <c r="B53" t="str">
        <f t="shared" si="5"/>
        <v>GM</v>
      </c>
      <c r="C53" t="str">
        <f t="shared" si="6"/>
        <v>3</v>
      </c>
      <c r="D53" t="str">
        <f t="shared" si="7"/>
        <v>NA</v>
      </c>
      <c r="E53" t="str">
        <f t="shared" si="8"/>
        <v>2</v>
      </c>
      <c r="F53">
        <f>SUMIF(Sheet1!$F$2:$F$329,A53,Sheet1!$T$2:$T$329)</f>
        <v>0</v>
      </c>
      <c r="G53">
        <f>VLOOKUP(A53,og_dw!$A$2:$B$182,2,)</f>
        <v>0</v>
      </c>
      <c r="H53">
        <f>G53*(VLOOKUP(VLOOKUP(A53,Sheet1!$F$2:$J$329,5,),eq!$D$2:$G$42,4,)/1000)/2</f>
        <v>0</v>
      </c>
      <c r="I53" s="17" t="e">
        <f ca="1">AVERAGEIF(Sheet1!$F$2:$F$329,A53,Sheet1!$K$2:$N$21)</f>
        <v>#DIV/0!</v>
      </c>
      <c r="J53" s="17">
        <f>COUNTIF(Sheet1!$F$2:$F$329,A53)</f>
        <v>1</v>
      </c>
      <c r="K53" t="e">
        <f t="shared" ca="1" si="4"/>
        <v>#DIV/0!</v>
      </c>
      <c r="L53" t="e">
        <f>SUMIF(Sheet1!$F$2:$F$329,A53,Sheet1!$W$2:$W$329)</f>
        <v>#VALUE!</v>
      </c>
      <c r="M53" t="e">
        <f>SUMIF(Sheet1!$F$2:$F$329,A53,Sheet1!$X$2:$X$329)</f>
        <v>#VALUE!</v>
      </c>
    </row>
    <row r="54" spans="1:13">
      <c r="A54" t="s">
        <v>106</v>
      </c>
      <c r="B54" t="str">
        <f t="shared" si="5"/>
        <v>GM</v>
      </c>
      <c r="C54" t="str">
        <f t="shared" si="6"/>
        <v>3</v>
      </c>
      <c r="D54" t="str">
        <f t="shared" si="7"/>
        <v>NA</v>
      </c>
      <c r="E54" t="str">
        <f t="shared" si="8"/>
        <v>3</v>
      </c>
      <c r="F54">
        <f>SUMIF(Sheet1!$F$2:$F$329,A54,Sheet1!$T$2:$T$329)</f>
        <v>1398.4310365593749</v>
      </c>
      <c r="G54">
        <f>VLOOKUP(A54,og_dw!$A$2:$B$182,2,)</f>
        <v>40112885.836123899</v>
      </c>
      <c r="H54">
        <f>G54*(VLOOKUP(VLOOKUP(A54,Sheet1!$F$2:$J$329,5,),eq!$D$2:$G$42,4,)/1000)/2</f>
        <v>7621.4483088635416</v>
      </c>
      <c r="I54" s="17">
        <f ca="1">AVERAGEIF(Sheet1!$F$2:$F$329,A54,Sheet1!$K$2:$N$21)</f>
        <v>10</v>
      </c>
      <c r="J54" s="17">
        <f>COUNTIF(Sheet1!$F$2:$F$329,A54)</f>
        <v>1</v>
      </c>
      <c r="K54">
        <f t="shared" ca="1" si="4"/>
        <v>11213.240523678</v>
      </c>
      <c r="L54">
        <f>SUMIF(Sheet1!$F$2:$F$329,A54,Sheet1!$W$2:$W$329)</f>
        <v>1398.4310365593751</v>
      </c>
      <c r="M54">
        <f>SUMIF(Sheet1!$F$2:$F$329,A54,Sheet1!$X$2:$X$329)</f>
        <v>13984310.36559375</v>
      </c>
    </row>
    <row r="55" spans="1:13">
      <c r="A55" t="s">
        <v>107</v>
      </c>
      <c r="B55" t="str">
        <f t="shared" si="5"/>
        <v>GM</v>
      </c>
      <c r="C55" t="str">
        <f t="shared" si="6"/>
        <v>3</v>
      </c>
      <c r="D55" t="str">
        <f t="shared" si="7"/>
        <v>NA</v>
      </c>
      <c r="E55" t="str">
        <f t="shared" si="8"/>
        <v>4</v>
      </c>
      <c r="F55">
        <f>SUMIF(Sheet1!$F$2:$F$329,A55,Sheet1!$T$2:$T$329)</f>
        <v>2342.3521058437495</v>
      </c>
      <c r="G55">
        <f>VLOOKUP(A55,og_dw!$A$2:$B$182,2,)</f>
        <v>7736.8591328578405</v>
      </c>
      <c r="H55">
        <f>G55*(VLOOKUP(VLOOKUP(A55,Sheet1!$F$2:$J$329,5,),eq!$D$2:$G$42,4,)/1000)/2</f>
        <v>1.2765817569215436</v>
      </c>
      <c r="I55" s="17">
        <f ca="1">AVERAGEIF(Sheet1!$F$2:$F$329,A55,Sheet1!$K$2:$N$21)</f>
        <v>11</v>
      </c>
      <c r="J55" s="17">
        <f>COUNTIF(Sheet1!$F$2:$F$329,A55)</f>
        <v>1</v>
      </c>
      <c r="K55">
        <f t="shared" ca="1" si="4"/>
        <v>13944.512905793015</v>
      </c>
      <c r="L55">
        <f>SUMIF(Sheet1!$F$2:$F$329,A55,Sheet1!$W$2:$W$329)</f>
        <v>2342.3521058437495</v>
      </c>
      <c r="M55">
        <f>SUMIF(Sheet1!$F$2:$F$329,A55,Sheet1!$X$2:$X$329)</f>
        <v>23423521.058437496</v>
      </c>
    </row>
    <row r="56" spans="1:13">
      <c r="A56" t="s">
        <v>108</v>
      </c>
      <c r="B56" t="str">
        <f t="shared" si="5"/>
        <v>GM</v>
      </c>
      <c r="C56" t="str">
        <f t="shared" si="6"/>
        <v>35</v>
      </c>
      <c r="D56" t="str">
        <f t="shared" si="7"/>
        <v>NA</v>
      </c>
      <c r="E56" t="str">
        <f t="shared" si="8"/>
        <v>1</v>
      </c>
      <c r="F56">
        <f>SUMIF(Sheet1!$F$2:$F$329,A56,Sheet1!$T$2:$T$329)</f>
        <v>0</v>
      </c>
      <c r="G56">
        <f>VLOOKUP(A56,og_dw!$A$2:$B$182,2,)</f>
        <v>0</v>
      </c>
      <c r="H56">
        <f>G56*(VLOOKUP(VLOOKUP(A56,Sheet1!$F$2:$J$329,5,),eq!$D$2:$G$42,4,)/1000)/2</f>
        <v>0</v>
      </c>
      <c r="I56" s="17" t="e">
        <f ca="1">AVERAGEIF(Sheet1!$F$2:$F$329,A56,Sheet1!$K$2:$N$21)</f>
        <v>#DIV/0!</v>
      </c>
      <c r="J56" s="17">
        <f>COUNTIF(Sheet1!$F$2:$F$329,A56)</f>
        <v>1</v>
      </c>
      <c r="K56" t="e">
        <f t="shared" ca="1" si="4"/>
        <v>#DIV/0!</v>
      </c>
      <c r="L56" t="e">
        <f>SUMIF(Sheet1!$F$2:$F$329,A56,Sheet1!$W$2:$W$329)</f>
        <v>#VALUE!</v>
      </c>
      <c r="M56" t="e">
        <f>SUMIF(Sheet1!$F$2:$F$329,A56,Sheet1!$X$2:$X$329)</f>
        <v>#VALUE!</v>
      </c>
    </row>
    <row r="57" spans="1:13">
      <c r="A57" t="s">
        <v>109</v>
      </c>
      <c r="B57" t="str">
        <f t="shared" si="5"/>
        <v>GM</v>
      </c>
      <c r="C57" t="str">
        <f t="shared" si="6"/>
        <v>35</v>
      </c>
      <c r="D57" t="str">
        <f t="shared" si="7"/>
        <v>NA</v>
      </c>
      <c r="E57" t="str">
        <f t="shared" si="8"/>
        <v>2</v>
      </c>
      <c r="F57">
        <f>SUMIF(Sheet1!$F$2:$F$329,A57,Sheet1!$T$2:$T$329)</f>
        <v>942.8705991249999</v>
      </c>
      <c r="G57">
        <f>VLOOKUP(A57,og_dw!$A$2:$B$182,2,)</f>
        <v>24514632.874124601</v>
      </c>
      <c r="H57">
        <f>G57*(VLOOKUP(VLOOKUP(A57,Sheet1!$F$2:$J$329,5,),eq!$D$2:$G$42,4,)/1000)/2</f>
        <v>3064.3291092655754</v>
      </c>
      <c r="I57" s="17">
        <f ca="1">AVERAGEIF(Sheet1!$F$2:$F$329,A57,Sheet1!$K$2:$N$21)</f>
        <v>15</v>
      </c>
      <c r="J57" s="17">
        <f>COUNTIF(Sheet1!$F$2:$F$329,A57)</f>
        <v>1</v>
      </c>
      <c r="K57">
        <f t="shared" ca="1" si="4"/>
        <v>28481.263039079222</v>
      </c>
      <c r="L57">
        <f>SUMIF(Sheet1!$F$2:$F$329,A57,Sheet1!$W$2:$W$329)</f>
        <v>942.87059912500001</v>
      </c>
      <c r="M57">
        <f>SUMIF(Sheet1!$F$2:$F$329,A57,Sheet1!$X$2:$X$329)</f>
        <v>9428705.991249999</v>
      </c>
    </row>
    <row r="58" spans="1:13">
      <c r="A58" t="s">
        <v>110</v>
      </c>
      <c r="B58" t="str">
        <f t="shared" si="5"/>
        <v>GM</v>
      </c>
      <c r="C58" t="str">
        <f t="shared" si="6"/>
        <v>35</v>
      </c>
      <c r="D58" t="str">
        <f t="shared" si="7"/>
        <v>NA</v>
      </c>
      <c r="E58" t="str">
        <f t="shared" si="8"/>
        <v>3</v>
      </c>
      <c r="F58">
        <f>SUMIF(Sheet1!$F$2:$F$329,A58,Sheet1!$T$2:$T$329)</f>
        <v>2723.6384125234372</v>
      </c>
      <c r="G58">
        <f>VLOOKUP(A58,og_dw!$A$2:$B$182,2,)</f>
        <v>70814590.917182297</v>
      </c>
      <c r="H58">
        <f>G58*(VLOOKUP(VLOOKUP(A58,Sheet1!$F$2:$J$329,5,),eq!$D$2:$G$42,4,)/1000)/2</f>
        <v>8851.8238646477876</v>
      </c>
      <c r="I58" s="17">
        <f ca="1">AVERAGEIF(Sheet1!$F$2:$F$329,A58,Sheet1!$K$2:$N$21)</f>
        <v>15.666666666666666</v>
      </c>
      <c r="J58" s="17">
        <f>COUNTIF(Sheet1!$F$2:$F$329,A58)</f>
        <v>3</v>
      </c>
      <c r="K58">
        <f t="shared" ca="1" si="4"/>
        <v>94493.47031211252</v>
      </c>
      <c r="L58">
        <f>SUMIF(Sheet1!$F$2:$F$329,A58,Sheet1!$W$2:$W$329)</f>
        <v>2723.6384125234376</v>
      </c>
      <c r="M58">
        <f>SUMIF(Sheet1!$F$2:$F$329,A58,Sheet1!$X$2:$X$329)</f>
        <v>27236384.125234369</v>
      </c>
    </row>
    <row r="59" spans="1:13">
      <c r="A59" t="s">
        <v>111</v>
      </c>
      <c r="B59" t="str">
        <f t="shared" si="5"/>
        <v>GM</v>
      </c>
      <c r="C59" t="str">
        <f t="shared" si="6"/>
        <v>35</v>
      </c>
      <c r="D59" t="str">
        <f t="shared" si="7"/>
        <v>NA</v>
      </c>
      <c r="E59" t="str">
        <f t="shared" si="8"/>
        <v>4</v>
      </c>
      <c r="F59">
        <f>SUMIF(Sheet1!$F$2:$F$329,A59,Sheet1!$T$2:$T$329)</f>
        <v>1135.2686266796877</v>
      </c>
      <c r="G59">
        <f>VLOOKUP(A59,og_dw!$A$2:$B$182,2,)</f>
        <v>29516981.038958501</v>
      </c>
      <c r="H59">
        <f>G59*(VLOOKUP(VLOOKUP(A59,Sheet1!$F$2:$J$329,5,),eq!$D$2:$G$42,4,)/1000)/2</f>
        <v>3689.6226298698125</v>
      </c>
      <c r="I59" s="17">
        <f ca="1">AVERAGEIF(Sheet1!$F$2:$F$329,A59,Sheet1!$K$2:$N$21)</f>
        <v>16</v>
      </c>
      <c r="J59" s="17">
        <f>COUNTIF(Sheet1!$F$2:$F$329,A59)</f>
        <v>1</v>
      </c>
      <c r="K59">
        <f t="shared" ca="1" si="4"/>
        <v>33072.564827895032</v>
      </c>
      <c r="L59">
        <f>SUMIF(Sheet1!$F$2:$F$329,A59,Sheet1!$W$2:$W$329)</f>
        <v>1135.2686266796879</v>
      </c>
      <c r="M59">
        <f>SUMIF(Sheet1!$F$2:$F$329,A59,Sheet1!$X$2:$X$329)</f>
        <v>11352686.266796876</v>
      </c>
    </row>
    <row r="60" spans="1:13">
      <c r="A60" t="s">
        <v>112</v>
      </c>
      <c r="B60" t="str">
        <f t="shared" si="5"/>
        <v>GM</v>
      </c>
      <c r="C60" t="str">
        <f t="shared" si="6"/>
        <v>36</v>
      </c>
      <c r="D60" t="str">
        <f t="shared" si="7"/>
        <v>NA</v>
      </c>
      <c r="E60" t="str">
        <f t="shared" si="8"/>
        <v>1</v>
      </c>
      <c r="F60">
        <f>SUMIF(Sheet1!$F$2:$F$329,A60,Sheet1!$T$2:$T$329)</f>
        <v>11705.317318325313</v>
      </c>
      <c r="G60">
        <f>VLOOKUP(A60,og_dw!$A$2:$B$182,2,)</f>
        <v>366519025.32375997</v>
      </c>
      <c r="H60">
        <f>G60*(VLOOKUP(VLOOKUP(A60,Sheet1!$F$2:$J$329,5,),eq!$D$2:$G$42,4,)/1000)/2</f>
        <v>27488.926899281996</v>
      </c>
      <c r="I60" s="17">
        <f ca="1">AVERAGEIF(Sheet1!$F$2:$F$329,A60,Sheet1!$K$2:$N$21)</f>
        <v>16.666666666666668</v>
      </c>
      <c r="J60" s="17">
        <f>COUNTIF(Sheet1!$F$2:$F$329,A60)</f>
        <v>3</v>
      </c>
      <c r="K60">
        <f t="shared" ca="1" si="4"/>
        <v>109070.30591799736</v>
      </c>
      <c r="L60">
        <f>SUMIF(Sheet1!$F$2:$F$329,A60,Sheet1!$W$2:$W$329)</f>
        <v>11705.317318325313</v>
      </c>
      <c r="M60">
        <f>SUMIF(Sheet1!$F$2:$F$329,A60,Sheet1!$X$2:$X$329)</f>
        <v>117053173.18325311</v>
      </c>
    </row>
    <row r="61" spans="1:13">
      <c r="A61" t="s">
        <v>113</v>
      </c>
      <c r="B61" t="str">
        <f t="shared" si="5"/>
        <v>GM</v>
      </c>
      <c r="C61" t="str">
        <f t="shared" si="6"/>
        <v>36</v>
      </c>
      <c r="D61" t="str">
        <f t="shared" si="7"/>
        <v>NA</v>
      </c>
      <c r="E61" t="str">
        <f t="shared" si="8"/>
        <v>2</v>
      </c>
      <c r="F61">
        <f>SUMIF(Sheet1!$F$2:$F$329,A61,Sheet1!$T$2:$T$329)</f>
        <v>8234.3852336484379</v>
      </c>
      <c r="G61">
        <f>VLOOKUP(A61,og_dw!$A$2:$B$182,2,)</f>
        <v>219940245.25506601</v>
      </c>
      <c r="H61">
        <f>G61*(VLOOKUP(VLOOKUP(A61,Sheet1!$F$2:$J$329,5,),eq!$D$2:$G$42,4,)/1000)/2</f>
        <v>16495.518394129947</v>
      </c>
      <c r="I61" s="17">
        <f ca="1">AVERAGEIF(Sheet1!$F$2:$F$329,A61,Sheet1!$K$2:$N$21)</f>
        <v>17.666666666666668</v>
      </c>
      <c r="J61" s="17">
        <f>COUNTIF(Sheet1!$F$2:$F$329,A61)</f>
        <v>3</v>
      </c>
      <c r="K61">
        <f t="shared" ca="1" si="4"/>
        <v>124875.46031197532</v>
      </c>
      <c r="L61">
        <f>SUMIF(Sheet1!$F$2:$F$329,A61,Sheet1!$W$2:$W$329)</f>
        <v>8234.3852336484379</v>
      </c>
      <c r="M61">
        <f>SUMIF(Sheet1!$F$2:$F$329,A61,Sheet1!$X$2:$X$329)</f>
        <v>82343852.336484373</v>
      </c>
    </row>
    <row r="62" spans="1:13">
      <c r="A62" t="s">
        <v>114</v>
      </c>
      <c r="B62" t="str">
        <f t="shared" si="5"/>
        <v>GM</v>
      </c>
      <c r="C62" t="str">
        <f t="shared" si="6"/>
        <v>36</v>
      </c>
      <c r="D62" t="str">
        <f t="shared" si="7"/>
        <v>NA</v>
      </c>
      <c r="E62" t="str">
        <f t="shared" si="8"/>
        <v>3</v>
      </c>
      <c r="F62">
        <f>SUMIF(Sheet1!$F$2:$F$329,A62,Sheet1!$T$2:$T$329)</f>
        <v>16057.486856206249</v>
      </c>
      <c r="G62">
        <f>VLOOKUP(A62,og_dw!$A$2:$B$182,2,)</f>
        <v>40338915.495028302</v>
      </c>
      <c r="H62">
        <f>G62*(VLOOKUP(VLOOKUP(A62,Sheet1!$F$2:$J$329,5,),eq!$D$2:$G$42,4,)/1000)/2</f>
        <v>5244.0590143536801</v>
      </c>
      <c r="I62" s="17">
        <f ca="1">AVERAGEIF(Sheet1!$F$2:$F$329,A62,Sheet1!$K$2:$N$21)</f>
        <v>21</v>
      </c>
      <c r="J62" s="17">
        <f>COUNTIF(Sheet1!$F$2:$F$329,A62)</f>
        <v>2</v>
      </c>
      <c r="K62">
        <f t="shared" ca="1" si="4"/>
        <v>124521.57345654727</v>
      </c>
      <c r="L62">
        <f>SUMIF(Sheet1!$F$2:$F$329,A62,Sheet1!$W$2:$W$329)</f>
        <v>16057.486856206253</v>
      </c>
      <c r="M62">
        <f>SUMIF(Sheet1!$F$2:$F$329,A62,Sheet1!$X$2:$X$329)</f>
        <v>160574868.56206247</v>
      </c>
    </row>
    <row r="63" spans="1:13">
      <c r="A63" t="s">
        <v>115</v>
      </c>
      <c r="B63" t="str">
        <f t="shared" si="5"/>
        <v>GM</v>
      </c>
      <c r="C63" t="str">
        <f t="shared" si="6"/>
        <v>36</v>
      </c>
      <c r="D63" t="str">
        <f t="shared" si="7"/>
        <v>NA</v>
      </c>
      <c r="E63" t="str">
        <f t="shared" si="8"/>
        <v>4</v>
      </c>
      <c r="F63">
        <f>SUMIF(Sheet1!$F$2:$F$329,A63,Sheet1!$T$2:$T$329)</f>
        <v>8136.9089659670308</v>
      </c>
      <c r="G63">
        <f>VLOOKUP(A63,og_dw!$A$2:$B$182,2,)</f>
        <v>246814798.39364499</v>
      </c>
      <c r="H63">
        <f>G63*(VLOOKUP(VLOOKUP(A63,Sheet1!$F$2:$J$329,5,),eq!$D$2:$G$42,4,)/1000)/2</f>
        <v>18511.109879523374</v>
      </c>
      <c r="I63" s="17">
        <f ca="1">AVERAGEIF(Sheet1!$F$2:$F$329,A63,Sheet1!$K$2:$N$21)</f>
        <v>14.5</v>
      </c>
      <c r="J63" s="17">
        <f>COUNTIF(Sheet1!$F$2:$F$329,A63)</f>
        <v>6</v>
      </c>
      <c r="K63">
        <f t="shared" ca="1" si="4"/>
        <v>158002.23807238817</v>
      </c>
      <c r="L63">
        <f>SUMIF(Sheet1!$F$2:$F$329,A63,Sheet1!$W$2:$W$329)</f>
        <v>8136.9089659670308</v>
      </c>
      <c r="M63">
        <f>SUMIF(Sheet1!$F$2:$F$329,A63,Sheet1!$X$2:$X$329)</f>
        <v>81369089.659670308</v>
      </c>
    </row>
    <row r="64" spans="1:13">
      <c r="A64" t="s">
        <v>116</v>
      </c>
      <c r="B64" t="str">
        <f t="shared" si="5"/>
        <v>GM</v>
      </c>
      <c r="C64" t="str">
        <f t="shared" si="6"/>
        <v>4</v>
      </c>
      <c r="D64" t="str">
        <f t="shared" si="7"/>
        <v>NA</v>
      </c>
      <c r="E64" t="str">
        <f t="shared" si="8"/>
        <v>1</v>
      </c>
      <c r="F64">
        <f>SUMIF(Sheet1!$F$2:$F$329,A64,Sheet1!$T$2:$T$329)</f>
        <v>4119.8065203749993</v>
      </c>
      <c r="G64">
        <f>VLOOKUP(A64,og_dw!$A$2:$B$182,2,)</f>
        <v>15211.591628681799</v>
      </c>
      <c r="H64">
        <f>G64*(VLOOKUP(VLOOKUP(A64,Sheet1!$F$2:$J$329,5,),eq!$D$2:$G$42,4,)/1000)/2</f>
        <v>1.9775069117286341</v>
      </c>
      <c r="I64" s="17">
        <f ca="1">AVERAGEIF(Sheet1!$F$2:$F$329,A64,Sheet1!$K$2:$N$21)</f>
        <v>10</v>
      </c>
      <c r="J64" s="17">
        <f>COUNTIF(Sheet1!$F$2:$F$329,A64)</f>
        <v>1</v>
      </c>
      <c r="K64">
        <f t="shared" ca="1" si="4"/>
        <v>11213.240523678</v>
      </c>
      <c r="L64">
        <f>SUMIF(Sheet1!$F$2:$F$329,A64,Sheet1!$W$2:$W$329)</f>
        <v>4119.8065203750002</v>
      </c>
      <c r="M64">
        <f>SUMIF(Sheet1!$F$2:$F$329,A64,Sheet1!$X$2:$X$329)</f>
        <v>41198065.203749999</v>
      </c>
    </row>
    <row r="65" spans="1:13">
      <c r="A65" t="s">
        <v>117</v>
      </c>
      <c r="B65" t="str">
        <f t="shared" si="5"/>
        <v>GM</v>
      </c>
      <c r="C65" t="str">
        <f t="shared" si="6"/>
        <v>4</v>
      </c>
      <c r="D65" t="str">
        <f t="shared" si="7"/>
        <v>NA</v>
      </c>
      <c r="E65" t="str">
        <f t="shared" si="8"/>
        <v>2</v>
      </c>
      <c r="F65">
        <f>SUMIF(Sheet1!$F$2:$F$329,A65,Sheet1!$T$2:$T$329)</f>
        <v>1432.819698935625</v>
      </c>
      <c r="G65">
        <f>VLOOKUP(A65,og_dw!$A$2:$B$182,2,)</f>
        <v>5290.4106127186797</v>
      </c>
      <c r="H65">
        <f>G65*(VLOOKUP(VLOOKUP(A65,Sheet1!$F$2:$J$329,5,),eq!$D$2:$G$42,4,)/1000)/2</f>
        <v>0.68775337965342842</v>
      </c>
      <c r="I65" s="17">
        <f ca="1">AVERAGEIF(Sheet1!$F$2:$F$329,A65,Sheet1!$K$2:$N$21)</f>
        <v>13</v>
      </c>
      <c r="J65" s="17">
        <f>COUNTIF(Sheet1!$F$2:$F$329,A65)</f>
        <v>1</v>
      </c>
      <c r="K65">
        <f t="shared" ca="1" si="4"/>
        <v>20468.197389615292</v>
      </c>
      <c r="L65">
        <f>SUMIF(Sheet1!$F$2:$F$329,A65,Sheet1!$W$2:$W$329)</f>
        <v>1432.8196989356252</v>
      </c>
      <c r="M65">
        <f>SUMIF(Sheet1!$F$2:$F$329,A65,Sheet1!$X$2:$X$329)</f>
        <v>14328196.98935625</v>
      </c>
    </row>
    <row r="66" spans="1:13">
      <c r="A66" t="s">
        <v>118</v>
      </c>
      <c r="B66" t="str">
        <f t="shared" ref="B66:B97" si="9">LEFT(A66,2)</f>
        <v>GM</v>
      </c>
      <c r="C66" t="str">
        <f t="shared" ref="C66:C97" si="10">MID(A66,SEARCH("_",A66)+1,SEARCH("_",A66,SEARCH("_",A66)+1)-SEARCH("_",A66)-1)</f>
        <v>4</v>
      </c>
      <c r="D66" t="str">
        <f t="shared" ref="D66:D97" si="11">MID(A66,SEARCH("_",A66,4)+1,SEARCH("_",A66,SEARCH("_",A66,4)+1)-SEARCH("_",A66,4)-1)</f>
        <v>NA</v>
      </c>
      <c r="E66" t="str">
        <f t="shared" ref="E66:E97" si="12">RIGHT(A66,1)</f>
        <v>3</v>
      </c>
      <c r="F66">
        <f>SUMIF(Sheet1!$F$2:$F$329,A66,Sheet1!$T$2:$T$329)</f>
        <v>0</v>
      </c>
      <c r="G66">
        <f>VLOOKUP(A66,og_dw!$A$2:$B$182,2,)</f>
        <v>0</v>
      </c>
      <c r="H66">
        <f>G66*(VLOOKUP(VLOOKUP(A66,Sheet1!$F$2:$J$329,5,),eq!$D$2:$G$42,4,)/1000)/2</f>
        <v>0</v>
      </c>
      <c r="I66" s="17" t="e">
        <f ca="1">AVERAGEIF(Sheet1!$F$2:$F$329,A66,Sheet1!$K$2:$N$21)</f>
        <v>#DIV/0!</v>
      </c>
      <c r="J66" s="17">
        <f>COUNTIF(Sheet1!$F$2:$F$329,A66)</f>
        <v>1</v>
      </c>
      <c r="K66" t="e">
        <f t="shared" ca="1" si="4"/>
        <v>#DIV/0!</v>
      </c>
      <c r="L66" t="e">
        <f>SUMIF(Sheet1!$F$2:$F$329,A66,Sheet1!$W$2:$W$329)</f>
        <v>#VALUE!</v>
      </c>
      <c r="M66" t="e">
        <f>SUMIF(Sheet1!$F$2:$F$329,A66,Sheet1!$X$2:$X$329)</f>
        <v>#VALUE!</v>
      </c>
    </row>
    <row r="67" spans="1:13">
      <c r="A67" t="s">
        <v>119</v>
      </c>
      <c r="B67" t="str">
        <f t="shared" si="9"/>
        <v>GM</v>
      </c>
      <c r="C67" t="str">
        <f t="shared" si="10"/>
        <v>4</v>
      </c>
      <c r="D67" t="str">
        <f t="shared" si="11"/>
        <v>NA</v>
      </c>
      <c r="E67" t="str">
        <f t="shared" si="12"/>
        <v>4</v>
      </c>
      <c r="F67">
        <f>SUMIF(Sheet1!$F$2:$F$329,A67,Sheet1!$T$2:$T$329)</f>
        <v>1298.6069189843752</v>
      </c>
      <c r="G67">
        <f>VLOOKUP(A67,og_dw!$A$2:$B$182,2,)</f>
        <v>4794.8557875414199</v>
      </c>
      <c r="H67">
        <f>G67*(VLOOKUP(VLOOKUP(A67,Sheet1!$F$2:$J$329,5,),eq!$D$2:$G$42,4,)/1000)/2</f>
        <v>0.62333125238038467</v>
      </c>
      <c r="I67" s="17">
        <f ca="1">AVERAGEIF(Sheet1!$F$2:$F$329,A67,Sheet1!$K$2:$N$21)</f>
        <v>11</v>
      </c>
      <c r="J67" s="17">
        <f>COUNTIF(Sheet1!$F$2:$F$329,A67)</f>
        <v>1</v>
      </c>
      <c r="K67">
        <f t="shared" ref="K67:K130" ca="1" si="13">(0.0534*(I67^2.403)+0.0115*(I67^2.3484)+0.007*(I67^2.5406)+0.084*(I67^1.6695))*1000*J67/2</f>
        <v>13944.512905793015</v>
      </c>
      <c r="L67">
        <f>SUMIF(Sheet1!$F$2:$F$329,A67,Sheet1!$W$2:$W$329)</f>
        <v>1298.6069189843752</v>
      </c>
      <c r="M67">
        <f>SUMIF(Sheet1!$F$2:$F$329,A67,Sheet1!$X$2:$X$329)</f>
        <v>12986069.189843751</v>
      </c>
    </row>
    <row r="68" spans="1:13">
      <c r="A68" t="s">
        <v>120</v>
      </c>
      <c r="B68" t="str">
        <f t="shared" si="9"/>
        <v>GM</v>
      </c>
      <c r="C68" t="str">
        <f t="shared" si="10"/>
        <v>5</v>
      </c>
      <c r="D68" t="str">
        <f t="shared" si="11"/>
        <v>CTRL</v>
      </c>
      <c r="E68" t="str">
        <f t="shared" si="12"/>
        <v>1</v>
      </c>
      <c r="F68">
        <f>SUMIF(Sheet1!$F$2:$F$329,A68,Sheet1!$T$2:$T$329)</f>
        <v>0</v>
      </c>
      <c r="G68">
        <f>VLOOKUP(A68,og_dw!$A$2:$B$182,2,)</f>
        <v>0</v>
      </c>
      <c r="H68">
        <f>G68*(VLOOKUP(VLOOKUP(A68,Sheet1!$F$2:$J$329,5,),eq!$D$2:$G$42,4,)/1000)/2</f>
        <v>0</v>
      </c>
      <c r="I68" s="17" t="e">
        <f ca="1">AVERAGEIF(Sheet1!$F$2:$F$329,A68,Sheet1!$K$2:$N$21)</f>
        <v>#DIV/0!</v>
      </c>
      <c r="J68" s="17">
        <f>COUNTIF(Sheet1!$F$2:$F$329,A68)</f>
        <v>1</v>
      </c>
      <c r="K68" t="e">
        <f t="shared" ca="1" si="13"/>
        <v>#DIV/0!</v>
      </c>
      <c r="L68" t="e">
        <f>SUMIF(Sheet1!$F$2:$F$329,A68,Sheet1!$W$2:$W$329)</f>
        <v>#VALUE!</v>
      </c>
      <c r="M68" t="e">
        <f>SUMIF(Sheet1!$F$2:$F$329,A68,Sheet1!$X$2:$X$329)</f>
        <v>#VALUE!</v>
      </c>
    </row>
    <row r="69" spans="1:13">
      <c r="A69" t="s">
        <v>121</v>
      </c>
      <c r="B69" t="str">
        <f t="shared" si="9"/>
        <v>GM</v>
      </c>
      <c r="C69" t="str">
        <f t="shared" si="10"/>
        <v>5</v>
      </c>
      <c r="D69" t="str">
        <f t="shared" si="11"/>
        <v>CTRL</v>
      </c>
      <c r="E69" t="str">
        <f t="shared" si="12"/>
        <v>2</v>
      </c>
      <c r="F69">
        <f>SUMIF(Sheet1!$F$2:$F$329,A69,Sheet1!$T$2:$T$329)</f>
        <v>694.93018907812495</v>
      </c>
      <c r="G69">
        <f>VLOOKUP(A69,og_dw!$A$2:$B$182,2,)</f>
        <v>16956294.743806999</v>
      </c>
      <c r="H69">
        <f>G69*(VLOOKUP(VLOOKUP(A69,Sheet1!$F$2:$J$329,5,),eq!$D$2:$G$42,4,)/1000)/2</f>
        <v>2119.5368429758751</v>
      </c>
      <c r="I69" s="17">
        <f ca="1">AVERAGEIF(Sheet1!$F$2:$F$329,A69,Sheet1!$K$2:$N$21)</f>
        <v>16</v>
      </c>
      <c r="J69" s="17">
        <f>COUNTIF(Sheet1!$F$2:$F$329,A69)</f>
        <v>1</v>
      </c>
      <c r="K69">
        <f t="shared" ca="1" si="13"/>
        <v>33072.564827895032</v>
      </c>
      <c r="L69">
        <f>SUMIF(Sheet1!$F$2:$F$329,A69,Sheet1!$W$2:$W$329)</f>
        <v>694.93018907812495</v>
      </c>
      <c r="M69">
        <f>SUMIF(Sheet1!$F$2:$F$329,A69,Sheet1!$X$2:$X$329)</f>
        <v>6949301.8907812499</v>
      </c>
    </row>
    <row r="70" spans="1:13">
      <c r="A70" t="s">
        <v>122</v>
      </c>
      <c r="B70" t="str">
        <f t="shared" si="9"/>
        <v>GM</v>
      </c>
      <c r="C70" t="str">
        <f t="shared" si="10"/>
        <v>5</v>
      </c>
      <c r="D70" t="str">
        <f t="shared" si="11"/>
        <v>CTRL</v>
      </c>
      <c r="E70" t="str">
        <f t="shared" si="12"/>
        <v>3</v>
      </c>
      <c r="F70">
        <f>SUMIF(Sheet1!$F$2:$F$329,A70,Sheet1!$T$2:$T$329)</f>
        <v>6143.8759854062491</v>
      </c>
      <c r="G70">
        <f>VLOOKUP(A70,og_dw!$A$2:$B$182,2,)</f>
        <v>201422623.93628699</v>
      </c>
      <c r="H70">
        <f>G70*(VLOOKUP(VLOOKUP(A70,Sheet1!$F$2:$J$329,5,),eq!$D$2:$G$42,4,)/1000)/2</f>
        <v>25177.827992035873</v>
      </c>
      <c r="I70" s="17">
        <f ca="1">AVERAGEIF(Sheet1!$F$2:$F$329,A70,Sheet1!$K$2:$N$21)</f>
        <v>20.333333333333332</v>
      </c>
      <c r="J70" s="17">
        <f>COUNTIF(Sheet1!$F$2:$F$329,A70)</f>
        <v>3</v>
      </c>
      <c r="K70">
        <f t="shared" ca="1" si="13"/>
        <v>173237.08843040833</v>
      </c>
      <c r="L70">
        <f>SUMIF(Sheet1!$F$2:$F$329,A70,Sheet1!$W$2:$W$329)</f>
        <v>6143.87598540625</v>
      </c>
      <c r="M70">
        <f>SUMIF(Sheet1!$F$2:$F$329,A70,Sheet1!$X$2:$X$329)</f>
        <v>61438759.854062498</v>
      </c>
    </row>
    <row r="71" spans="1:13">
      <c r="A71" t="s">
        <v>123</v>
      </c>
      <c r="B71" t="str">
        <f t="shared" si="9"/>
        <v>GM</v>
      </c>
      <c r="C71" t="str">
        <f t="shared" si="10"/>
        <v>5</v>
      </c>
      <c r="D71" t="str">
        <f t="shared" si="11"/>
        <v>CTRL</v>
      </c>
      <c r="E71" t="str">
        <f t="shared" si="12"/>
        <v>4</v>
      </c>
      <c r="F71">
        <f>SUMIF(Sheet1!$F$2:$F$329,A71,Sheet1!$T$2:$T$329)</f>
        <v>1282.948041375</v>
      </c>
      <c r="G71">
        <f>VLOOKUP(A71,og_dw!$A$2:$B$182,2,)</f>
        <v>31303928.757797498</v>
      </c>
      <c r="H71">
        <f>G71*(VLOOKUP(VLOOKUP(A71,Sheet1!$F$2:$J$329,5,),eq!$D$2:$G$42,4,)/1000)/2</f>
        <v>3912.9910947246872</v>
      </c>
      <c r="I71" s="17">
        <f ca="1">AVERAGEIF(Sheet1!$F$2:$F$329,A71,Sheet1!$K$2:$N$21)</f>
        <v>16.5</v>
      </c>
      <c r="J71" s="17">
        <f>COUNTIF(Sheet1!$F$2:$F$329,A71)</f>
        <v>2</v>
      </c>
      <c r="K71">
        <f t="shared" ca="1" si="13"/>
        <v>71037.533144092828</v>
      </c>
      <c r="L71">
        <f>SUMIF(Sheet1!$F$2:$F$329,A71,Sheet1!$W$2:$W$329)</f>
        <v>1282.948041375</v>
      </c>
      <c r="M71">
        <f>SUMIF(Sheet1!$F$2:$F$329,A71,Sheet1!$X$2:$X$329)</f>
        <v>12829480.41375</v>
      </c>
    </row>
    <row r="72" spans="1:13">
      <c r="A72" t="s">
        <v>124</v>
      </c>
      <c r="B72" t="str">
        <f t="shared" si="9"/>
        <v>GM</v>
      </c>
      <c r="C72" t="str">
        <f t="shared" si="10"/>
        <v>5</v>
      </c>
      <c r="D72" t="str">
        <f t="shared" si="11"/>
        <v>EX</v>
      </c>
      <c r="E72" t="str">
        <f t="shared" si="12"/>
        <v>1</v>
      </c>
      <c r="F72">
        <f>SUMIF(Sheet1!$F$2:$F$329,A72,Sheet1!$T$2:$T$329)</f>
        <v>1948.2785339062502</v>
      </c>
      <c r="G72">
        <f>VLOOKUP(A72,og_dw!$A$2:$B$182,2,)</f>
        <v>84425393.826704502</v>
      </c>
      <c r="H72">
        <f>G72*(VLOOKUP(VLOOKUP(A72,Sheet1!$F$2:$J$329,5,),eq!$D$2:$G$42,4,)/1000)/2</f>
        <v>6331.9045370028371</v>
      </c>
      <c r="I72" s="17">
        <f ca="1">AVERAGEIF(Sheet1!$F$2:$F$329,A72,Sheet1!$K$2:$N$21)</f>
        <v>17</v>
      </c>
      <c r="J72" s="17">
        <f>COUNTIF(Sheet1!$F$2:$F$329,A72)</f>
        <v>1</v>
      </c>
      <c r="K72">
        <f t="shared" ca="1" si="13"/>
        <v>38066.938430134389</v>
      </c>
      <c r="L72">
        <f>SUMIF(Sheet1!$F$2:$F$329,A72,Sheet1!$W$2:$W$329)</f>
        <v>1948.27853390625</v>
      </c>
      <c r="M72">
        <f>SUMIF(Sheet1!$F$2:$F$329,A72,Sheet1!$X$2:$X$329)</f>
        <v>19482785.339062501</v>
      </c>
    </row>
    <row r="73" spans="1:13">
      <c r="A73" t="s">
        <v>125</v>
      </c>
      <c r="B73" t="str">
        <f t="shared" si="9"/>
        <v>GM</v>
      </c>
      <c r="C73" t="str">
        <f t="shared" si="10"/>
        <v>5</v>
      </c>
      <c r="D73" t="str">
        <f t="shared" si="11"/>
        <v>EX</v>
      </c>
      <c r="E73" t="str">
        <f t="shared" si="12"/>
        <v>2</v>
      </c>
      <c r="F73">
        <f>SUMIF(Sheet1!$F$2:$F$329,A73,Sheet1!$T$2:$T$329)</f>
        <v>0</v>
      </c>
      <c r="G73">
        <f>VLOOKUP(A73,og_dw!$A$2:$B$182,2,)</f>
        <v>0</v>
      </c>
      <c r="H73">
        <f>G73*(VLOOKUP(VLOOKUP(A73,Sheet1!$F$2:$J$329,5,),eq!$D$2:$G$42,4,)/1000)/2</f>
        <v>0</v>
      </c>
      <c r="I73" s="17" t="e">
        <f ca="1">AVERAGEIF(Sheet1!$F$2:$F$329,A73,Sheet1!$K$2:$N$21)</f>
        <v>#DIV/0!</v>
      </c>
      <c r="J73" s="17">
        <f>COUNTIF(Sheet1!$F$2:$F$329,A73)</f>
        <v>1</v>
      </c>
      <c r="K73" t="e">
        <f t="shared" ca="1" si="13"/>
        <v>#DIV/0!</v>
      </c>
      <c r="L73" t="e">
        <f>SUMIF(Sheet1!$F$2:$F$329,A73,Sheet1!$W$2:$W$329)</f>
        <v>#VALUE!</v>
      </c>
      <c r="M73" t="e">
        <f>SUMIF(Sheet1!$F$2:$F$329,A73,Sheet1!$X$2:$X$329)</f>
        <v>#VALUE!</v>
      </c>
    </row>
    <row r="74" spans="1:13">
      <c r="A74" t="s">
        <v>126</v>
      </c>
      <c r="B74" t="str">
        <f t="shared" si="9"/>
        <v>GM</v>
      </c>
      <c r="C74" t="str">
        <f t="shared" si="10"/>
        <v>5</v>
      </c>
      <c r="D74" t="str">
        <f t="shared" si="11"/>
        <v>EX</v>
      </c>
      <c r="E74" t="str">
        <f t="shared" si="12"/>
        <v>3</v>
      </c>
      <c r="F74">
        <f>SUMIF(Sheet1!$F$2:$F$329,A74,Sheet1!$T$2:$T$329)</f>
        <v>1895.06780246875</v>
      </c>
      <c r="G74">
        <f>VLOOKUP(A74,og_dw!$A$2:$B$182,2,)</f>
        <v>46239649.281585902</v>
      </c>
      <c r="H74">
        <f>G74*(VLOOKUP(VLOOKUP(A74,Sheet1!$F$2:$J$329,5,),eq!$D$2:$G$42,4,)/1000)/2</f>
        <v>5779.9561601982377</v>
      </c>
      <c r="I74" s="17">
        <f ca="1">AVERAGEIF(Sheet1!$F$2:$F$329,A74,Sheet1!$K$2:$N$21)</f>
        <v>21</v>
      </c>
      <c r="J74" s="17">
        <f>COUNTIF(Sheet1!$F$2:$F$329,A74)</f>
        <v>2</v>
      </c>
      <c r="K74">
        <f t="shared" ca="1" si="13"/>
        <v>124521.57345654727</v>
      </c>
      <c r="L74">
        <f>SUMIF(Sheet1!$F$2:$F$329,A74,Sheet1!$W$2:$W$329)</f>
        <v>1895.06780246875</v>
      </c>
      <c r="M74">
        <f>SUMIF(Sheet1!$F$2:$F$329,A74,Sheet1!$X$2:$X$329)</f>
        <v>18950678.024687499</v>
      </c>
    </row>
    <row r="75" spans="1:13">
      <c r="A75" t="s">
        <v>127</v>
      </c>
      <c r="B75" t="str">
        <f t="shared" si="9"/>
        <v>GM</v>
      </c>
      <c r="C75" t="str">
        <f t="shared" si="10"/>
        <v>6</v>
      </c>
      <c r="D75" t="str">
        <f t="shared" si="11"/>
        <v>NA</v>
      </c>
      <c r="E75" t="str">
        <f t="shared" si="12"/>
        <v>1</v>
      </c>
      <c r="F75">
        <f>SUMIF(Sheet1!$F$2:$F$329,A75,Sheet1!$T$2:$T$329)</f>
        <v>44391.404167451241</v>
      </c>
      <c r="G75">
        <f>VLOOKUP(A75,og_dw!$A$2:$B$182,2,)</f>
        <v>1693219121.52314</v>
      </c>
      <c r="H75">
        <f>G75*(VLOOKUP(VLOOKUP(A75,Sheet1!$F$2:$J$329,5,),eq!$D$2:$G$42,4,)/1000)/2</f>
        <v>279381.15505131811</v>
      </c>
      <c r="I75" s="17">
        <f ca="1">AVERAGEIF(Sheet1!$F$2:$F$329,A75,Sheet1!$K$2:$N$21)</f>
        <v>19.833333333333332</v>
      </c>
      <c r="J75" s="17">
        <f>COUNTIF(Sheet1!$F$2:$F$329,A75)</f>
        <v>6</v>
      </c>
      <c r="K75">
        <f t="shared" ca="1" si="13"/>
        <v>326930.96891670965</v>
      </c>
      <c r="L75">
        <f>SUMIF(Sheet1!$F$2:$F$329,A75,Sheet1!$W$2:$W$329)</f>
        <v>44391.404167451241</v>
      </c>
      <c r="M75">
        <f>SUMIF(Sheet1!$F$2:$F$329,A75,Sheet1!$X$2:$X$329)</f>
        <v>443914041.67451251</v>
      </c>
    </row>
    <row r="76" spans="1:13">
      <c r="A76" t="s">
        <v>128</v>
      </c>
      <c r="B76" t="str">
        <f t="shared" si="9"/>
        <v>GM</v>
      </c>
      <c r="C76" t="str">
        <f t="shared" si="10"/>
        <v>6</v>
      </c>
      <c r="D76" t="str">
        <f t="shared" si="11"/>
        <v>NA</v>
      </c>
      <c r="E76" t="str">
        <f t="shared" si="12"/>
        <v>2</v>
      </c>
      <c r="F76">
        <f>SUMIF(Sheet1!$F$2:$F$329,A76,Sheet1!$T$2:$T$329)</f>
        <v>16362.839878328125</v>
      </c>
      <c r="G76">
        <f>VLOOKUP(A76,og_dw!$A$2:$B$182,2,)</f>
        <v>669817497.05032301</v>
      </c>
      <c r="H76">
        <f>G76*(VLOOKUP(VLOOKUP(A76,Sheet1!$F$2:$J$329,5,),eq!$D$2:$G$42,4,)/1000)/2</f>
        <v>87076.274616541996</v>
      </c>
      <c r="I76" s="17">
        <f ca="1">AVERAGEIF(Sheet1!$F$2:$F$329,A76,Sheet1!$K$2:$N$21)</f>
        <v>20.5</v>
      </c>
      <c r="J76" s="17">
        <f>COUNTIF(Sheet1!$F$2:$F$329,A76)</f>
        <v>2</v>
      </c>
      <c r="K76">
        <f t="shared" ca="1" si="13"/>
        <v>117711.89058085489</v>
      </c>
      <c r="L76">
        <f>SUMIF(Sheet1!$F$2:$F$329,A76,Sheet1!$W$2:$W$329)</f>
        <v>16362.839878328123</v>
      </c>
      <c r="M76">
        <f>SUMIF(Sheet1!$F$2:$F$329,A76,Sheet1!$X$2:$X$329)</f>
        <v>163628398.78328124</v>
      </c>
    </row>
    <row r="77" spans="1:13">
      <c r="A77" t="s">
        <v>129</v>
      </c>
      <c r="B77" t="str">
        <f t="shared" si="9"/>
        <v>GM</v>
      </c>
      <c r="C77" t="str">
        <f t="shared" si="10"/>
        <v>6</v>
      </c>
      <c r="D77" t="str">
        <f t="shared" si="11"/>
        <v>NA</v>
      </c>
      <c r="E77" t="str">
        <f t="shared" si="12"/>
        <v>3</v>
      </c>
      <c r="F77">
        <f>SUMIF(Sheet1!$F$2:$F$329,A77,Sheet1!$T$2:$T$329)</f>
        <v>30862.609523092688</v>
      </c>
      <c r="G77">
        <f>VLOOKUP(A77,og_dw!$A$2:$B$182,2,)</f>
        <v>209260966.72118801</v>
      </c>
      <c r="H77">
        <f>G77*(VLOOKUP(VLOOKUP(A77,Sheet1!$F$2:$J$329,5,),eq!$D$2:$G$42,4,)/1000)/2</f>
        <v>27203.925673754446</v>
      </c>
      <c r="I77" s="17">
        <f ca="1">AVERAGEIF(Sheet1!$F$2:$F$329,A77,Sheet1!$K$2:$N$21)</f>
        <v>19.333333333333332</v>
      </c>
      <c r="J77" s="17">
        <f>COUNTIF(Sheet1!$F$2:$F$329,A77)</f>
        <v>3</v>
      </c>
      <c r="K77">
        <f t="shared" ca="1" si="13"/>
        <v>154022.34450931699</v>
      </c>
      <c r="L77">
        <f>SUMIF(Sheet1!$F$2:$F$329,A77,Sheet1!$W$2:$W$329)</f>
        <v>30862.609523092688</v>
      </c>
      <c r="M77">
        <f>SUMIF(Sheet1!$F$2:$F$329,A77,Sheet1!$X$2:$X$329)</f>
        <v>250338819.95281246</v>
      </c>
    </row>
    <row r="78" spans="1:13">
      <c r="A78" t="s">
        <v>130</v>
      </c>
      <c r="B78" t="str">
        <f t="shared" si="9"/>
        <v>GM</v>
      </c>
      <c r="C78" t="str">
        <f t="shared" si="10"/>
        <v>6</v>
      </c>
      <c r="D78" t="str">
        <f t="shared" si="11"/>
        <v>NA</v>
      </c>
      <c r="E78" t="str">
        <f t="shared" si="12"/>
        <v>4</v>
      </c>
      <c r="F78">
        <f>SUMIF(Sheet1!$F$2:$F$329,A78,Sheet1!$T$2:$T$329)</f>
        <v>4618.6129489499999</v>
      </c>
      <c r="G78">
        <f>VLOOKUP(A78,og_dw!$A$2:$B$182,2,)</f>
        <v>200139872.38591799</v>
      </c>
      <c r="H78">
        <f>G78*(VLOOKUP(VLOOKUP(A78,Sheet1!$F$2:$J$329,5,),eq!$D$2:$G$42,4,)/1000)/2</f>
        <v>15010.490428943847</v>
      </c>
      <c r="I78" s="17">
        <f ca="1">AVERAGEIF(Sheet1!$F$2:$F$329,A78,Sheet1!$K$2:$N$21)</f>
        <v>19</v>
      </c>
      <c r="J78" s="17">
        <f>COUNTIF(Sheet1!$F$2:$F$329,A78)</f>
        <v>1</v>
      </c>
      <c r="K78">
        <f t="shared" ca="1" si="13"/>
        <v>49302.5993981711</v>
      </c>
      <c r="L78">
        <f>SUMIF(Sheet1!$F$2:$F$329,A78,Sheet1!$W$2:$W$329)</f>
        <v>4618.612948949999</v>
      </c>
      <c r="M78">
        <f>SUMIF(Sheet1!$F$2:$F$329,A78,Sheet1!$X$2:$X$329)</f>
        <v>46186129.489499994</v>
      </c>
    </row>
    <row r="79" spans="1:13">
      <c r="A79" t="s">
        <v>131</v>
      </c>
      <c r="B79" t="str">
        <f t="shared" si="9"/>
        <v>GM</v>
      </c>
      <c r="C79" t="str">
        <f t="shared" si="10"/>
        <v>7</v>
      </c>
      <c r="D79" t="str">
        <f t="shared" si="11"/>
        <v>NA</v>
      </c>
      <c r="E79" t="str">
        <f t="shared" si="12"/>
        <v>1</v>
      </c>
      <c r="F79">
        <f>SUMIF(Sheet1!$F$2:$F$329,A79,Sheet1!$T$2:$T$329)</f>
        <v>3752.6230210218746</v>
      </c>
      <c r="G79">
        <f>VLOOKUP(A79,og_dw!$A$2:$B$182,2,)</f>
        <v>162613646.31355801</v>
      </c>
      <c r="H79">
        <f>G79*(VLOOKUP(VLOOKUP(A79,Sheet1!$F$2:$J$329,5,),eq!$D$2:$G$42,4,)/1000)/2</f>
        <v>12196.023473516851</v>
      </c>
      <c r="I79" s="17">
        <f ca="1">AVERAGEIF(Sheet1!$F$2:$F$329,A79,Sheet1!$K$2:$N$21)</f>
        <v>16</v>
      </c>
      <c r="J79" s="17">
        <f>COUNTIF(Sheet1!$F$2:$F$329,A79)</f>
        <v>1</v>
      </c>
      <c r="K79">
        <f t="shared" ca="1" si="13"/>
        <v>33072.564827895032</v>
      </c>
      <c r="L79">
        <f>SUMIF(Sheet1!$F$2:$F$329,A79,Sheet1!$W$2:$W$329)</f>
        <v>3752.6230210218746</v>
      </c>
      <c r="M79">
        <f>SUMIF(Sheet1!$F$2:$F$329,A79,Sheet1!$X$2:$X$329)</f>
        <v>37526230.210218742</v>
      </c>
    </row>
    <row r="80" spans="1:13">
      <c r="A80" t="s">
        <v>132</v>
      </c>
      <c r="B80" t="str">
        <f t="shared" si="9"/>
        <v>GM</v>
      </c>
      <c r="C80" t="str">
        <f t="shared" si="10"/>
        <v>7</v>
      </c>
      <c r="D80" t="str">
        <f t="shared" si="11"/>
        <v>NA</v>
      </c>
      <c r="E80" t="str">
        <f t="shared" si="12"/>
        <v>2</v>
      </c>
      <c r="F80">
        <f>SUMIF(Sheet1!$F$2:$F$329,A80,Sheet1!$T$2:$T$329)</f>
        <v>10926.185980608763</v>
      </c>
      <c r="G80">
        <f>VLOOKUP(A80,og_dw!$A$2:$B$182,2,)</f>
        <v>308515140.46416098</v>
      </c>
      <c r="H80">
        <f>G80*(VLOOKUP(VLOOKUP(A80,Sheet1!$F$2:$J$329,5,),eq!$D$2:$G$42,4,)/1000)/2</f>
        <v>50904.99817658656</v>
      </c>
      <c r="I80" s="17">
        <f ca="1">AVERAGEIF(Sheet1!$F$2:$F$329,A80,Sheet1!$K$2:$N$21)</f>
        <v>15.5</v>
      </c>
      <c r="J80" s="17">
        <f>COUNTIF(Sheet1!$F$2:$F$329,A80)</f>
        <v>2</v>
      </c>
      <c r="K80">
        <f t="shared" ca="1" si="13"/>
        <v>61454.272338509683</v>
      </c>
      <c r="L80">
        <f>SUMIF(Sheet1!$F$2:$F$329,A80,Sheet1!$W$2:$W$329)</f>
        <v>10926.185980608763</v>
      </c>
      <c r="M80">
        <f>SUMIF(Sheet1!$F$2:$F$329,A80,Sheet1!$X$2:$X$329)</f>
        <v>97047243.887343749</v>
      </c>
    </row>
    <row r="81" spans="1:13">
      <c r="A81" t="s">
        <v>133</v>
      </c>
      <c r="B81" t="str">
        <f t="shared" si="9"/>
        <v>GM</v>
      </c>
      <c r="C81" t="str">
        <f t="shared" si="10"/>
        <v>7</v>
      </c>
      <c r="D81" t="str">
        <f t="shared" si="11"/>
        <v>NA</v>
      </c>
      <c r="E81" t="str">
        <f t="shared" si="12"/>
        <v>3</v>
      </c>
      <c r="F81">
        <f>SUMIF(Sheet1!$F$2:$F$329,A81,Sheet1!$T$2:$T$329)</f>
        <v>2222.73987936</v>
      </c>
      <c r="G81">
        <f>VLOOKUP(A81,og_dw!$A$2:$B$182,2,)</f>
        <v>73417763.677331999</v>
      </c>
      <c r="H81">
        <f>G81*(VLOOKUP(VLOOKUP(A81,Sheet1!$F$2:$J$329,5,),eq!$D$2:$G$42,4,)/1000)/2</f>
        <v>12113.93100675978</v>
      </c>
      <c r="I81" s="17">
        <f ca="1">AVERAGEIF(Sheet1!$F$2:$F$329,A81,Sheet1!$K$2:$N$21)</f>
        <v>18</v>
      </c>
      <c r="J81" s="17">
        <f>COUNTIF(Sheet1!$F$2:$F$329,A81)</f>
        <v>1</v>
      </c>
      <c r="K81">
        <f t="shared" ca="1" si="13"/>
        <v>43473.883480243028</v>
      </c>
      <c r="L81">
        <f>SUMIF(Sheet1!$F$2:$F$329,A81,Sheet1!$W$2:$W$329)</f>
        <v>2222.73987936</v>
      </c>
      <c r="M81">
        <f>SUMIF(Sheet1!$F$2:$F$329,A81,Sheet1!$X$2:$X$329)</f>
        <v>22227398.7936</v>
      </c>
    </row>
    <row r="82" spans="1:13">
      <c r="A82" t="s">
        <v>134</v>
      </c>
      <c r="B82" t="str">
        <f t="shared" si="9"/>
        <v>GM</v>
      </c>
      <c r="C82" t="str">
        <f t="shared" si="10"/>
        <v>7</v>
      </c>
      <c r="D82" t="str">
        <f t="shared" si="11"/>
        <v>NA</v>
      </c>
      <c r="E82" t="str">
        <f t="shared" si="12"/>
        <v>4</v>
      </c>
      <c r="F82">
        <f>SUMIF(Sheet1!$F$2:$F$329,A82,Sheet1!$T$2:$T$329)</f>
        <v>10505.849332015941</v>
      </c>
      <c r="G82">
        <f>VLOOKUP(A82,og_dw!$A$2:$B$182,2,)</f>
        <v>347921532.77815002</v>
      </c>
      <c r="H82">
        <f>G82*(VLOOKUP(VLOOKUP(A82,Sheet1!$F$2:$J$329,5,),eq!$D$2:$G$42,4,)/1000)/2</f>
        <v>45229.799261159511</v>
      </c>
      <c r="I82" s="17">
        <f ca="1">AVERAGEIF(Sheet1!$F$2:$F$329,A82,Sheet1!$K$2:$N$21)</f>
        <v>15.5</v>
      </c>
      <c r="J82" s="17">
        <f>COUNTIF(Sheet1!$F$2:$F$329,A82)</f>
        <v>4</v>
      </c>
      <c r="K82">
        <f t="shared" ca="1" si="13"/>
        <v>122908.54467701937</v>
      </c>
      <c r="L82">
        <f>SUMIF(Sheet1!$F$2:$F$329,A82,Sheet1!$W$2:$W$329)</f>
        <v>10505.849332015941</v>
      </c>
      <c r="M82">
        <f>SUMIF(Sheet1!$F$2:$F$329,A82,Sheet1!$X$2:$X$329)</f>
        <v>99016787.078868747</v>
      </c>
    </row>
    <row r="83" spans="1:13">
      <c r="A83" t="s">
        <v>135</v>
      </c>
      <c r="B83" t="str">
        <f t="shared" si="9"/>
        <v>GM</v>
      </c>
      <c r="C83" t="str">
        <f t="shared" si="10"/>
        <v>8</v>
      </c>
      <c r="D83" t="str">
        <f t="shared" si="11"/>
        <v>NA</v>
      </c>
      <c r="E83" t="str">
        <f t="shared" si="12"/>
        <v>1</v>
      </c>
      <c r="F83">
        <f>SUMIF(Sheet1!$F$2:$F$329,A83,Sheet1!$T$2:$T$329)</f>
        <v>17993.1990181125</v>
      </c>
      <c r="G83">
        <f>VLOOKUP(A83,og_dw!$A$2:$B$182,2,)</f>
        <v>349090408.03665298</v>
      </c>
      <c r="H83">
        <f>G83*(VLOOKUP(VLOOKUP(A83,Sheet1!$F$2:$J$329,5,),eq!$D$2:$G$42,4,)/1000)/2</f>
        <v>45381.75304476489</v>
      </c>
      <c r="I83" s="17">
        <f ca="1">AVERAGEIF(Sheet1!$F$2:$F$329,A83,Sheet1!$K$2:$N$21)</f>
        <v>22</v>
      </c>
      <c r="J83" s="17">
        <f>COUNTIF(Sheet1!$F$2:$F$329,A83)</f>
        <v>5</v>
      </c>
      <c r="K83">
        <f t="shared" ca="1" si="13"/>
        <v>347036.82306613331</v>
      </c>
      <c r="L83">
        <f>SUMIF(Sheet1!$F$2:$F$329,A83,Sheet1!$W$2:$W$329)</f>
        <v>17993.1990181125</v>
      </c>
      <c r="M83">
        <f>SUMIF(Sheet1!$F$2:$F$329,A83,Sheet1!$X$2:$X$329)</f>
        <v>179931990.18112502</v>
      </c>
    </row>
    <row r="84" spans="1:13">
      <c r="A84" t="s">
        <v>136</v>
      </c>
      <c r="B84" t="str">
        <f t="shared" si="9"/>
        <v>GM</v>
      </c>
      <c r="C84" t="str">
        <f t="shared" si="10"/>
        <v>8</v>
      </c>
      <c r="D84" t="str">
        <f t="shared" si="11"/>
        <v>NA</v>
      </c>
      <c r="E84" t="str">
        <f t="shared" si="12"/>
        <v>2</v>
      </c>
      <c r="F84">
        <f>SUMIF(Sheet1!$F$2:$F$329,A84,Sheet1!$T$2:$T$329)</f>
        <v>4792.8771126599995</v>
      </c>
      <c r="G84">
        <f>VLOOKUP(A84,og_dw!$A$2:$B$182,2,)</f>
        <v>121073348.93691599</v>
      </c>
      <c r="H84">
        <f>G84*(VLOOKUP(VLOOKUP(A84,Sheet1!$F$2:$J$329,5,),eq!$D$2:$G$42,4,)/1000)/2</f>
        <v>9080.5011702686988</v>
      </c>
      <c r="I84" s="17">
        <f ca="1">AVERAGEIF(Sheet1!$F$2:$F$329,A84,Sheet1!$K$2:$N$21)</f>
        <v>18.333333333333332</v>
      </c>
      <c r="J84" s="17">
        <f>COUNTIF(Sheet1!$F$2:$F$329,A84)</f>
        <v>3</v>
      </c>
      <c r="K84">
        <f t="shared" ca="1" si="13"/>
        <v>136108.43764598822</v>
      </c>
      <c r="L84">
        <f>SUMIF(Sheet1!$F$2:$F$329,A84,Sheet1!$W$2:$W$329)</f>
        <v>4792.8771126599995</v>
      </c>
      <c r="M84">
        <f>SUMIF(Sheet1!$F$2:$F$329,A84,Sheet1!$X$2:$X$329)</f>
        <v>47928771.126599997</v>
      </c>
    </row>
    <row r="85" spans="1:13">
      <c r="A85" t="s">
        <v>137</v>
      </c>
      <c r="B85" t="str">
        <f t="shared" si="9"/>
        <v>GM</v>
      </c>
      <c r="C85" t="str">
        <f t="shared" si="10"/>
        <v>8</v>
      </c>
      <c r="D85" t="str">
        <f t="shared" si="11"/>
        <v>NA</v>
      </c>
      <c r="E85" t="str">
        <f t="shared" si="12"/>
        <v>3</v>
      </c>
      <c r="F85">
        <f>SUMIF(Sheet1!$F$2:$F$329,A85,Sheet1!$T$2:$T$329)</f>
        <v>2240.3485081250001</v>
      </c>
      <c r="G85">
        <f>VLOOKUP(A85,og_dw!$A$2:$B$182,2,)</f>
        <v>81051676.745922595</v>
      </c>
      <c r="H85">
        <f>G85*(VLOOKUP(VLOOKUP(A85,Sheet1!$F$2:$J$329,5,),eq!$D$2:$G$42,4,)/1000)/2</f>
        <v>6078.8757559441938</v>
      </c>
      <c r="I85" s="17">
        <f ca="1">AVERAGEIF(Sheet1!$F$2:$F$329,A85,Sheet1!$K$2:$N$21)</f>
        <v>16</v>
      </c>
      <c r="J85" s="17">
        <f>COUNTIF(Sheet1!$F$2:$F$329,A85)</f>
        <v>2</v>
      </c>
      <c r="K85">
        <f t="shared" ca="1" si="13"/>
        <v>66145.129655790064</v>
      </c>
      <c r="L85">
        <f>SUMIF(Sheet1!$F$2:$F$329,A85,Sheet1!$W$2:$W$329)</f>
        <v>2240.3485081250001</v>
      </c>
      <c r="M85">
        <f>SUMIF(Sheet1!$F$2:$F$329,A85,Sheet1!$X$2:$X$329)</f>
        <v>22403485.081249997</v>
      </c>
    </row>
    <row r="86" spans="1:13">
      <c r="A86" t="s">
        <v>138</v>
      </c>
      <c r="B86" t="str">
        <f t="shared" si="9"/>
        <v>GM</v>
      </c>
      <c r="C86" t="str">
        <f t="shared" si="10"/>
        <v>8</v>
      </c>
      <c r="D86" t="str">
        <f t="shared" si="11"/>
        <v>NA</v>
      </c>
      <c r="E86" t="str">
        <f t="shared" si="12"/>
        <v>4</v>
      </c>
      <c r="F86">
        <f>SUMIF(Sheet1!$F$2:$F$329,A86,Sheet1!$T$2:$T$329)</f>
        <v>9745.9715413287504</v>
      </c>
      <c r="G86">
        <f>VLOOKUP(A86,og_dw!$A$2:$B$182,2,)</f>
        <v>35985.121723131997</v>
      </c>
      <c r="H86">
        <f>G86*(VLOOKUP(VLOOKUP(A86,Sheet1!$F$2:$J$329,5,),eq!$D$2:$G$42,4,)/1000)/2</f>
        <v>4.6780658240071604</v>
      </c>
      <c r="I86" s="17">
        <f ca="1">AVERAGEIF(Sheet1!$F$2:$F$329,A86,Sheet1!$K$2:$N$21)</f>
        <v>22</v>
      </c>
      <c r="J86" s="17">
        <f>COUNTIF(Sheet1!$F$2:$F$329,A86)</f>
        <v>1</v>
      </c>
      <c r="K86">
        <f t="shared" ca="1" si="13"/>
        <v>69407.364613226659</v>
      </c>
      <c r="L86">
        <f>SUMIF(Sheet1!$F$2:$F$329,A86,Sheet1!$W$2:$W$329)</f>
        <v>9745.9715413287504</v>
      </c>
      <c r="M86">
        <f>SUMIF(Sheet1!$F$2:$F$329,A86,Sheet1!$X$2:$X$329)</f>
        <v>97459715.413287506</v>
      </c>
    </row>
    <row r="87" spans="1:13">
      <c r="A87" t="s">
        <v>139</v>
      </c>
      <c r="B87" t="str">
        <f t="shared" si="9"/>
        <v>GM</v>
      </c>
      <c r="C87" t="str">
        <f t="shared" si="10"/>
        <v>9</v>
      </c>
      <c r="D87" t="str">
        <f t="shared" si="11"/>
        <v>NA</v>
      </c>
      <c r="E87" t="str">
        <f t="shared" si="12"/>
        <v>1</v>
      </c>
      <c r="F87">
        <f>SUMIF(Sheet1!$F$2:$F$329,A87,Sheet1!$T$2:$T$329)</f>
        <v>4614.5053161025007</v>
      </c>
      <c r="G87">
        <f>VLOOKUP(A87,og_dw!$A$2:$B$182,2,)</f>
        <v>132363427.36672901</v>
      </c>
      <c r="H87">
        <f>G87*(VLOOKUP(VLOOKUP(A87,Sheet1!$F$2:$J$329,5,),eq!$D$2:$G$42,4,)/1000)/2</f>
        <v>25149.051199678514</v>
      </c>
      <c r="I87" s="17">
        <f ca="1">AVERAGEIF(Sheet1!$F$2:$F$329,A87,Sheet1!$K$2:$N$21)</f>
        <v>17</v>
      </c>
      <c r="J87" s="17">
        <f>COUNTIF(Sheet1!$F$2:$F$329,A87)</f>
        <v>1</v>
      </c>
      <c r="K87">
        <f t="shared" ca="1" si="13"/>
        <v>38066.938430134389</v>
      </c>
      <c r="L87">
        <f>SUMIF(Sheet1!$F$2:$F$329,A87,Sheet1!$W$2:$W$329)</f>
        <v>4614.5053161025007</v>
      </c>
      <c r="M87">
        <f>SUMIF(Sheet1!$F$2:$F$329,A87,Sheet1!$X$2:$X$329)</f>
        <v>46145053.161025003</v>
      </c>
    </row>
    <row r="88" spans="1:13">
      <c r="A88" t="s">
        <v>140</v>
      </c>
      <c r="B88" t="str">
        <f t="shared" si="9"/>
        <v>GM</v>
      </c>
      <c r="C88" t="str">
        <f t="shared" si="10"/>
        <v>9</v>
      </c>
      <c r="D88" t="str">
        <f t="shared" si="11"/>
        <v>NA</v>
      </c>
      <c r="E88" t="str">
        <f t="shared" si="12"/>
        <v>2</v>
      </c>
      <c r="F88">
        <f>SUMIF(Sheet1!$F$2:$F$329,A88,Sheet1!$T$2:$T$329)</f>
        <v>0</v>
      </c>
      <c r="G88">
        <f>VLOOKUP(A88,og_dw!$A$2:$B$182,2,)</f>
        <v>0</v>
      </c>
      <c r="H88">
        <f>G88*(VLOOKUP(VLOOKUP(A88,Sheet1!$F$2:$J$329,5,),eq!$D$2:$G$42,4,)/1000)/2</f>
        <v>0</v>
      </c>
      <c r="I88" s="17" t="e">
        <f ca="1">AVERAGEIF(Sheet1!$F$2:$F$329,A88,Sheet1!$K$2:$N$21)</f>
        <v>#DIV/0!</v>
      </c>
      <c r="J88" s="17">
        <f>COUNTIF(Sheet1!$F$2:$F$329,A88)</f>
        <v>1</v>
      </c>
      <c r="K88" t="e">
        <f t="shared" ca="1" si="13"/>
        <v>#DIV/0!</v>
      </c>
      <c r="L88" t="e">
        <f>SUMIF(Sheet1!$F$2:$F$329,A88,Sheet1!$W$2:$W$329)</f>
        <v>#VALUE!</v>
      </c>
      <c r="M88" t="e">
        <f>SUMIF(Sheet1!$F$2:$F$329,A88,Sheet1!$X$2:$X$329)</f>
        <v>#VALUE!</v>
      </c>
    </row>
    <row r="89" spans="1:13">
      <c r="A89" t="s">
        <v>141</v>
      </c>
      <c r="B89" t="str">
        <f t="shared" si="9"/>
        <v>GM</v>
      </c>
      <c r="C89" t="str">
        <f t="shared" si="10"/>
        <v>9</v>
      </c>
      <c r="D89" t="str">
        <f t="shared" si="11"/>
        <v>NA</v>
      </c>
      <c r="E89" t="str">
        <f t="shared" si="12"/>
        <v>3</v>
      </c>
      <c r="F89">
        <f>SUMIF(Sheet1!$F$2:$F$329,A89,Sheet1!$T$2:$T$329)</f>
        <v>7649.6061673849999</v>
      </c>
      <c r="G89">
        <f>VLOOKUP(A89,og_dw!$A$2:$B$182,2,)</f>
        <v>219422889.55383599</v>
      </c>
      <c r="H89">
        <f>G89*(VLOOKUP(VLOOKUP(A89,Sheet1!$F$2:$J$329,5,),eq!$D$2:$G$42,4,)/1000)/2</f>
        <v>41690.349015228843</v>
      </c>
      <c r="I89" s="17">
        <f ca="1">AVERAGEIF(Sheet1!$F$2:$F$329,A89,Sheet1!$K$2:$N$21)</f>
        <v>23</v>
      </c>
      <c r="J89" s="17">
        <f>COUNTIF(Sheet1!$F$2:$F$329,A89)</f>
        <v>1</v>
      </c>
      <c r="K89">
        <f t="shared" ca="1" si="13"/>
        <v>77009.962133601497</v>
      </c>
      <c r="L89">
        <f>SUMIF(Sheet1!$F$2:$F$329,A89,Sheet1!$W$2:$W$329)</f>
        <v>7649.6061673849999</v>
      </c>
      <c r="M89">
        <f>SUMIF(Sheet1!$F$2:$F$329,A89,Sheet1!$X$2:$X$329)</f>
        <v>76496061.67385</v>
      </c>
    </row>
    <row r="90" spans="1:13">
      <c r="A90" t="s">
        <v>142</v>
      </c>
      <c r="B90" t="str">
        <f t="shared" si="9"/>
        <v>GM</v>
      </c>
      <c r="C90" t="str">
        <f t="shared" si="10"/>
        <v>9</v>
      </c>
      <c r="D90" t="str">
        <f t="shared" si="11"/>
        <v>NA</v>
      </c>
      <c r="E90" t="str">
        <f t="shared" si="12"/>
        <v>4</v>
      </c>
      <c r="F90">
        <f>SUMIF(Sheet1!$F$2:$F$329,A90,Sheet1!$T$2:$T$329)</f>
        <v>0</v>
      </c>
      <c r="G90">
        <f>VLOOKUP(A90,og_dw!$A$2:$B$182,2,)</f>
        <v>0</v>
      </c>
      <c r="H90">
        <f>G90*(VLOOKUP(VLOOKUP(A90,Sheet1!$F$2:$J$329,5,),eq!$D$2:$G$42,4,)/1000)/2</f>
        <v>0</v>
      </c>
      <c r="I90" s="17" t="e">
        <f ca="1">AVERAGEIF(Sheet1!$F$2:$F$329,A90,Sheet1!$K$2:$N$21)</f>
        <v>#DIV/0!</v>
      </c>
      <c r="J90" s="17">
        <f>COUNTIF(Sheet1!$F$2:$F$329,A90)</f>
        <v>1</v>
      </c>
      <c r="K90" t="e">
        <f t="shared" ca="1" si="13"/>
        <v>#DIV/0!</v>
      </c>
      <c r="L90" t="e">
        <f>SUMIF(Sheet1!$F$2:$F$329,A90,Sheet1!$W$2:$W$329)</f>
        <v>#VALUE!</v>
      </c>
      <c r="M90" t="e">
        <f>SUMIF(Sheet1!$F$2:$F$329,A90,Sheet1!$X$2:$X$329)</f>
        <v>#VALUE!</v>
      </c>
    </row>
    <row r="91" spans="1:13">
      <c r="A91" t="s">
        <v>143</v>
      </c>
      <c r="B91" t="str">
        <f t="shared" si="9"/>
        <v>TN</v>
      </c>
      <c r="C91" t="str">
        <f t="shared" si="10"/>
        <v>19</v>
      </c>
      <c r="D91" t="str">
        <f t="shared" si="11"/>
        <v>CTRL</v>
      </c>
      <c r="E91" t="str">
        <f t="shared" si="12"/>
        <v>1</v>
      </c>
      <c r="F91">
        <f>SUMIF(Sheet1!$F$2:$F$329,A91,Sheet1!$T$2:$T$329)</f>
        <v>20076.314723578747</v>
      </c>
      <c r="G91">
        <f>VLOOKUP(A91,og_dw!$A$2:$B$182,2,)</f>
        <v>497500438.52255398</v>
      </c>
      <c r="H91">
        <f>G91*(VLOOKUP(VLOOKUP(A91,Sheet1!$F$2:$J$329,5,),eq!$D$2:$G$42,4,)/1000)/2</f>
        <v>64675.057007932024</v>
      </c>
      <c r="I91" s="17">
        <f ca="1">AVERAGEIF(Sheet1!$F$2:$F$329,A91,Sheet1!$K$2:$N$21)</f>
        <v>19</v>
      </c>
      <c r="J91" s="17">
        <f>COUNTIF(Sheet1!$F$2:$F$329,A91)</f>
        <v>2</v>
      </c>
      <c r="K91">
        <f t="shared" ca="1" si="13"/>
        <v>98605.1987963422</v>
      </c>
      <c r="L91">
        <f>SUMIF(Sheet1!$F$2:$F$329,A91,Sheet1!$W$2:$W$329)</f>
        <v>20076.314723578751</v>
      </c>
      <c r="M91">
        <f>SUMIF(Sheet1!$F$2:$F$329,A91,Sheet1!$X$2:$X$329)</f>
        <v>200763147.23578745</v>
      </c>
    </row>
    <row r="92" spans="1:13">
      <c r="A92" t="s">
        <v>144</v>
      </c>
      <c r="B92" t="str">
        <f t="shared" si="9"/>
        <v>TN</v>
      </c>
      <c r="C92" t="str">
        <f t="shared" si="10"/>
        <v>19</v>
      </c>
      <c r="D92" t="str">
        <f t="shared" si="11"/>
        <v>CTRL</v>
      </c>
      <c r="E92" t="str">
        <f t="shared" si="12"/>
        <v>2</v>
      </c>
      <c r="F92">
        <f>SUMIF(Sheet1!$F$2:$F$329,A92,Sheet1!$T$2:$T$329)</f>
        <v>7308.6127544259371</v>
      </c>
      <c r="G92">
        <f>VLOOKUP(A92,og_dw!$A$2:$B$182,2,)</f>
        <v>298553020.970667</v>
      </c>
      <c r="H92">
        <f>G92*(VLOOKUP(VLOOKUP(A92,Sheet1!$F$2:$J$329,5,),eq!$D$2:$G$42,4,)/1000)/2</f>
        <v>22391.476572800024</v>
      </c>
      <c r="I92" s="17">
        <f ca="1">AVERAGEIF(Sheet1!$F$2:$F$329,A92,Sheet1!$K$2:$N$21)</f>
        <v>16.5</v>
      </c>
      <c r="J92" s="17">
        <f>COUNTIF(Sheet1!$F$2:$F$329,A92)</f>
        <v>2</v>
      </c>
      <c r="K92">
        <f t="shared" ca="1" si="13"/>
        <v>71037.533144092828</v>
      </c>
      <c r="L92">
        <f>SUMIF(Sheet1!$F$2:$F$329,A92,Sheet1!$W$2:$W$329)</f>
        <v>7308.612754425938</v>
      </c>
      <c r="M92">
        <f>SUMIF(Sheet1!$F$2:$F$329,A92,Sheet1!$X$2:$X$329)</f>
        <v>73086127.544259369</v>
      </c>
    </row>
    <row r="93" spans="1:13">
      <c r="A93" t="s">
        <v>145</v>
      </c>
      <c r="B93" t="str">
        <f t="shared" si="9"/>
        <v>TN</v>
      </c>
      <c r="C93" t="str">
        <f t="shared" si="10"/>
        <v>19</v>
      </c>
      <c r="D93" t="str">
        <f t="shared" si="11"/>
        <v>CTRL</v>
      </c>
      <c r="E93" t="str">
        <f t="shared" si="12"/>
        <v>3</v>
      </c>
      <c r="F93">
        <f>SUMIF(Sheet1!$F$2:$F$329,A93,Sheet1!$T$2:$T$329)</f>
        <v>10699.254557753124</v>
      </c>
      <c r="G93">
        <f>VLOOKUP(A93,og_dw!$A$2:$B$182,2,)</f>
        <v>482957725.859752</v>
      </c>
      <c r="H93">
        <f>G93*(VLOOKUP(VLOOKUP(A93,Sheet1!$F$2:$J$329,5,),eq!$D$2:$G$42,4,)/1000)/2</f>
        <v>36221.8294394814</v>
      </c>
      <c r="I93" s="17">
        <f ca="1">AVERAGEIF(Sheet1!$F$2:$F$329,A93,Sheet1!$K$2:$N$21)</f>
        <v>14.25</v>
      </c>
      <c r="J93" s="17">
        <f>COUNTIF(Sheet1!$F$2:$F$329,A93)</f>
        <v>4</v>
      </c>
      <c r="K93">
        <f t="shared" ca="1" si="13"/>
        <v>101185.61316492563</v>
      </c>
      <c r="L93">
        <f>SUMIF(Sheet1!$F$2:$F$329,A93,Sheet1!$W$2:$W$329)</f>
        <v>10699.254557753124</v>
      </c>
      <c r="M93">
        <f>SUMIF(Sheet1!$F$2:$F$329,A93,Sheet1!$X$2:$X$329)</f>
        <v>106992545.57753125</v>
      </c>
    </row>
    <row r="94" spans="1:13">
      <c r="A94" t="s">
        <v>146</v>
      </c>
      <c r="B94" t="str">
        <f t="shared" si="9"/>
        <v>TN</v>
      </c>
      <c r="C94" t="str">
        <f t="shared" si="10"/>
        <v>19</v>
      </c>
      <c r="D94" t="str">
        <f t="shared" si="11"/>
        <v>CTRL</v>
      </c>
      <c r="E94" t="str">
        <f t="shared" si="12"/>
        <v>4</v>
      </c>
      <c r="F94">
        <f>SUMIF(Sheet1!$F$2:$F$329,A94,Sheet1!$T$2:$T$329)</f>
        <v>66528.383987519992</v>
      </c>
      <c r="G94">
        <f>VLOOKUP(A94,og_dw!$A$2:$B$182,2,)</f>
        <v>2521889626.5650401</v>
      </c>
      <c r="H94">
        <f>G94*(VLOOKUP(VLOOKUP(A94,Sheet1!$F$2:$J$329,5,),eq!$D$2:$G$42,4,)/1000)/2</f>
        <v>542206.26971148362</v>
      </c>
      <c r="I94" s="17">
        <f ca="1">AVERAGEIF(Sheet1!$F$2:$F$329,A94,Sheet1!$K$2:$N$21)</f>
        <v>34</v>
      </c>
      <c r="J94" s="17">
        <f>COUNTIF(Sheet1!$F$2:$F$329,A94)</f>
        <v>1</v>
      </c>
      <c r="K94">
        <f t="shared" ca="1" si="13"/>
        <v>192906.23680755703</v>
      </c>
      <c r="L94">
        <f>SUMIF(Sheet1!$F$2:$F$329,A94,Sheet1!$W$2:$W$329)</f>
        <v>66528.383987519992</v>
      </c>
      <c r="M94">
        <f>SUMIF(Sheet1!$F$2:$F$329,A94,Sheet1!$X$2:$X$329)</f>
        <v>665283839.87519991</v>
      </c>
    </row>
    <row r="95" spans="1:13">
      <c r="A95" t="s">
        <v>147</v>
      </c>
      <c r="B95" t="str">
        <f t="shared" si="9"/>
        <v>TN</v>
      </c>
      <c r="C95" t="str">
        <f t="shared" si="10"/>
        <v>19</v>
      </c>
      <c r="D95" t="str">
        <f t="shared" si="11"/>
        <v>EX</v>
      </c>
      <c r="E95" t="str">
        <f t="shared" si="12"/>
        <v>1</v>
      </c>
      <c r="F95">
        <f>SUMIF(Sheet1!$F$2:$F$329,A95,Sheet1!$T$2:$T$329)</f>
        <v>10976.24292207625</v>
      </c>
      <c r="G95">
        <f>VLOOKUP(A95,og_dw!$A$2:$B$182,2,)</f>
        <v>435245553.19656599</v>
      </c>
      <c r="H95">
        <f>G95*(VLOOKUP(VLOOKUP(A95,Sheet1!$F$2:$J$329,5,),eq!$D$2:$G$42,4,)/1000)/2</f>
        <v>82696.655107347542</v>
      </c>
      <c r="I95" s="17">
        <f ca="1">AVERAGEIF(Sheet1!$F$2:$F$329,A95,Sheet1!$K$2:$N$21)</f>
        <v>13.25</v>
      </c>
      <c r="J95" s="17">
        <f>COUNTIF(Sheet1!$F$2:$F$329,A95)</f>
        <v>4</v>
      </c>
      <c r="K95">
        <f t="shared" ca="1" si="13"/>
        <v>85546.440404554</v>
      </c>
      <c r="L95">
        <f>SUMIF(Sheet1!$F$2:$F$329,A95,Sheet1!$W$2:$W$329)</f>
        <v>10976.24292207625</v>
      </c>
      <c r="M95">
        <f>SUMIF(Sheet1!$F$2:$F$329,A95,Sheet1!$X$2:$X$329)</f>
        <v>109762429.22076251</v>
      </c>
    </row>
    <row r="96" spans="1:13">
      <c r="A96" t="s">
        <v>148</v>
      </c>
      <c r="B96" t="str">
        <f t="shared" si="9"/>
        <v>TN</v>
      </c>
      <c r="C96" t="str">
        <f t="shared" si="10"/>
        <v>19</v>
      </c>
      <c r="D96" t="str">
        <f t="shared" si="11"/>
        <v>EX</v>
      </c>
      <c r="E96" t="str">
        <f t="shared" si="12"/>
        <v>2</v>
      </c>
      <c r="F96">
        <f>SUMIF(Sheet1!$F$2:$F$329,A96,Sheet1!$T$2:$T$329)</f>
        <v>7528.2248313431246</v>
      </c>
      <c r="G96">
        <f>VLOOKUP(A96,og_dw!$A$2:$B$182,2,)</f>
        <v>327297464.74115402</v>
      </c>
      <c r="H96">
        <f>G96*(VLOOKUP(VLOOKUP(A96,Sheet1!$F$2:$J$329,5,),eq!$D$2:$G$42,4,)/1000)/2</f>
        <v>42548.670416350025</v>
      </c>
      <c r="I96" s="17">
        <f ca="1">AVERAGEIF(Sheet1!$F$2:$F$329,A96,Sheet1!$K$2:$N$21)</f>
        <v>13.333333333333334</v>
      </c>
      <c r="J96" s="17">
        <f>COUNTIF(Sheet1!$F$2:$F$329,A96)</f>
        <v>3</v>
      </c>
      <c r="K96">
        <f t="shared" ca="1" si="13"/>
        <v>65093.850797869949</v>
      </c>
      <c r="L96">
        <f>SUMIF(Sheet1!$F$2:$F$329,A96,Sheet1!$W$2:$W$329)</f>
        <v>7528.2248313431246</v>
      </c>
      <c r="M96">
        <f>SUMIF(Sheet1!$F$2:$F$329,A96,Sheet1!$X$2:$X$329)</f>
        <v>75282248.313431248</v>
      </c>
    </row>
    <row r="97" spans="1:13">
      <c r="A97" t="s">
        <v>149</v>
      </c>
      <c r="B97" t="str">
        <f t="shared" si="9"/>
        <v>TN</v>
      </c>
      <c r="C97" t="str">
        <f t="shared" si="10"/>
        <v>19</v>
      </c>
      <c r="D97" t="str">
        <f t="shared" si="11"/>
        <v>EX</v>
      </c>
      <c r="E97" t="str">
        <f t="shared" si="12"/>
        <v>3</v>
      </c>
      <c r="F97">
        <f>SUMIF(Sheet1!$F$2:$F$329,A97,Sheet1!$T$2:$T$329)</f>
        <v>31928.749896850622</v>
      </c>
      <c r="G97">
        <f>VLOOKUP(A97,og_dw!$A$2:$B$182,2,)</f>
        <v>1168323985.9703</v>
      </c>
      <c r="H97">
        <f>G97*(VLOOKUP(VLOOKUP(A97,Sheet1!$F$2:$J$329,5,),eq!$D$2:$G$42,4,)/1000)/2</f>
        <v>251189.65698361449</v>
      </c>
      <c r="I97" s="17">
        <f ca="1">AVERAGEIF(Sheet1!$F$2:$F$329,A97,Sheet1!$K$2:$N$21)</f>
        <v>18.833333333333332</v>
      </c>
      <c r="J97" s="17">
        <f>COUNTIF(Sheet1!$F$2:$F$329,A97)</f>
        <v>6</v>
      </c>
      <c r="K97">
        <f t="shared" ca="1" si="13"/>
        <v>289808.85077498399</v>
      </c>
      <c r="L97">
        <f>SUMIF(Sheet1!$F$2:$F$329,A97,Sheet1!$W$2:$W$329)</f>
        <v>31928.749896850626</v>
      </c>
      <c r="M97">
        <f>SUMIF(Sheet1!$F$2:$F$329,A97,Sheet1!$X$2:$X$329)</f>
        <v>319287498.96850622</v>
      </c>
    </row>
    <row r="98" spans="1:13">
      <c r="A98" t="s">
        <v>150</v>
      </c>
      <c r="B98" t="str">
        <f t="shared" ref="B98:B129" si="14">LEFT(A98,2)</f>
        <v>TN</v>
      </c>
      <c r="C98" t="str">
        <f t="shared" ref="C98:C129" si="15">MID(A98,SEARCH("_",A98)+1,SEARCH("_",A98,SEARCH("_",A98)+1)-SEARCH("_",A98)-1)</f>
        <v>19</v>
      </c>
      <c r="D98" t="str">
        <f t="shared" ref="D98:D129" si="16">MID(A98,SEARCH("_",A98,4)+1,SEARCH("_",A98,SEARCH("_",A98,4)+1)-SEARCH("_",A98,4)-1)</f>
        <v>EX</v>
      </c>
      <c r="E98" t="str">
        <f t="shared" ref="E98:E129" si="17">RIGHT(A98,1)</f>
        <v>4</v>
      </c>
      <c r="F98">
        <f>SUMIF(Sheet1!$F$2:$F$329,A98,Sheet1!$T$2:$T$329)</f>
        <v>0</v>
      </c>
      <c r="G98">
        <f>VLOOKUP(A98,og_dw!$A$2:$B$182,2,)</f>
        <v>0</v>
      </c>
      <c r="H98">
        <f>G98*(VLOOKUP(VLOOKUP(A98,Sheet1!$F$2:$J$329,5,),eq!$D$2:$G$42,4,)/1000)/2</f>
        <v>0</v>
      </c>
      <c r="I98" s="17" t="e">
        <f ca="1">AVERAGEIF(Sheet1!$F$2:$F$329,A98,Sheet1!$K$2:$N$21)</f>
        <v>#DIV/0!</v>
      </c>
      <c r="J98" s="17">
        <f>COUNTIF(Sheet1!$F$2:$F$329,A98)</f>
        <v>1</v>
      </c>
      <c r="K98" t="e">
        <f t="shared" ca="1" si="13"/>
        <v>#DIV/0!</v>
      </c>
      <c r="L98" t="e">
        <f>SUMIF(Sheet1!$F$2:$F$329,A98,Sheet1!$W$2:$W$329)</f>
        <v>#VALUE!</v>
      </c>
      <c r="M98" t="e">
        <f>SUMIF(Sheet1!$F$2:$F$329,A98,Sheet1!$X$2:$X$329)</f>
        <v>#VALUE!</v>
      </c>
    </row>
    <row r="99" spans="1:13">
      <c r="A99" t="s">
        <v>151</v>
      </c>
      <c r="B99" t="str">
        <f t="shared" si="14"/>
        <v>TN</v>
      </c>
      <c r="C99" t="str">
        <f t="shared" si="15"/>
        <v>20</v>
      </c>
      <c r="D99" t="str">
        <f t="shared" si="16"/>
        <v>CTRL</v>
      </c>
      <c r="E99" t="str">
        <f t="shared" si="17"/>
        <v>1</v>
      </c>
      <c r="F99">
        <f>SUMIF(Sheet1!$F$2:$F$329,A99,Sheet1!$T$2:$T$329)</f>
        <v>6861.6514460812505</v>
      </c>
      <c r="G99">
        <f>VLOOKUP(A99,og_dw!$A$2:$B$182,2,)</f>
        <v>188205276.054196</v>
      </c>
      <c r="H99">
        <f>G99*(VLOOKUP(VLOOKUP(A99,Sheet1!$F$2:$J$329,5,),eq!$D$2:$G$42,4,)/1000)/2</f>
        <v>32935.9233094843</v>
      </c>
      <c r="I99" s="17">
        <f ca="1">AVERAGEIF(Sheet1!$F$2:$F$329,A99,Sheet1!$K$2:$N$21)</f>
        <v>22</v>
      </c>
      <c r="J99" s="17">
        <f>COUNTIF(Sheet1!$F$2:$F$329,A99)</f>
        <v>1</v>
      </c>
      <c r="K99">
        <f t="shared" ca="1" si="13"/>
        <v>69407.364613226659</v>
      </c>
      <c r="L99">
        <f>SUMIF(Sheet1!$F$2:$F$329,A99,Sheet1!$W$2:$W$329)</f>
        <v>6861.6514460812496</v>
      </c>
      <c r="M99">
        <f>SUMIF(Sheet1!$F$2:$F$329,A99,Sheet1!$X$2:$X$329)</f>
        <v>68616514.460812494</v>
      </c>
    </row>
    <row r="100" spans="1:13">
      <c r="A100" t="s">
        <v>152</v>
      </c>
      <c r="B100" t="str">
        <f t="shared" si="14"/>
        <v>TN</v>
      </c>
      <c r="C100" t="str">
        <f t="shared" si="15"/>
        <v>20</v>
      </c>
      <c r="D100" t="str">
        <f t="shared" si="16"/>
        <v>CTRL</v>
      </c>
      <c r="E100" t="str">
        <f t="shared" si="17"/>
        <v>2</v>
      </c>
      <c r="F100">
        <f>SUMIF(Sheet1!$F$2:$F$329,A100,Sheet1!$T$2:$T$329)</f>
        <v>32366.316369503595</v>
      </c>
      <c r="G100">
        <f>VLOOKUP(A100,og_dw!$A$2:$B$182,2,)</f>
        <v>157610171.829344</v>
      </c>
      <c r="H100">
        <f>G100*(VLOOKUP(VLOOKUP(A100,Sheet1!$F$2:$J$329,5,),eq!$D$2:$G$42,4,)/1000)/2</f>
        <v>26005.678351841761</v>
      </c>
      <c r="I100" s="17">
        <f ca="1">AVERAGEIF(Sheet1!$F$2:$F$329,A100,Sheet1!$K$2:$N$21)</f>
        <v>22.333333333333332</v>
      </c>
      <c r="J100" s="17">
        <f>COUNTIF(Sheet1!$F$2:$F$329,A100)</f>
        <v>6</v>
      </c>
      <c r="K100">
        <f t="shared" ca="1" si="13"/>
        <v>431342.97048422019</v>
      </c>
      <c r="L100">
        <f>SUMIF(Sheet1!$F$2:$F$329,A100,Sheet1!$W$2:$W$329)</f>
        <v>32366.316369503595</v>
      </c>
      <c r="M100">
        <f>SUMIF(Sheet1!$F$2:$F$329,A100,Sheet1!$X$2:$X$329)</f>
        <v>323663163.69503599</v>
      </c>
    </row>
    <row r="101" spans="1:13">
      <c r="A101" t="s">
        <v>153</v>
      </c>
      <c r="B101" t="str">
        <f t="shared" si="14"/>
        <v>TN</v>
      </c>
      <c r="C101" t="str">
        <f t="shared" si="15"/>
        <v>20</v>
      </c>
      <c r="D101" t="str">
        <f t="shared" si="16"/>
        <v>CTRL</v>
      </c>
      <c r="E101" t="str">
        <f t="shared" si="17"/>
        <v>3</v>
      </c>
      <c r="F101">
        <f>SUMIF(Sheet1!$F$2:$F$329,A101,Sheet1!$T$2:$T$329)</f>
        <v>44304.472362149987</v>
      </c>
      <c r="G101">
        <f>VLOOKUP(A101,og_dw!$A$2:$B$182,2,)</f>
        <v>1215208250.7945001</v>
      </c>
      <c r="H101">
        <f>G101*(VLOOKUP(VLOOKUP(A101,Sheet1!$F$2:$J$329,5,),eq!$D$2:$G$42,4,)/1000)/2</f>
        <v>212661.44388903753</v>
      </c>
      <c r="I101" s="17">
        <f ca="1">AVERAGEIF(Sheet1!$F$2:$F$329,A101,Sheet1!$K$2:$N$21)</f>
        <v>79</v>
      </c>
      <c r="J101" s="17">
        <f>COUNTIF(Sheet1!$F$2:$F$329,A101)</f>
        <v>1</v>
      </c>
      <c r="K101">
        <f t="shared" ca="1" si="13"/>
        <v>1427556.7809508564</v>
      </c>
      <c r="L101">
        <f>SUMIF(Sheet1!$F$2:$F$329,A101,Sheet1!$W$2:$W$329)</f>
        <v>44304.472362150002</v>
      </c>
      <c r="M101">
        <f>SUMIF(Sheet1!$F$2:$F$329,A101,Sheet1!$X$2:$X$329)</f>
        <v>443044723.6214999</v>
      </c>
    </row>
    <row r="102" spans="1:13">
      <c r="A102" t="s">
        <v>154</v>
      </c>
      <c r="B102" t="str">
        <f t="shared" si="14"/>
        <v>TN</v>
      </c>
      <c r="C102" t="str">
        <f t="shared" si="15"/>
        <v>20</v>
      </c>
      <c r="D102" t="str">
        <f t="shared" si="16"/>
        <v>CTRL</v>
      </c>
      <c r="E102" t="str">
        <f t="shared" si="17"/>
        <v>4</v>
      </c>
      <c r="F102">
        <f>SUMIF(Sheet1!$F$2:$F$329,A102,Sheet1!$T$2:$T$329)</f>
        <v>34224.722272536252</v>
      </c>
      <c r="G102">
        <f>VLOOKUP(A102,og_dw!$A$2:$B$182,2,)</f>
        <v>118402.652999093</v>
      </c>
      <c r="H102">
        <f>G102*(VLOOKUP(VLOOKUP(A102,Sheet1!$F$2:$J$329,5,),eq!$D$2:$G$42,4,)/1000)/2</f>
        <v>19.536437744850346</v>
      </c>
      <c r="I102" s="17">
        <f ca="1">AVERAGEIF(Sheet1!$F$2:$F$329,A102,Sheet1!$K$2:$N$21)</f>
        <v>18.666666666666668</v>
      </c>
      <c r="J102" s="17">
        <f>COUNTIF(Sheet1!$F$2:$F$329,A102)</f>
        <v>3</v>
      </c>
      <c r="K102">
        <f t="shared" ca="1" si="13"/>
        <v>141936.82312980841</v>
      </c>
      <c r="L102">
        <f>SUMIF(Sheet1!$F$2:$F$329,A102,Sheet1!$W$2:$W$329)</f>
        <v>34224.722272536259</v>
      </c>
      <c r="M102">
        <f>SUMIF(Sheet1!$F$2:$F$329,A102,Sheet1!$X$2:$X$329)</f>
        <v>342247222.72536248</v>
      </c>
    </row>
    <row r="103" spans="1:13">
      <c r="A103" t="s">
        <v>155</v>
      </c>
      <c r="B103" t="str">
        <f t="shared" si="14"/>
        <v>TN</v>
      </c>
      <c r="C103" t="str">
        <f t="shared" si="15"/>
        <v>20</v>
      </c>
      <c r="D103" t="str">
        <f t="shared" si="16"/>
        <v>EX</v>
      </c>
      <c r="E103" t="str">
        <f t="shared" si="17"/>
        <v>1</v>
      </c>
      <c r="F103">
        <f>SUMIF(Sheet1!$F$2:$F$329,A103,Sheet1!$T$2:$T$329)</f>
        <v>0</v>
      </c>
      <c r="G103">
        <f>VLOOKUP(A103,og_dw!$A$2:$B$182,2,)</f>
        <v>0</v>
      </c>
      <c r="H103">
        <f>G103*(VLOOKUP(VLOOKUP(A103,Sheet1!$F$2:$J$329,5,),eq!$D$2:$G$42,4,)/1000)/2</f>
        <v>0</v>
      </c>
      <c r="I103" s="17" t="e">
        <f ca="1">AVERAGEIF(Sheet1!$F$2:$F$329,A103,Sheet1!$K$2:$N$21)</f>
        <v>#DIV/0!</v>
      </c>
      <c r="J103" s="17">
        <f>COUNTIF(Sheet1!$F$2:$F$329,A103)</f>
        <v>1</v>
      </c>
      <c r="K103" t="e">
        <f t="shared" ca="1" si="13"/>
        <v>#DIV/0!</v>
      </c>
      <c r="L103" t="e">
        <f>SUMIF(Sheet1!$F$2:$F$329,A103,Sheet1!$W$2:$W$329)</f>
        <v>#VALUE!</v>
      </c>
      <c r="M103" t="e">
        <f>SUMIF(Sheet1!$F$2:$F$329,A103,Sheet1!$X$2:$X$329)</f>
        <v>#VALUE!</v>
      </c>
    </row>
    <row r="104" spans="1:13">
      <c r="A104" t="s">
        <v>156</v>
      </c>
      <c r="B104" t="str">
        <f t="shared" si="14"/>
        <v>TN</v>
      </c>
      <c r="C104" t="str">
        <f t="shared" si="15"/>
        <v>20</v>
      </c>
      <c r="D104" t="str">
        <f t="shared" si="16"/>
        <v>EX</v>
      </c>
      <c r="E104" t="str">
        <f t="shared" si="17"/>
        <v>2</v>
      </c>
      <c r="F104">
        <f>SUMIF(Sheet1!$F$2:$F$329,A104,Sheet1!$T$2:$T$329)</f>
        <v>9401.4600350835935</v>
      </c>
      <c r="G104">
        <f>VLOOKUP(A104,og_dw!$A$2:$B$182,2,)</f>
        <v>99963515.409407094</v>
      </c>
      <c r="H104">
        <f>G104*(VLOOKUP(VLOOKUP(A104,Sheet1!$F$2:$J$329,5,),eq!$D$2:$G$42,4,)/1000)/2</f>
        <v>7497.2636557055312</v>
      </c>
      <c r="I104" s="17">
        <f ca="1">AVERAGEIF(Sheet1!$F$2:$F$329,A104,Sheet1!$K$2:$N$21)</f>
        <v>19.5</v>
      </c>
      <c r="J104" s="17">
        <f>COUNTIF(Sheet1!$F$2:$F$329,A104)</f>
        <v>2</v>
      </c>
      <c r="K104">
        <f t="shared" ca="1" si="13"/>
        <v>104755.84072404978</v>
      </c>
      <c r="L104">
        <f>SUMIF(Sheet1!$F$2:$F$329,A104,Sheet1!$W$2:$W$329)</f>
        <v>9401.4600350835935</v>
      </c>
      <c r="M104">
        <f>SUMIF(Sheet1!$F$2:$F$329,A104,Sheet1!$X$2:$X$329)</f>
        <v>94014600.350835934</v>
      </c>
    </row>
    <row r="105" spans="1:13">
      <c r="A105" t="s">
        <v>157</v>
      </c>
      <c r="B105" t="str">
        <f t="shared" si="14"/>
        <v>TN</v>
      </c>
      <c r="C105" t="str">
        <f t="shared" si="15"/>
        <v>20</v>
      </c>
      <c r="D105" t="str">
        <f t="shared" si="16"/>
        <v>EX</v>
      </c>
      <c r="E105" t="str">
        <f t="shared" si="17"/>
        <v>3</v>
      </c>
      <c r="F105">
        <f>SUMIF(Sheet1!$F$2:$F$329,A105,Sheet1!$T$2:$T$329)</f>
        <v>4028.297806771875</v>
      </c>
      <c r="G105">
        <f>VLOOKUP(A105,og_dw!$A$2:$B$182,2,)</f>
        <v>31820872.468603201</v>
      </c>
      <c r="H105">
        <f>G105*(VLOOKUP(VLOOKUP(A105,Sheet1!$F$2:$J$329,5,),eq!$D$2:$G$42,4,)/1000)/2</f>
        <v>5409.5483196625446</v>
      </c>
      <c r="I105" s="17">
        <f ca="1">AVERAGEIF(Sheet1!$F$2:$F$329,A105,Sheet1!$K$2:$N$21)</f>
        <v>11.666666666666666</v>
      </c>
      <c r="J105" s="17">
        <f>COUNTIF(Sheet1!$F$2:$F$329,A105)</f>
        <v>3</v>
      </c>
      <c r="K105">
        <f t="shared" ca="1" si="13"/>
        <v>47877.016059393034</v>
      </c>
      <c r="L105">
        <f>SUMIF(Sheet1!$F$2:$F$329,A105,Sheet1!$W$2:$W$329)</f>
        <v>4028.297806771875</v>
      </c>
      <c r="M105">
        <f>SUMIF(Sheet1!$F$2:$F$329,A105,Sheet1!$X$2:$X$329)</f>
        <v>40282978.067718752</v>
      </c>
    </row>
    <row r="106" spans="1:13">
      <c r="A106" t="s">
        <v>158</v>
      </c>
      <c r="B106" t="str">
        <f t="shared" si="14"/>
        <v>TN</v>
      </c>
      <c r="C106" t="str">
        <f t="shared" si="15"/>
        <v>20</v>
      </c>
      <c r="D106" t="str">
        <f t="shared" si="16"/>
        <v>EX</v>
      </c>
      <c r="E106" t="str">
        <f t="shared" si="17"/>
        <v>4</v>
      </c>
      <c r="F106">
        <f>SUMIF(Sheet1!$F$2:$F$329,A106,Sheet1!$T$2:$T$329)</f>
        <v>34515.626912101558</v>
      </c>
      <c r="G106">
        <f>VLOOKUP(A106,og_dw!$A$2:$B$182,2,)</f>
        <v>147049.19001627801</v>
      </c>
      <c r="H106">
        <f>G106*(VLOOKUP(VLOOKUP(A106,Sheet1!$F$2:$J$329,5,),eq!$D$2:$G$42,4,)/1000)/2</f>
        <v>24.998362302767262</v>
      </c>
      <c r="I106" s="17">
        <f ca="1">AVERAGEIF(Sheet1!$F$2:$F$329,A106,Sheet1!$K$2:$N$21)</f>
        <v>21.2</v>
      </c>
      <c r="J106" s="17">
        <f>COUNTIF(Sheet1!$F$2:$F$329,A106)</f>
        <v>5</v>
      </c>
      <c r="K106">
        <f t="shared" ca="1" si="13"/>
        <v>318270.06085152971</v>
      </c>
      <c r="L106">
        <f>SUMIF(Sheet1!$F$2:$F$329,A106,Sheet1!$W$2:$W$329)</f>
        <v>34515.626912101565</v>
      </c>
      <c r="M106">
        <f>SUMIF(Sheet1!$F$2:$F$329,A106,Sheet1!$X$2:$X$329)</f>
        <v>345156269.12101561</v>
      </c>
    </row>
    <row r="107" spans="1:13">
      <c r="A107" t="s">
        <v>159</v>
      </c>
      <c r="B107" t="str">
        <f t="shared" si="14"/>
        <v>TN</v>
      </c>
      <c r="C107" t="str">
        <f t="shared" si="15"/>
        <v>21</v>
      </c>
      <c r="D107" t="str">
        <f t="shared" si="16"/>
        <v>CTRL</v>
      </c>
      <c r="E107" t="str">
        <f t="shared" si="17"/>
        <v>1</v>
      </c>
      <c r="F107">
        <f>SUMIF(Sheet1!$F$2:$F$329,A107,Sheet1!$T$2:$T$329)</f>
        <v>3792.1972753437503</v>
      </c>
      <c r="G107">
        <f>VLOOKUP(A107,og_dw!$A$2:$B$182,2,)</f>
        <v>92529603.315537393</v>
      </c>
      <c r="H107">
        <f>G107*(VLOOKUP(VLOOKUP(A107,Sheet1!$F$2:$J$329,5,),eq!$D$2:$G$42,4,)/1000)/2</f>
        <v>11566.200414442173</v>
      </c>
      <c r="I107" s="17">
        <f ca="1">AVERAGEIF(Sheet1!$F$2:$F$329,A107,Sheet1!$K$2:$N$21)</f>
        <v>21</v>
      </c>
      <c r="J107" s="17">
        <f>COUNTIF(Sheet1!$F$2:$F$329,A107)</f>
        <v>1</v>
      </c>
      <c r="K107">
        <f t="shared" ca="1" si="13"/>
        <v>62260.786728273633</v>
      </c>
      <c r="L107">
        <f>SUMIF(Sheet1!$F$2:$F$329,A107,Sheet1!$W$2:$W$329)</f>
        <v>3792.1972753437503</v>
      </c>
      <c r="M107">
        <f>SUMIF(Sheet1!$F$2:$F$329,A107,Sheet1!$X$2:$X$329)</f>
        <v>37921972.753437504</v>
      </c>
    </row>
    <row r="108" spans="1:13">
      <c r="A108" t="s">
        <v>160</v>
      </c>
      <c r="B108" t="str">
        <f t="shared" si="14"/>
        <v>TN</v>
      </c>
      <c r="C108" t="str">
        <f t="shared" si="15"/>
        <v>21</v>
      </c>
      <c r="D108" t="str">
        <f t="shared" si="16"/>
        <v>CTRL</v>
      </c>
      <c r="E108" t="str">
        <f t="shared" si="17"/>
        <v>2</v>
      </c>
      <c r="F108">
        <f>SUMIF(Sheet1!$F$2:$F$329,A108,Sheet1!$T$2:$T$329)</f>
        <v>0</v>
      </c>
      <c r="G108">
        <f>VLOOKUP(A108,og_dw!$A$2:$B$182,2,)</f>
        <v>0</v>
      </c>
      <c r="H108">
        <f>G108*(VLOOKUP(VLOOKUP(A108,Sheet1!$F$2:$J$329,5,),eq!$D$2:$G$42,4,)/1000)/2</f>
        <v>0</v>
      </c>
      <c r="I108" s="17" t="e">
        <f ca="1">AVERAGEIF(Sheet1!$F$2:$F$329,A108,Sheet1!$K$2:$N$21)</f>
        <v>#DIV/0!</v>
      </c>
      <c r="J108" s="17">
        <f>COUNTIF(Sheet1!$F$2:$F$329,A108)</f>
        <v>1</v>
      </c>
      <c r="K108" t="e">
        <f t="shared" ca="1" si="13"/>
        <v>#DIV/0!</v>
      </c>
      <c r="L108" t="e">
        <f>SUMIF(Sheet1!$F$2:$F$329,A108,Sheet1!$W$2:$W$329)</f>
        <v>#VALUE!</v>
      </c>
      <c r="M108" t="e">
        <f>SUMIF(Sheet1!$F$2:$F$329,A108,Sheet1!$X$2:$X$329)</f>
        <v>#VALUE!</v>
      </c>
    </row>
    <row r="109" spans="1:13">
      <c r="A109" t="s">
        <v>161</v>
      </c>
      <c r="B109" t="str">
        <f t="shared" si="14"/>
        <v>TN</v>
      </c>
      <c r="C109" t="str">
        <f t="shared" si="15"/>
        <v>21</v>
      </c>
      <c r="D109" t="str">
        <f t="shared" si="16"/>
        <v>CTRL</v>
      </c>
      <c r="E109" t="str">
        <f t="shared" si="17"/>
        <v>3</v>
      </c>
      <c r="F109">
        <f>SUMIF(Sheet1!$F$2:$F$329,A109,Sheet1!$T$2:$T$329)</f>
        <v>1803.5257094399997</v>
      </c>
      <c r="G109">
        <f>VLOOKUP(A109,og_dw!$A$2:$B$182,2,)</f>
        <v>66591711.159612097</v>
      </c>
      <c r="H109">
        <f>G109*(VLOOKUP(VLOOKUP(A109,Sheet1!$F$2:$J$329,5,),eq!$D$2:$G$42,4,)/1000)/2</f>
        <v>8656.9224507495728</v>
      </c>
      <c r="I109" s="17">
        <f ca="1">AVERAGEIF(Sheet1!$F$2:$F$329,A109,Sheet1!$K$2:$N$21)</f>
        <v>15</v>
      </c>
      <c r="J109" s="17">
        <f>COUNTIF(Sheet1!$F$2:$F$329,A109)</f>
        <v>1</v>
      </c>
      <c r="K109">
        <f t="shared" ca="1" si="13"/>
        <v>28481.263039079222</v>
      </c>
      <c r="L109">
        <f>SUMIF(Sheet1!$F$2:$F$329,A109,Sheet1!$W$2:$W$329)</f>
        <v>1803.5257094399999</v>
      </c>
      <c r="M109">
        <f>SUMIF(Sheet1!$F$2:$F$329,A109,Sheet1!$X$2:$X$329)</f>
        <v>18035257.094399996</v>
      </c>
    </row>
    <row r="110" spans="1:13">
      <c r="A110" t="s">
        <v>162</v>
      </c>
      <c r="B110" t="str">
        <f t="shared" si="14"/>
        <v>TN</v>
      </c>
      <c r="C110" t="str">
        <f t="shared" si="15"/>
        <v>21</v>
      </c>
      <c r="D110" t="str">
        <f t="shared" si="16"/>
        <v>CTRL</v>
      </c>
      <c r="E110" t="str">
        <f t="shared" si="17"/>
        <v>4</v>
      </c>
      <c r="F110">
        <f>SUMIF(Sheet1!$F$2:$F$329,A110,Sheet1!$T$2:$T$329)</f>
        <v>0</v>
      </c>
      <c r="G110">
        <f>VLOOKUP(A110,og_dw!$A$2:$B$182,2,)</f>
        <v>0</v>
      </c>
      <c r="H110">
        <f>G110*(VLOOKUP(VLOOKUP(A110,Sheet1!$F$2:$J$329,5,),eq!$D$2:$G$42,4,)/1000)/2</f>
        <v>0</v>
      </c>
      <c r="I110" s="17" t="e">
        <f ca="1">AVERAGEIF(Sheet1!$F$2:$F$329,A110,Sheet1!$K$2:$N$21)</f>
        <v>#DIV/0!</v>
      </c>
      <c r="J110" s="17">
        <f>COUNTIF(Sheet1!$F$2:$F$329,A110)</f>
        <v>1</v>
      </c>
      <c r="K110" t="e">
        <f t="shared" ca="1" si="13"/>
        <v>#DIV/0!</v>
      </c>
      <c r="L110" t="e">
        <f>SUMIF(Sheet1!$F$2:$F$329,A110,Sheet1!$W$2:$W$329)</f>
        <v>#VALUE!</v>
      </c>
      <c r="M110" t="e">
        <f>SUMIF(Sheet1!$F$2:$F$329,A110,Sheet1!$X$2:$X$329)</f>
        <v>#VALUE!</v>
      </c>
    </row>
    <row r="111" spans="1:13">
      <c r="A111" t="s">
        <v>163</v>
      </c>
      <c r="B111" t="str">
        <f t="shared" si="14"/>
        <v>TN</v>
      </c>
      <c r="C111" t="str">
        <f t="shared" si="15"/>
        <v>21</v>
      </c>
      <c r="D111" t="str">
        <f t="shared" si="16"/>
        <v>EX</v>
      </c>
      <c r="E111" t="str">
        <f t="shared" si="17"/>
        <v>1</v>
      </c>
      <c r="F111">
        <f>SUMIF(Sheet1!$F$2:$F$329,A111,Sheet1!$T$2:$T$329)</f>
        <v>3770.4417438187497</v>
      </c>
      <c r="G111">
        <f>VLOOKUP(A111,og_dw!$A$2:$B$182,2,)</f>
        <v>209088110.01104599</v>
      </c>
      <c r="H111">
        <f>G111*(VLOOKUP(VLOOKUP(A111,Sheet1!$F$2:$J$329,5,),eq!$D$2:$G$42,4,)/1000)/2</f>
        <v>11499.84605060753</v>
      </c>
      <c r="I111" s="17">
        <f ca="1">AVERAGEIF(Sheet1!$F$2:$F$329,A111,Sheet1!$K$2:$N$21)</f>
        <v>24</v>
      </c>
      <c r="J111" s="17">
        <f>COUNTIF(Sheet1!$F$2:$F$329,A111)</f>
        <v>1</v>
      </c>
      <c r="K111">
        <f t="shared" ca="1" si="13"/>
        <v>85076.594592695576</v>
      </c>
      <c r="L111">
        <f>SUMIF(Sheet1!$F$2:$F$329,A111,Sheet1!$W$2:$W$329)</f>
        <v>3770.4417438187488</v>
      </c>
      <c r="M111">
        <f>SUMIF(Sheet1!$F$2:$F$329,A111,Sheet1!$X$2:$X$329)</f>
        <v>37704417.438187495</v>
      </c>
    </row>
    <row r="112" spans="1:13">
      <c r="A112" t="s">
        <v>164</v>
      </c>
      <c r="B112" t="str">
        <f t="shared" si="14"/>
        <v>TN</v>
      </c>
      <c r="C112" t="str">
        <f t="shared" si="15"/>
        <v>21</v>
      </c>
      <c r="D112" t="str">
        <f t="shared" si="16"/>
        <v>EX</v>
      </c>
      <c r="E112" t="str">
        <f t="shared" si="17"/>
        <v>2</v>
      </c>
      <c r="F112">
        <f>SUMIF(Sheet1!$F$2:$F$329,A112,Sheet1!$T$2:$T$329)</f>
        <v>0</v>
      </c>
      <c r="G112">
        <f>VLOOKUP(A112,og_dw!$A$2:$B$182,2,)</f>
        <v>0</v>
      </c>
      <c r="H112">
        <f>G112*(VLOOKUP(VLOOKUP(A112,Sheet1!$F$2:$J$329,5,),eq!$D$2:$G$42,4,)/1000)/2</f>
        <v>0</v>
      </c>
      <c r="I112" s="17" t="e">
        <f ca="1">AVERAGEIF(Sheet1!$F$2:$F$329,A112,Sheet1!$K$2:$N$21)</f>
        <v>#DIV/0!</v>
      </c>
      <c r="J112" s="17">
        <f>COUNTIF(Sheet1!$F$2:$F$329,A112)</f>
        <v>1</v>
      </c>
      <c r="K112" t="e">
        <f t="shared" ca="1" si="13"/>
        <v>#DIV/0!</v>
      </c>
      <c r="L112" t="e">
        <f>SUMIF(Sheet1!$F$2:$F$329,A112,Sheet1!$W$2:$W$329)</f>
        <v>#VALUE!</v>
      </c>
      <c r="M112" t="e">
        <f>SUMIF(Sheet1!$F$2:$F$329,A112,Sheet1!$X$2:$X$329)</f>
        <v>#VALUE!</v>
      </c>
    </row>
    <row r="113" spans="1:13">
      <c r="A113" t="s">
        <v>165</v>
      </c>
      <c r="B113" t="str">
        <f t="shared" si="14"/>
        <v>TN</v>
      </c>
      <c r="C113" t="str">
        <f t="shared" si="15"/>
        <v>21</v>
      </c>
      <c r="D113" t="str">
        <f t="shared" si="16"/>
        <v>EX</v>
      </c>
      <c r="E113" t="str">
        <f t="shared" si="17"/>
        <v>3</v>
      </c>
      <c r="F113">
        <f>SUMIF(Sheet1!$F$2:$F$329,A113,Sheet1!$T$2:$T$329)</f>
        <v>1768.9132085624997</v>
      </c>
      <c r="G113">
        <f>VLOOKUP(A113,og_dw!$A$2:$B$182,2,)</f>
        <v>98094267.112932801</v>
      </c>
      <c r="H113">
        <f>G113*(VLOOKUP(VLOOKUP(A113,Sheet1!$F$2:$J$329,5,),eq!$D$2:$G$42,4,)/1000)/2</f>
        <v>5395.1846912113042</v>
      </c>
      <c r="I113" s="17">
        <f ca="1">AVERAGEIF(Sheet1!$F$2:$F$329,A113,Sheet1!$K$2:$N$21)</f>
        <v>16</v>
      </c>
      <c r="J113" s="17">
        <f>COUNTIF(Sheet1!$F$2:$F$329,A113)</f>
        <v>1</v>
      </c>
      <c r="K113">
        <f t="shared" ca="1" si="13"/>
        <v>33072.564827895032</v>
      </c>
      <c r="L113">
        <f>SUMIF(Sheet1!$F$2:$F$329,A113,Sheet1!$W$2:$W$329)</f>
        <v>1768.9132085625004</v>
      </c>
      <c r="M113">
        <f>SUMIF(Sheet1!$F$2:$F$329,A113,Sheet1!$X$2:$X$329)</f>
        <v>17689132.085624997</v>
      </c>
    </row>
    <row r="114" spans="1:13">
      <c r="A114" t="s">
        <v>166</v>
      </c>
      <c r="B114" t="str">
        <f t="shared" si="14"/>
        <v>TN</v>
      </c>
      <c r="C114" t="str">
        <f t="shared" si="15"/>
        <v>21</v>
      </c>
      <c r="D114" t="str">
        <f t="shared" si="16"/>
        <v>EX</v>
      </c>
      <c r="E114" t="str">
        <f t="shared" si="17"/>
        <v>4</v>
      </c>
      <c r="F114">
        <f>SUMIF(Sheet1!$F$2:$F$329,A114,Sheet1!$T$2:$T$329)</f>
        <v>0</v>
      </c>
      <c r="G114">
        <f>VLOOKUP(A114,og_dw!$A$2:$B$182,2,)</f>
        <v>0</v>
      </c>
      <c r="H114">
        <f>G114*(VLOOKUP(VLOOKUP(A114,Sheet1!$F$2:$J$329,5,),eq!$D$2:$G$42,4,)/1000)/2</f>
        <v>0</v>
      </c>
      <c r="I114" s="17" t="e">
        <f ca="1">AVERAGEIF(Sheet1!$F$2:$F$329,A114,Sheet1!$K$2:$N$21)</f>
        <v>#DIV/0!</v>
      </c>
      <c r="J114" s="17">
        <f>COUNTIF(Sheet1!$F$2:$F$329,A114)</f>
        <v>1</v>
      </c>
      <c r="K114" t="e">
        <f t="shared" ca="1" si="13"/>
        <v>#DIV/0!</v>
      </c>
      <c r="L114" t="e">
        <f>SUMIF(Sheet1!$F$2:$F$329,A114,Sheet1!$W$2:$W$329)</f>
        <v>#VALUE!</v>
      </c>
      <c r="M114" t="e">
        <f>SUMIF(Sheet1!$F$2:$F$329,A114,Sheet1!$X$2:$X$329)</f>
        <v>#VALUE!</v>
      </c>
    </row>
    <row r="115" spans="1:13">
      <c r="A115" t="s">
        <v>167</v>
      </c>
      <c r="B115" t="str">
        <f t="shared" si="14"/>
        <v>TN</v>
      </c>
      <c r="C115" t="str">
        <f t="shared" si="15"/>
        <v>22</v>
      </c>
      <c r="D115" t="str">
        <f t="shared" si="16"/>
        <v>CTRL</v>
      </c>
      <c r="E115" t="str">
        <f t="shared" si="17"/>
        <v>1</v>
      </c>
      <c r="F115">
        <f>SUMIF(Sheet1!$F$2:$F$329,A115,Sheet1!$T$2:$T$329)</f>
        <v>40647.794573095947</v>
      </c>
      <c r="G115">
        <f>VLOOKUP(A115,og_dw!$A$2:$B$182,2,)</f>
        <v>1298765494.94381</v>
      </c>
      <c r="H115">
        <f>G115*(VLOOKUP(VLOOKUP(A115,Sheet1!$F$2:$J$329,5,),eq!$D$2:$G$42,4,)/1000)/2</f>
        <v>214296.30666572865</v>
      </c>
      <c r="I115" s="17">
        <f ca="1">AVERAGEIF(Sheet1!$F$2:$F$329,A115,Sheet1!$K$2:$N$21)</f>
        <v>19.666666666666668</v>
      </c>
      <c r="J115" s="17">
        <f>COUNTIF(Sheet1!$F$2:$F$329,A115)</f>
        <v>3</v>
      </c>
      <c r="K115">
        <f t="shared" ca="1" si="13"/>
        <v>160281.43436537689</v>
      </c>
      <c r="L115">
        <f>SUMIF(Sheet1!$F$2:$F$329,A115,Sheet1!$W$2:$W$329)</f>
        <v>40647.794573095933</v>
      </c>
      <c r="M115">
        <f>SUMIF(Sheet1!$F$2:$F$329,A115,Sheet1!$X$2:$X$329)</f>
        <v>406477945.73095936</v>
      </c>
    </row>
    <row r="116" spans="1:13">
      <c r="A116" t="s">
        <v>168</v>
      </c>
      <c r="B116" t="str">
        <f t="shared" si="14"/>
        <v>TN</v>
      </c>
      <c r="C116" t="str">
        <f t="shared" si="15"/>
        <v>22</v>
      </c>
      <c r="D116" t="str">
        <f t="shared" si="16"/>
        <v>CTRL</v>
      </c>
      <c r="E116" t="str">
        <f t="shared" si="17"/>
        <v>2</v>
      </c>
      <c r="F116">
        <f>SUMIF(Sheet1!$F$2:$F$329,A116,Sheet1!$T$2:$T$329)</f>
        <v>0</v>
      </c>
      <c r="G116">
        <f>VLOOKUP(A116,og_dw!$A$2:$B$182,2,)</f>
        <v>0</v>
      </c>
      <c r="H116">
        <f>G116*(VLOOKUP(VLOOKUP(A116,Sheet1!$F$2:$J$329,5,),eq!$D$2:$G$42,4,)/1000)/2</f>
        <v>0</v>
      </c>
      <c r="I116" s="17" t="e">
        <f ca="1">AVERAGEIF(Sheet1!$F$2:$F$329,A116,Sheet1!$K$2:$N$21)</f>
        <v>#DIV/0!</v>
      </c>
      <c r="J116" s="17">
        <f>COUNTIF(Sheet1!$F$2:$F$329,A116)</f>
        <v>1</v>
      </c>
      <c r="K116" t="e">
        <f t="shared" ca="1" si="13"/>
        <v>#DIV/0!</v>
      </c>
      <c r="L116" t="e">
        <f>SUMIF(Sheet1!$F$2:$F$329,A116,Sheet1!$W$2:$W$329)</f>
        <v>#VALUE!</v>
      </c>
      <c r="M116" t="e">
        <f>SUMIF(Sheet1!$F$2:$F$329,A116,Sheet1!$X$2:$X$329)</f>
        <v>#VALUE!</v>
      </c>
    </row>
    <row r="117" spans="1:13">
      <c r="A117" t="s">
        <v>169</v>
      </c>
      <c r="B117" t="str">
        <f t="shared" si="14"/>
        <v>TN</v>
      </c>
      <c r="C117" t="str">
        <f t="shared" si="15"/>
        <v>22</v>
      </c>
      <c r="D117" t="str">
        <f t="shared" si="16"/>
        <v>CTRL</v>
      </c>
      <c r="E117" t="str">
        <f t="shared" si="17"/>
        <v>3</v>
      </c>
      <c r="F117">
        <f>SUMIF(Sheet1!$F$2:$F$329,A117,Sheet1!$T$2:$T$329)</f>
        <v>6350.0361537965618</v>
      </c>
      <c r="G117">
        <f>VLOOKUP(A117,og_dw!$A$2:$B$182,2,)</f>
        <v>256507142.62722099</v>
      </c>
      <c r="H117">
        <f>G117*(VLOOKUP(VLOOKUP(A117,Sheet1!$F$2:$J$329,5,),eq!$D$2:$G$42,4,)/1000)/2</f>
        <v>19238.035697041574</v>
      </c>
      <c r="I117" s="17">
        <f ca="1">AVERAGEIF(Sheet1!$F$2:$F$329,A117,Sheet1!$K$2:$N$21)</f>
        <v>16.5</v>
      </c>
      <c r="J117" s="17">
        <f>COUNTIF(Sheet1!$F$2:$F$329,A117)</f>
        <v>2</v>
      </c>
      <c r="K117">
        <f t="shared" ca="1" si="13"/>
        <v>71037.533144092828</v>
      </c>
      <c r="L117">
        <f>SUMIF(Sheet1!$F$2:$F$329,A117,Sheet1!$W$2:$W$329)</f>
        <v>6350.0361537965637</v>
      </c>
      <c r="M117">
        <f>SUMIF(Sheet1!$F$2:$F$329,A117,Sheet1!$X$2:$X$329)</f>
        <v>63500361.537965626</v>
      </c>
    </row>
    <row r="118" spans="1:13">
      <c r="A118" t="s">
        <v>170</v>
      </c>
      <c r="B118" t="str">
        <f t="shared" si="14"/>
        <v>TN</v>
      </c>
      <c r="C118" t="str">
        <f t="shared" si="15"/>
        <v>22</v>
      </c>
      <c r="D118" t="str">
        <f t="shared" si="16"/>
        <v>CTRL</v>
      </c>
      <c r="E118" t="str">
        <f t="shared" si="17"/>
        <v>4</v>
      </c>
      <c r="F118">
        <f>SUMIF(Sheet1!$F$2:$F$329,A118,Sheet1!$T$2:$T$329)</f>
        <v>79064.015500014997</v>
      </c>
      <c r="G118">
        <f>VLOOKUP(A118,og_dw!$A$2:$B$182,2,)</f>
        <v>2414002308.29252</v>
      </c>
      <c r="H118">
        <f>G118*(VLOOKUP(VLOOKUP(A118,Sheet1!$F$2:$J$329,5,),eq!$D$2:$G$42,4,)/1000)/2</f>
        <v>482800.46165850403</v>
      </c>
      <c r="I118" s="17">
        <f ca="1">AVERAGEIF(Sheet1!$F$2:$F$329,A118,Sheet1!$K$2:$N$21)</f>
        <v>28.5</v>
      </c>
      <c r="J118" s="17">
        <f>COUNTIF(Sheet1!$F$2:$F$329,A118)</f>
        <v>2</v>
      </c>
      <c r="K118">
        <f t="shared" ca="1" si="13"/>
        <v>254649.31291781011</v>
      </c>
      <c r="L118">
        <f>SUMIF(Sheet1!$F$2:$F$329,A118,Sheet1!$W$2:$W$329)</f>
        <v>79064.015500014968</v>
      </c>
      <c r="M118">
        <f>SUMIF(Sheet1!$F$2:$F$329,A118,Sheet1!$X$2:$X$329)</f>
        <v>790640155.00014985</v>
      </c>
    </row>
    <row r="119" spans="1:13">
      <c r="A119" t="s">
        <v>171</v>
      </c>
      <c r="B119" t="str">
        <f t="shared" si="14"/>
        <v>TN</v>
      </c>
      <c r="C119" t="str">
        <f t="shared" si="15"/>
        <v>22</v>
      </c>
      <c r="D119" t="str">
        <f t="shared" si="16"/>
        <v>EX</v>
      </c>
      <c r="E119" t="str">
        <f t="shared" si="17"/>
        <v>1</v>
      </c>
      <c r="F119">
        <f>SUMIF(Sheet1!$F$2:$F$329,A119,Sheet1!$T$2:$T$329)</f>
        <v>0</v>
      </c>
      <c r="G119">
        <f>VLOOKUP(A119,og_dw!$A$2:$B$182,2,)</f>
        <v>0</v>
      </c>
      <c r="H119">
        <f>G119*(VLOOKUP(VLOOKUP(A119,Sheet1!$F$2:$J$329,5,),eq!$D$2:$G$42,4,)/1000)/2</f>
        <v>0</v>
      </c>
      <c r="I119" s="17" t="e">
        <f ca="1">AVERAGEIF(Sheet1!$F$2:$F$329,A119,Sheet1!$K$2:$N$21)</f>
        <v>#DIV/0!</v>
      </c>
      <c r="J119" s="17">
        <f>COUNTIF(Sheet1!$F$2:$F$329,A119)</f>
        <v>1</v>
      </c>
      <c r="K119" t="e">
        <f t="shared" ca="1" si="13"/>
        <v>#DIV/0!</v>
      </c>
      <c r="L119" t="e">
        <f>SUMIF(Sheet1!$F$2:$F$329,A119,Sheet1!$W$2:$W$329)</f>
        <v>#VALUE!</v>
      </c>
      <c r="M119" t="e">
        <f>SUMIF(Sheet1!$F$2:$F$329,A119,Sheet1!$X$2:$X$329)</f>
        <v>#VALUE!</v>
      </c>
    </row>
    <row r="120" spans="1:13">
      <c r="A120" t="s">
        <v>172</v>
      </c>
      <c r="B120" t="str">
        <f t="shared" si="14"/>
        <v>TN</v>
      </c>
      <c r="C120" t="str">
        <f t="shared" si="15"/>
        <v>22</v>
      </c>
      <c r="D120" t="str">
        <f t="shared" si="16"/>
        <v>EX</v>
      </c>
      <c r="E120" t="str">
        <f t="shared" si="17"/>
        <v>2</v>
      </c>
      <c r="F120">
        <f>SUMIF(Sheet1!$F$2:$F$329,A120,Sheet1!$T$2:$T$329)</f>
        <v>3783.5088072031249</v>
      </c>
      <c r="G120">
        <f>VLOOKUP(A120,og_dw!$A$2:$B$182,2,)</f>
        <v>139698771.323504</v>
      </c>
      <c r="H120">
        <f>G120*(VLOOKUP(VLOOKUP(A120,Sheet1!$F$2:$J$329,5,),eq!$D$2:$G$42,4,)/1000)/2</f>
        <v>18160.840272055524</v>
      </c>
      <c r="I120" s="17">
        <f ca="1">AVERAGEIF(Sheet1!$F$2:$F$329,A120,Sheet1!$K$2:$N$21)</f>
        <v>18</v>
      </c>
      <c r="J120" s="17">
        <f>COUNTIF(Sheet1!$F$2:$F$329,A120)</f>
        <v>1</v>
      </c>
      <c r="K120">
        <f t="shared" ca="1" si="13"/>
        <v>43473.883480243028</v>
      </c>
      <c r="L120">
        <f>SUMIF(Sheet1!$F$2:$F$329,A120,Sheet1!$W$2:$W$329)</f>
        <v>3783.5088072031244</v>
      </c>
      <c r="M120">
        <f>SUMIF(Sheet1!$F$2:$F$329,A120,Sheet1!$X$2:$X$329)</f>
        <v>37835088.072031252</v>
      </c>
    </row>
    <row r="121" spans="1:13">
      <c r="A121" t="s">
        <v>173</v>
      </c>
      <c r="B121" t="str">
        <f t="shared" si="14"/>
        <v>TN</v>
      </c>
      <c r="C121" t="str">
        <f t="shared" si="15"/>
        <v>22</v>
      </c>
      <c r="D121" t="str">
        <f t="shared" si="16"/>
        <v>EX</v>
      </c>
      <c r="E121" t="str">
        <f t="shared" si="17"/>
        <v>3</v>
      </c>
      <c r="F121">
        <f>SUMIF(Sheet1!$F$2:$F$329,A121,Sheet1!$T$2:$T$329)</f>
        <v>62105.279243194687</v>
      </c>
      <c r="G121">
        <f>VLOOKUP(A121,og_dw!$A$2:$B$182,2,)</f>
        <v>2051355966.9899199</v>
      </c>
      <c r="H121">
        <f>G121*(VLOOKUP(VLOOKUP(A121,Sheet1!$F$2:$J$329,5,),eq!$D$2:$G$42,4,)/1000)/2</f>
        <v>338473.73455333681</v>
      </c>
      <c r="I121" s="17">
        <f ca="1">AVERAGEIF(Sheet1!$F$2:$F$329,A121,Sheet1!$K$2:$N$21)</f>
        <v>17.5</v>
      </c>
      <c r="J121" s="17">
        <f>COUNTIF(Sheet1!$F$2:$F$329,A121)</f>
        <v>4</v>
      </c>
      <c r="K121">
        <f t="shared" ca="1" si="13"/>
        <v>162873.03133374601</v>
      </c>
      <c r="L121">
        <f>SUMIF(Sheet1!$F$2:$F$329,A121,Sheet1!$W$2:$W$329)</f>
        <v>62105.279243194687</v>
      </c>
      <c r="M121">
        <f>SUMIF(Sheet1!$F$2:$F$329,A121,Sheet1!$X$2:$X$329)</f>
        <v>621052792.43194687</v>
      </c>
    </row>
    <row r="122" spans="1:13">
      <c r="A122" t="s">
        <v>174</v>
      </c>
      <c r="B122" t="str">
        <f t="shared" si="14"/>
        <v>TN</v>
      </c>
      <c r="C122" t="str">
        <f t="shared" si="15"/>
        <v>22</v>
      </c>
      <c r="D122" t="str">
        <f t="shared" si="16"/>
        <v>EX</v>
      </c>
      <c r="E122" t="str">
        <f t="shared" si="17"/>
        <v>4</v>
      </c>
      <c r="F122">
        <f>SUMIF(Sheet1!$F$2:$F$329,A122,Sheet1!$T$2:$T$329)</f>
        <v>6815.1951395937494</v>
      </c>
      <c r="G122">
        <f>VLOOKUP(A122,og_dw!$A$2:$B$182,2,)</f>
        <v>229905481.03097701</v>
      </c>
      <c r="H122">
        <f>G122*(VLOOKUP(VLOOKUP(A122,Sheet1!$F$2:$J$329,5,),eq!$D$2:$G$42,4,)/1000)/2</f>
        <v>28738.185128872126</v>
      </c>
      <c r="I122" s="17">
        <f ca="1">AVERAGEIF(Sheet1!$F$2:$F$329,A122,Sheet1!$K$2:$N$21)</f>
        <v>16</v>
      </c>
      <c r="J122" s="17">
        <f>COUNTIF(Sheet1!$F$2:$F$329,A122)</f>
        <v>3</v>
      </c>
      <c r="K122">
        <f t="shared" ca="1" si="13"/>
        <v>99217.694483685103</v>
      </c>
      <c r="L122">
        <f>SUMIF(Sheet1!$F$2:$F$329,A122,Sheet1!$W$2:$W$329)</f>
        <v>6815.1951395937494</v>
      </c>
      <c r="M122">
        <f>SUMIF(Sheet1!$F$2:$F$329,A122,Sheet1!$X$2:$X$329)</f>
        <v>68151951.395937502</v>
      </c>
    </row>
    <row r="123" spans="1:13">
      <c r="A123" t="s">
        <v>175</v>
      </c>
      <c r="B123" t="str">
        <f t="shared" si="14"/>
        <v>TN</v>
      </c>
      <c r="C123" t="str">
        <f t="shared" si="15"/>
        <v>23</v>
      </c>
      <c r="D123" t="str">
        <f t="shared" si="16"/>
        <v>NA</v>
      </c>
      <c r="E123" t="str">
        <f t="shared" si="17"/>
        <v>1</v>
      </c>
      <c r="F123">
        <f>SUMIF(Sheet1!$F$2:$F$329,A123,Sheet1!$T$2:$T$329)</f>
        <v>0</v>
      </c>
      <c r="G123">
        <f>VLOOKUP(A123,og_dw!$A$2:$B$182,2,)</f>
        <v>0</v>
      </c>
      <c r="H123">
        <f>G123*(VLOOKUP(VLOOKUP(A123,Sheet1!$F$2:$J$329,5,),eq!$D$2:$G$42,4,)/1000)/2</f>
        <v>0</v>
      </c>
      <c r="I123" s="17" t="e">
        <f ca="1">AVERAGEIF(Sheet1!$F$2:$F$329,A123,Sheet1!$K$2:$N$21)</f>
        <v>#DIV/0!</v>
      </c>
      <c r="J123" s="17">
        <f>COUNTIF(Sheet1!$F$2:$F$329,A123)</f>
        <v>1</v>
      </c>
      <c r="K123" t="e">
        <f t="shared" ca="1" si="13"/>
        <v>#DIV/0!</v>
      </c>
      <c r="L123" t="e">
        <f>SUMIF(Sheet1!$F$2:$F$329,A123,Sheet1!$W$2:$W$329)</f>
        <v>#VALUE!</v>
      </c>
      <c r="M123" t="e">
        <f>SUMIF(Sheet1!$F$2:$F$329,A123,Sheet1!$X$2:$X$329)</f>
        <v>#VALUE!</v>
      </c>
    </row>
    <row r="124" spans="1:13">
      <c r="A124" t="s">
        <v>176</v>
      </c>
      <c r="B124" t="str">
        <f t="shared" si="14"/>
        <v>TN</v>
      </c>
      <c r="C124" t="str">
        <f t="shared" si="15"/>
        <v>23</v>
      </c>
      <c r="D124" t="str">
        <f t="shared" si="16"/>
        <v>NA</v>
      </c>
      <c r="E124" t="str">
        <f t="shared" si="17"/>
        <v>2</v>
      </c>
      <c r="F124">
        <f>SUMIF(Sheet1!$F$2:$F$329,A124,Sheet1!$T$2:$T$329)</f>
        <v>0</v>
      </c>
      <c r="G124">
        <f>VLOOKUP(A124,og_dw!$A$2:$B$182,2,)</f>
        <v>0</v>
      </c>
      <c r="H124">
        <f>G124*(VLOOKUP(VLOOKUP(A124,Sheet1!$F$2:$J$329,5,),eq!$D$2:$G$42,4,)/1000)/2</f>
        <v>0</v>
      </c>
      <c r="I124" s="17" t="e">
        <f ca="1">AVERAGEIF(Sheet1!$F$2:$F$329,A124,Sheet1!$K$2:$N$21)</f>
        <v>#DIV/0!</v>
      </c>
      <c r="J124" s="17">
        <f>COUNTIF(Sheet1!$F$2:$F$329,A124)</f>
        <v>1</v>
      </c>
      <c r="K124" t="e">
        <f t="shared" ca="1" si="13"/>
        <v>#DIV/0!</v>
      </c>
      <c r="L124" t="e">
        <f>SUMIF(Sheet1!$F$2:$F$329,A124,Sheet1!$W$2:$W$329)</f>
        <v>#VALUE!</v>
      </c>
      <c r="M124" t="e">
        <f>SUMIF(Sheet1!$F$2:$F$329,A124,Sheet1!$X$2:$X$329)</f>
        <v>#VALUE!</v>
      </c>
    </row>
    <row r="125" spans="1:13">
      <c r="A125" t="s">
        <v>177</v>
      </c>
      <c r="B125" t="str">
        <f t="shared" si="14"/>
        <v>TN</v>
      </c>
      <c r="C125" t="str">
        <f t="shared" si="15"/>
        <v>23</v>
      </c>
      <c r="D125" t="str">
        <f t="shared" si="16"/>
        <v>NA</v>
      </c>
      <c r="E125" t="str">
        <f t="shared" si="17"/>
        <v>3</v>
      </c>
      <c r="F125">
        <f>SUMIF(Sheet1!$F$2:$F$329,A125,Sheet1!$T$2:$T$329)</f>
        <v>0</v>
      </c>
      <c r="G125">
        <f>VLOOKUP(A125,og_dw!$A$2:$B$182,2,)</f>
        <v>0</v>
      </c>
      <c r="H125">
        <f>G125*(VLOOKUP(VLOOKUP(A125,Sheet1!$F$2:$J$329,5,),eq!$D$2:$G$42,4,)/1000)/2</f>
        <v>0</v>
      </c>
      <c r="I125" s="17" t="e">
        <f ca="1">AVERAGEIF(Sheet1!$F$2:$F$329,A125,Sheet1!$K$2:$N$21)</f>
        <v>#DIV/0!</v>
      </c>
      <c r="J125" s="17">
        <f>COUNTIF(Sheet1!$F$2:$F$329,A125)</f>
        <v>1</v>
      </c>
      <c r="K125" t="e">
        <f t="shared" ca="1" si="13"/>
        <v>#DIV/0!</v>
      </c>
      <c r="L125" t="e">
        <f>SUMIF(Sheet1!$F$2:$F$329,A125,Sheet1!$W$2:$W$329)</f>
        <v>#VALUE!</v>
      </c>
      <c r="M125" t="e">
        <f>SUMIF(Sheet1!$F$2:$F$329,A125,Sheet1!$X$2:$X$329)</f>
        <v>#VALUE!</v>
      </c>
    </row>
    <row r="126" spans="1:13">
      <c r="A126" t="s">
        <v>178</v>
      </c>
      <c r="B126" t="str">
        <f t="shared" si="14"/>
        <v>TN</v>
      </c>
      <c r="C126" t="str">
        <f t="shared" si="15"/>
        <v>23</v>
      </c>
      <c r="D126" t="str">
        <f t="shared" si="16"/>
        <v>NA</v>
      </c>
      <c r="E126" t="str">
        <f t="shared" si="17"/>
        <v>4</v>
      </c>
      <c r="F126">
        <f>SUMIF(Sheet1!$F$2:$F$329,A126,Sheet1!$T$2:$T$329)</f>
        <v>1489.5568685156247</v>
      </c>
      <c r="G126">
        <f>VLOOKUP(A126,og_dw!$A$2:$B$182,2,)</f>
        <v>6454.7457184967097</v>
      </c>
      <c r="H126">
        <f>G126*(VLOOKUP(VLOOKUP(A126,Sheet1!$F$2:$J$329,5,),eq!$D$2:$G$42,4,)/1000)/2</f>
        <v>0.48410592888725318</v>
      </c>
      <c r="I126" s="17">
        <f ca="1">AVERAGEIF(Sheet1!$F$2:$F$329,A126,Sheet1!$K$2:$N$21)</f>
        <v>8</v>
      </c>
      <c r="J126" s="17">
        <f>COUNTIF(Sheet1!$F$2:$F$329,A126)</f>
        <v>1</v>
      </c>
      <c r="K126">
        <f t="shared" ca="1" si="13"/>
        <v>6751.1040454431859</v>
      </c>
      <c r="L126">
        <f>SUMIF(Sheet1!$F$2:$F$329,A126,Sheet1!$W$2:$W$329)</f>
        <v>1489.5568685156245</v>
      </c>
      <c r="M126">
        <f>SUMIF(Sheet1!$F$2:$F$329,A126,Sheet1!$X$2:$X$329)</f>
        <v>14895568.685156247</v>
      </c>
    </row>
    <row r="127" spans="1:13">
      <c r="A127" t="s">
        <v>179</v>
      </c>
      <c r="B127" t="str">
        <f t="shared" si="14"/>
        <v>TN</v>
      </c>
      <c r="C127" t="str">
        <f t="shared" si="15"/>
        <v>24</v>
      </c>
      <c r="D127" t="str">
        <f t="shared" si="16"/>
        <v>NA</v>
      </c>
      <c r="E127" t="str">
        <f t="shared" si="17"/>
        <v>1</v>
      </c>
      <c r="F127">
        <f>SUMIF(Sheet1!$F$2:$F$329,A127,Sheet1!$T$2:$T$329)</f>
        <v>14329.214080089998</v>
      </c>
      <c r="G127">
        <f>VLOOKUP(A127,og_dw!$A$2:$B$182,2,)</f>
        <v>60842.082167745801</v>
      </c>
      <c r="H127">
        <f>G127*(VLOOKUP(VLOOKUP(A127,Sheet1!$F$2:$J$329,5,),eq!$D$2:$G$42,4,)/1000)/2</f>
        <v>4.5631561625809347</v>
      </c>
      <c r="I127" s="17">
        <f ca="1">AVERAGEIF(Sheet1!$F$2:$F$329,A127,Sheet1!$K$2:$N$21)</f>
        <v>33</v>
      </c>
      <c r="J127" s="17">
        <f>COUNTIF(Sheet1!$F$2:$F$329,A127)</f>
        <v>2</v>
      </c>
      <c r="K127">
        <f t="shared" ca="1" si="13"/>
        <v>359590.04117251188</v>
      </c>
      <c r="L127">
        <f>SUMIF(Sheet1!$F$2:$F$329,A127,Sheet1!$W$2:$W$329)</f>
        <v>14329.214080089994</v>
      </c>
      <c r="M127">
        <f>SUMIF(Sheet1!$F$2:$F$329,A127,Sheet1!$X$2:$X$329)</f>
        <v>143292140.80089995</v>
      </c>
    </row>
    <row r="128" spans="1:13">
      <c r="A128" t="s">
        <v>180</v>
      </c>
      <c r="B128" t="str">
        <f t="shared" si="14"/>
        <v>TN</v>
      </c>
      <c r="C128" t="str">
        <f t="shared" si="15"/>
        <v>24</v>
      </c>
      <c r="D128" t="str">
        <f t="shared" si="16"/>
        <v>NA</v>
      </c>
      <c r="E128" t="str">
        <f t="shared" si="17"/>
        <v>2</v>
      </c>
      <c r="F128">
        <f>SUMIF(Sheet1!$F$2:$F$329,A128,Sheet1!$T$2:$T$329)</f>
        <v>0</v>
      </c>
      <c r="G128">
        <f>VLOOKUP(A128,og_dw!$A$2:$B$182,2,)</f>
        <v>0</v>
      </c>
      <c r="H128">
        <f>G128*(VLOOKUP(VLOOKUP(A128,Sheet1!$F$2:$J$329,5,),eq!$D$2:$G$42,4,)/1000)/2</f>
        <v>0</v>
      </c>
      <c r="I128" s="17" t="e">
        <f ca="1">AVERAGEIF(Sheet1!$F$2:$F$329,A128,Sheet1!$K$2:$N$21)</f>
        <v>#DIV/0!</v>
      </c>
      <c r="J128" s="17">
        <f>COUNTIF(Sheet1!$F$2:$F$329,A128)</f>
        <v>1</v>
      </c>
      <c r="K128" t="e">
        <f t="shared" ca="1" si="13"/>
        <v>#DIV/0!</v>
      </c>
      <c r="L128" t="e">
        <f>SUMIF(Sheet1!$F$2:$F$329,A128,Sheet1!$W$2:$W$329)</f>
        <v>#VALUE!</v>
      </c>
      <c r="M128" t="e">
        <f>SUMIF(Sheet1!$F$2:$F$329,A128,Sheet1!$X$2:$X$329)</f>
        <v>#VALUE!</v>
      </c>
    </row>
    <row r="129" spans="1:13">
      <c r="A129" t="s">
        <v>181</v>
      </c>
      <c r="B129" t="str">
        <f t="shared" si="14"/>
        <v>TN</v>
      </c>
      <c r="C129" t="str">
        <f t="shared" si="15"/>
        <v>24</v>
      </c>
      <c r="D129" t="str">
        <f t="shared" si="16"/>
        <v>NA</v>
      </c>
      <c r="E129" t="str">
        <f t="shared" si="17"/>
        <v>3</v>
      </c>
      <c r="F129">
        <f>SUMIF(Sheet1!$F$2:$F$329,A129,Sheet1!$T$2:$T$329)</f>
        <v>7232.5007917662497</v>
      </c>
      <c r="G129">
        <f>VLOOKUP(A129,og_dw!$A$2:$B$182,2,)</f>
        <v>401074999.68218398</v>
      </c>
      <c r="H129">
        <f>G129*(VLOOKUP(VLOOKUP(A129,Sheet1!$F$2:$J$329,5,),eq!$D$2:$G$42,4,)/1000)/2</f>
        <v>22059.124982520119</v>
      </c>
      <c r="I129" s="17">
        <f ca="1">AVERAGEIF(Sheet1!$F$2:$F$329,A129,Sheet1!$K$2:$N$21)</f>
        <v>35.5</v>
      </c>
      <c r="J129" s="17">
        <f>COUNTIF(Sheet1!$F$2:$F$329,A129)</f>
        <v>2</v>
      </c>
      <c r="K129">
        <f t="shared" ca="1" si="13"/>
        <v>427181.96932572103</v>
      </c>
      <c r="L129">
        <f>SUMIF(Sheet1!$F$2:$F$329,A129,Sheet1!$W$2:$W$329)</f>
        <v>7232.5007917662497</v>
      </c>
      <c r="M129">
        <f>SUMIF(Sheet1!$F$2:$F$329,A129,Sheet1!$X$2:$X$329)</f>
        <v>72325007.917662486</v>
      </c>
    </row>
    <row r="130" spans="1:13">
      <c r="A130" t="s">
        <v>182</v>
      </c>
      <c r="B130" t="str">
        <f t="shared" ref="B130:B161" si="18">LEFT(A130,2)</f>
        <v>TN</v>
      </c>
      <c r="C130" t="str">
        <f t="shared" ref="C130:C161" si="19">MID(A130,SEARCH("_",A130)+1,SEARCH("_",A130,SEARCH("_",A130)+1)-SEARCH("_",A130)-1)</f>
        <v>24</v>
      </c>
      <c r="D130" t="str">
        <f t="shared" ref="D130:D161" si="20">MID(A130,SEARCH("_",A130,4)+1,SEARCH("_",A130,SEARCH("_",A130,4)+1)-SEARCH("_",A130,4)-1)</f>
        <v>NA</v>
      </c>
      <c r="E130" t="str">
        <f t="shared" ref="E130:E161" si="21">RIGHT(A130,1)</f>
        <v>4</v>
      </c>
      <c r="F130">
        <f>SUMIF(Sheet1!$F$2:$F$329,A130,Sheet1!$T$2:$T$329)</f>
        <v>250.88761697999996</v>
      </c>
      <c r="G130">
        <f>VLOOKUP(A130,og_dw!$A$2:$B$182,2,)</f>
        <v>13912857.2256878</v>
      </c>
      <c r="H130">
        <f>G130*(VLOOKUP(VLOOKUP(A130,Sheet1!$F$2:$J$329,5,),eq!$D$2:$G$42,4,)/1000)/2</f>
        <v>765.20714741282904</v>
      </c>
      <c r="I130" s="17">
        <f ca="1">AVERAGEIF(Sheet1!$F$2:$F$329,A130,Sheet1!$K$2:$N$21)</f>
        <v>10</v>
      </c>
      <c r="J130" s="17">
        <f>COUNTIF(Sheet1!$F$2:$F$329,A130)</f>
        <v>1</v>
      </c>
      <c r="K130">
        <f t="shared" ca="1" si="13"/>
        <v>11213.240523678</v>
      </c>
      <c r="L130">
        <f>SUMIF(Sheet1!$F$2:$F$329,A130,Sheet1!$W$2:$W$329)</f>
        <v>250.88761698000002</v>
      </c>
      <c r="M130">
        <f>SUMIF(Sheet1!$F$2:$F$329,A130,Sheet1!$X$2:$X$329)</f>
        <v>2508876.1697999998</v>
      </c>
    </row>
    <row r="131" spans="1:13">
      <c r="A131" t="s">
        <v>183</v>
      </c>
      <c r="B131" t="str">
        <f t="shared" si="18"/>
        <v>TN</v>
      </c>
      <c r="C131" t="str">
        <f t="shared" si="19"/>
        <v>25</v>
      </c>
      <c r="D131" t="str">
        <f t="shared" si="20"/>
        <v>CTRL</v>
      </c>
      <c r="E131" t="str">
        <f t="shared" si="21"/>
        <v>1</v>
      </c>
      <c r="F131">
        <f>SUMIF(Sheet1!$F$2:$F$329,A131,Sheet1!$T$2:$T$329)</f>
        <v>0</v>
      </c>
      <c r="G131">
        <f>VLOOKUP(A131,og_dw!$A$2:$B$182,2,)</f>
        <v>0</v>
      </c>
      <c r="H131">
        <f>G131*(VLOOKUP(VLOOKUP(A131,Sheet1!$F$2:$J$329,5,),eq!$D$2:$G$42,4,)/1000)/2</f>
        <v>0</v>
      </c>
      <c r="I131" s="17" t="e">
        <f ca="1">AVERAGEIF(Sheet1!$F$2:$F$329,A131,Sheet1!$K$2:$N$21)</f>
        <v>#DIV/0!</v>
      </c>
      <c r="J131" s="17">
        <f>COUNTIF(Sheet1!$F$2:$F$329,A131)</f>
        <v>1</v>
      </c>
      <c r="K131" t="e">
        <f t="shared" ref="K131:K182" ca="1" si="22">(0.0534*(I131^2.403)+0.0115*(I131^2.3484)+0.007*(I131^2.5406)+0.084*(I131^1.6695))*1000*J131/2</f>
        <v>#DIV/0!</v>
      </c>
      <c r="L131" t="e">
        <f>SUMIF(Sheet1!$F$2:$F$329,A131,Sheet1!$W$2:$W$329)</f>
        <v>#VALUE!</v>
      </c>
      <c r="M131" t="e">
        <f>SUMIF(Sheet1!$F$2:$F$329,A131,Sheet1!$X$2:$X$329)</f>
        <v>#VALUE!</v>
      </c>
    </row>
    <row r="132" spans="1:13">
      <c r="A132" t="s">
        <v>184</v>
      </c>
      <c r="B132" t="str">
        <f t="shared" si="18"/>
        <v>TN</v>
      </c>
      <c r="C132" t="str">
        <f t="shared" si="19"/>
        <v>25</v>
      </c>
      <c r="D132" t="str">
        <f t="shared" si="20"/>
        <v>CTRL</v>
      </c>
      <c r="E132" t="str">
        <f t="shared" si="21"/>
        <v>2</v>
      </c>
      <c r="F132">
        <f>SUMIF(Sheet1!$F$2:$F$329,A132,Sheet1!$T$2:$T$329)</f>
        <v>0</v>
      </c>
      <c r="G132">
        <f>VLOOKUP(A132,og_dw!$A$2:$B$182,2,)</f>
        <v>0</v>
      </c>
      <c r="H132">
        <f>G132*(VLOOKUP(VLOOKUP(A132,Sheet1!$F$2:$J$329,5,),eq!$D$2:$G$42,4,)/1000)/2</f>
        <v>0</v>
      </c>
      <c r="I132" s="17" t="e">
        <f ca="1">AVERAGEIF(Sheet1!$F$2:$F$329,A132,Sheet1!$K$2:$N$21)</f>
        <v>#DIV/0!</v>
      </c>
      <c r="J132" s="17">
        <f>COUNTIF(Sheet1!$F$2:$F$329,A132)</f>
        <v>1</v>
      </c>
      <c r="K132" t="e">
        <f t="shared" ca="1" si="22"/>
        <v>#DIV/0!</v>
      </c>
      <c r="L132" t="e">
        <f>SUMIF(Sheet1!$F$2:$F$329,A132,Sheet1!$W$2:$W$329)</f>
        <v>#VALUE!</v>
      </c>
      <c r="M132" t="e">
        <f>SUMIF(Sheet1!$F$2:$F$329,A132,Sheet1!$X$2:$X$329)</f>
        <v>#VALUE!</v>
      </c>
    </row>
    <row r="133" spans="1:13">
      <c r="A133" t="s">
        <v>185</v>
      </c>
      <c r="B133" t="str">
        <f t="shared" si="18"/>
        <v>TN</v>
      </c>
      <c r="C133" t="str">
        <f t="shared" si="19"/>
        <v>25</v>
      </c>
      <c r="D133" t="str">
        <f t="shared" si="20"/>
        <v>CTRL</v>
      </c>
      <c r="E133" t="str">
        <f t="shared" si="21"/>
        <v>3</v>
      </c>
      <c r="F133">
        <f>SUMIF(Sheet1!$F$2:$F$329,A133,Sheet1!$T$2:$T$329)</f>
        <v>0</v>
      </c>
      <c r="G133">
        <f>VLOOKUP(A133,og_dw!$A$2:$B$182,2,)</f>
        <v>0</v>
      </c>
      <c r="H133">
        <f>G133*(VLOOKUP(VLOOKUP(A133,Sheet1!$F$2:$J$329,5,),eq!$D$2:$G$42,4,)/1000)/2</f>
        <v>0</v>
      </c>
      <c r="I133" s="17" t="e">
        <f ca="1">AVERAGEIF(Sheet1!$F$2:$F$329,A133,Sheet1!$K$2:$N$21)</f>
        <v>#DIV/0!</v>
      </c>
      <c r="J133" s="17">
        <f>COUNTIF(Sheet1!$F$2:$F$329,A133)</f>
        <v>1</v>
      </c>
      <c r="K133" t="e">
        <f t="shared" ca="1" si="22"/>
        <v>#DIV/0!</v>
      </c>
      <c r="L133" t="e">
        <f>SUMIF(Sheet1!$F$2:$F$329,A133,Sheet1!$W$2:$W$329)</f>
        <v>#VALUE!</v>
      </c>
      <c r="M133" t="e">
        <f>SUMIF(Sheet1!$F$2:$F$329,A133,Sheet1!$X$2:$X$329)</f>
        <v>#VALUE!</v>
      </c>
    </row>
    <row r="134" spans="1:13">
      <c r="A134" t="s">
        <v>186</v>
      </c>
      <c r="B134" t="str">
        <f t="shared" si="18"/>
        <v>TN</v>
      </c>
      <c r="C134" t="str">
        <f t="shared" si="19"/>
        <v>25</v>
      </c>
      <c r="D134" t="str">
        <f t="shared" si="20"/>
        <v>CTRL</v>
      </c>
      <c r="E134" t="str">
        <f t="shared" si="21"/>
        <v>4</v>
      </c>
      <c r="F134">
        <f>SUMIF(Sheet1!$F$2:$F$329,A134,Sheet1!$T$2:$T$329)</f>
        <v>0</v>
      </c>
      <c r="G134">
        <f>VLOOKUP(A134,og_dw!$A$2:$B$182,2,)</f>
        <v>0</v>
      </c>
      <c r="H134">
        <f>G134*(VLOOKUP(VLOOKUP(A134,Sheet1!$F$2:$J$329,5,),eq!$D$2:$G$42,4,)/1000)/2</f>
        <v>0</v>
      </c>
      <c r="I134" s="17" t="e">
        <f ca="1">AVERAGEIF(Sheet1!$F$2:$F$329,A134,Sheet1!$K$2:$N$21)</f>
        <v>#DIV/0!</v>
      </c>
      <c r="J134" s="17">
        <f>COUNTIF(Sheet1!$F$2:$F$329,A134)</f>
        <v>1</v>
      </c>
      <c r="K134" t="e">
        <f t="shared" ca="1" si="22"/>
        <v>#DIV/0!</v>
      </c>
      <c r="L134" t="e">
        <f>SUMIF(Sheet1!$F$2:$F$329,A134,Sheet1!$W$2:$W$329)</f>
        <v>#VALUE!</v>
      </c>
      <c r="M134" t="e">
        <f>SUMIF(Sheet1!$F$2:$F$329,A134,Sheet1!$X$2:$X$329)</f>
        <v>#VALUE!</v>
      </c>
    </row>
    <row r="135" spans="1:13">
      <c r="A135" t="s">
        <v>187</v>
      </c>
      <c r="B135" t="str">
        <f t="shared" si="18"/>
        <v>TN</v>
      </c>
      <c r="C135" t="str">
        <f t="shared" si="19"/>
        <v>25</v>
      </c>
      <c r="D135" t="str">
        <f t="shared" si="20"/>
        <v>EX</v>
      </c>
      <c r="E135" t="str">
        <f t="shared" si="21"/>
        <v>1</v>
      </c>
      <c r="F135">
        <f>SUMIF(Sheet1!$F$2:$F$329,A135,Sheet1!$T$2:$T$329)</f>
        <v>1667.4004847500003</v>
      </c>
      <c r="G135">
        <f>VLOOKUP(A135,og_dw!$A$2:$B$182,2,)</f>
        <v>9246.4925776781602</v>
      </c>
      <c r="H135">
        <f>G135*(VLOOKUP(VLOOKUP(A135,Sheet1!$F$2:$J$329,5,),eq!$D$2:$G$42,4,)/1000)/2</f>
        <v>0.5085570917722988</v>
      </c>
      <c r="I135" s="17">
        <f ca="1">AVERAGEIF(Sheet1!$F$2:$F$329,A135,Sheet1!$K$2:$N$21)</f>
        <v>18</v>
      </c>
      <c r="J135" s="17">
        <f>COUNTIF(Sheet1!$F$2:$F$329,A135)</f>
        <v>1</v>
      </c>
      <c r="K135">
        <f t="shared" ca="1" si="22"/>
        <v>43473.883480243028</v>
      </c>
      <c r="L135">
        <f>SUMIF(Sheet1!$F$2:$F$329,A135,Sheet1!$W$2:$W$329)</f>
        <v>1667.4004847500003</v>
      </c>
      <c r="M135">
        <f>SUMIF(Sheet1!$F$2:$F$329,A135,Sheet1!$X$2:$X$329)</f>
        <v>16674004.847500004</v>
      </c>
    </row>
    <row r="136" spans="1:13">
      <c r="A136" t="s">
        <v>188</v>
      </c>
      <c r="B136" t="str">
        <f t="shared" si="18"/>
        <v>TN</v>
      </c>
      <c r="C136" t="str">
        <f t="shared" si="19"/>
        <v>25</v>
      </c>
      <c r="D136" t="str">
        <f t="shared" si="20"/>
        <v>EX</v>
      </c>
      <c r="E136" t="str">
        <f t="shared" si="21"/>
        <v>2</v>
      </c>
      <c r="F136">
        <f>SUMIF(Sheet1!$F$2:$F$329,A136,Sheet1!$T$2:$T$329)</f>
        <v>41455.563910499368</v>
      </c>
      <c r="G136">
        <f>VLOOKUP(A136,og_dw!$A$2:$B$182,2,)</f>
        <v>136286.66398049501</v>
      </c>
      <c r="H136">
        <f>G136*(VLOOKUP(VLOOKUP(A136,Sheet1!$F$2:$J$329,5,),eq!$D$2:$G$42,4,)/1000)/2</f>
        <v>27.257332796099004</v>
      </c>
      <c r="I136" s="17">
        <f ca="1">AVERAGEIF(Sheet1!$F$2:$F$329,A136,Sheet1!$K$2:$N$21)</f>
        <v>16</v>
      </c>
      <c r="J136" s="17">
        <f>COUNTIF(Sheet1!$F$2:$F$329,A136)</f>
        <v>4</v>
      </c>
      <c r="K136">
        <f t="shared" ca="1" si="22"/>
        <v>132290.25931158013</v>
      </c>
      <c r="L136">
        <f>SUMIF(Sheet1!$F$2:$F$329,A136,Sheet1!$W$2:$W$329)</f>
        <v>41455.563910499375</v>
      </c>
      <c r="M136">
        <f>SUMIF(Sheet1!$F$2:$F$329,A136,Sheet1!$X$2:$X$329)</f>
        <v>414555639.10499376</v>
      </c>
    </row>
    <row r="137" spans="1:13">
      <c r="A137" t="s">
        <v>189</v>
      </c>
      <c r="B137" t="str">
        <f t="shared" si="18"/>
        <v>TN</v>
      </c>
      <c r="C137" t="str">
        <f t="shared" si="19"/>
        <v>25</v>
      </c>
      <c r="D137" t="str">
        <f t="shared" si="20"/>
        <v>EX</v>
      </c>
      <c r="E137" t="str">
        <f t="shared" si="21"/>
        <v>3</v>
      </c>
      <c r="F137">
        <f>SUMIF(Sheet1!$F$2:$F$329,A137,Sheet1!$T$2:$T$329)</f>
        <v>12448.954961625001</v>
      </c>
      <c r="G137">
        <f>VLOOKUP(A137,og_dw!$A$2:$B$182,2,)</f>
        <v>37480.378454571299</v>
      </c>
      <c r="H137">
        <f>G137*(VLOOKUP(VLOOKUP(A137,Sheet1!$F$2:$J$329,5,),eq!$D$2:$G$42,4,)/1000)/2</f>
        <v>7.4960756909142603</v>
      </c>
      <c r="I137" s="17">
        <f ca="1">AVERAGEIF(Sheet1!$F$2:$F$329,A137,Sheet1!$K$2:$N$21)</f>
        <v>10</v>
      </c>
      <c r="J137" s="17">
        <f>COUNTIF(Sheet1!$F$2:$F$329,A137)</f>
        <v>3</v>
      </c>
      <c r="K137">
        <f t="shared" ca="1" si="22"/>
        <v>33639.721571033995</v>
      </c>
      <c r="L137">
        <f>SUMIF(Sheet1!$F$2:$F$329,A137,Sheet1!$W$2:$W$329)</f>
        <v>12448.954961624999</v>
      </c>
      <c r="M137">
        <f>SUMIF(Sheet1!$F$2:$F$329,A137,Sheet1!$X$2:$X$329)</f>
        <v>124489549.61625001</v>
      </c>
    </row>
    <row r="138" spans="1:13">
      <c r="A138" t="s">
        <v>190</v>
      </c>
      <c r="B138" t="str">
        <f t="shared" si="18"/>
        <v>TN</v>
      </c>
      <c r="C138" t="str">
        <f t="shared" si="19"/>
        <v>25</v>
      </c>
      <c r="D138" t="str">
        <f t="shared" si="20"/>
        <v>EX</v>
      </c>
      <c r="E138" t="str">
        <f t="shared" si="21"/>
        <v>4</v>
      </c>
      <c r="F138">
        <f>SUMIF(Sheet1!$F$2:$F$329,A138,Sheet1!$T$2:$T$329)</f>
        <v>11202.978070247031</v>
      </c>
      <c r="G138">
        <f>VLOOKUP(A138,og_dw!$A$2:$B$182,2,)</f>
        <v>41147.042668940398</v>
      </c>
      <c r="H138">
        <f>G138*(VLOOKUP(VLOOKUP(A138,Sheet1!$F$2:$J$329,5,),eq!$D$2:$G$42,4,)/1000)/2</f>
        <v>8.2294085337880798</v>
      </c>
      <c r="I138" s="17">
        <f ca="1">AVERAGEIF(Sheet1!$F$2:$F$329,A138,Sheet1!$K$2:$N$21)</f>
        <v>11.5</v>
      </c>
      <c r="J138" s="17">
        <f>COUNTIF(Sheet1!$F$2:$F$329,A138)</f>
        <v>2</v>
      </c>
      <c r="K138">
        <f t="shared" ca="1" si="22"/>
        <v>30881.226195893552</v>
      </c>
      <c r="L138">
        <f>SUMIF(Sheet1!$F$2:$F$329,A138,Sheet1!$W$2:$W$329)</f>
        <v>11202.978070247034</v>
      </c>
      <c r="M138">
        <f>SUMIF(Sheet1!$F$2:$F$329,A138,Sheet1!$X$2:$X$329)</f>
        <v>112029780.7024703</v>
      </c>
    </row>
    <row r="139" spans="1:13">
      <c r="A139" t="s">
        <v>191</v>
      </c>
      <c r="B139" t="str">
        <f t="shared" si="18"/>
        <v>TN</v>
      </c>
      <c r="C139" t="str">
        <f t="shared" si="19"/>
        <v>26</v>
      </c>
      <c r="D139" t="str">
        <f t="shared" si="20"/>
        <v>NA</v>
      </c>
      <c r="E139" t="str">
        <f t="shared" si="21"/>
        <v>1</v>
      </c>
      <c r="F139">
        <f>SUMIF(Sheet1!$F$2:$F$329,A139,Sheet1!$T$2:$T$329)</f>
        <v>0</v>
      </c>
      <c r="G139">
        <f>VLOOKUP(A139,og_dw!$A$2:$B$182,2,)</f>
        <v>0</v>
      </c>
      <c r="H139">
        <f>G139*(VLOOKUP(VLOOKUP(A139,Sheet1!$F$2:$J$329,5,),eq!$D$2:$G$42,4,)/1000)/2</f>
        <v>0</v>
      </c>
      <c r="I139" s="17" t="e">
        <f ca="1">AVERAGEIF(Sheet1!$F$2:$F$329,A139,Sheet1!$K$2:$N$21)</f>
        <v>#DIV/0!</v>
      </c>
      <c r="J139" s="17">
        <f>COUNTIF(Sheet1!$F$2:$F$329,A139)</f>
        <v>1</v>
      </c>
      <c r="K139" t="e">
        <f t="shared" ca="1" si="22"/>
        <v>#DIV/0!</v>
      </c>
      <c r="L139" t="e">
        <f>SUMIF(Sheet1!$F$2:$F$329,A139,Sheet1!$W$2:$W$329)</f>
        <v>#VALUE!</v>
      </c>
      <c r="M139" t="e">
        <f>SUMIF(Sheet1!$F$2:$F$329,A139,Sheet1!$X$2:$X$329)</f>
        <v>#VALUE!</v>
      </c>
    </row>
    <row r="140" spans="1:13">
      <c r="A140" t="s">
        <v>192</v>
      </c>
      <c r="B140" t="str">
        <f t="shared" si="18"/>
        <v>TN</v>
      </c>
      <c r="C140" t="str">
        <f t="shared" si="19"/>
        <v>26</v>
      </c>
      <c r="D140" t="str">
        <f t="shared" si="20"/>
        <v>NA</v>
      </c>
      <c r="E140" t="str">
        <f t="shared" si="21"/>
        <v>2</v>
      </c>
      <c r="F140">
        <f>SUMIF(Sheet1!$F$2:$F$329,A140,Sheet1!$T$2:$T$329)</f>
        <v>0</v>
      </c>
      <c r="G140">
        <f>VLOOKUP(A140,og_dw!$A$2:$B$182,2,)</f>
        <v>0</v>
      </c>
      <c r="H140">
        <f>G140*(VLOOKUP(VLOOKUP(A140,Sheet1!$F$2:$J$329,5,),eq!$D$2:$G$42,4,)/1000)/2</f>
        <v>0</v>
      </c>
      <c r="I140" s="17" t="e">
        <f ca="1">AVERAGEIF(Sheet1!$F$2:$F$329,A140,Sheet1!$K$2:$N$21)</f>
        <v>#DIV/0!</v>
      </c>
      <c r="J140" s="17">
        <f>COUNTIF(Sheet1!$F$2:$F$329,A140)</f>
        <v>1</v>
      </c>
      <c r="K140" t="e">
        <f t="shared" ca="1" si="22"/>
        <v>#DIV/0!</v>
      </c>
      <c r="L140" t="e">
        <f>SUMIF(Sheet1!$F$2:$F$329,A140,Sheet1!$W$2:$W$329)</f>
        <v>#VALUE!</v>
      </c>
      <c r="M140" t="e">
        <f>SUMIF(Sheet1!$F$2:$F$329,A140,Sheet1!$X$2:$X$329)</f>
        <v>#VALUE!</v>
      </c>
    </row>
    <row r="141" spans="1:13">
      <c r="A141" t="s">
        <v>193</v>
      </c>
      <c r="B141" t="str">
        <f t="shared" si="18"/>
        <v>TN</v>
      </c>
      <c r="C141" t="str">
        <f t="shared" si="19"/>
        <v>26</v>
      </c>
      <c r="D141" t="str">
        <f t="shared" si="20"/>
        <v>NA</v>
      </c>
      <c r="E141" t="str">
        <f t="shared" si="21"/>
        <v>3</v>
      </c>
      <c r="F141">
        <f>SUMIF(Sheet1!$F$2:$F$329,A141,Sheet1!$T$2:$T$329)</f>
        <v>1746.2348340937499</v>
      </c>
      <c r="G141">
        <f>VLOOKUP(A141,og_dw!$A$2:$B$182,2,)</f>
        <v>45402100.680138797</v>
      </c>
      <c r="H141">
        <f>G141*(VLOOKUP(VLOOKUP(A141,Sheet1!$F$2:$J$329,5,),eq!$D$2:$G$42,4,)/1000)/2</f>
        <v>5675.2625850173499</v>
      </c>
      <c r="I141" s="17">
        <f ca="1">AVERAGEIF(Sheet1!$F$2:$F$329,A141,Sheet1!$K$2:$N$21)</f>
        <v>40</v>
      </c>
      <c r="J141" s="17">
        <f>COUNTIF(Sheet1!$F$2:$F$329,A141)</f>
        <v>1</v>
      </c>
      <c r="K141">
        <f t="shared" ca="1" si="22"/>
        <v>283170.19787237589</v>
      </c>
      <c r="L141">
        <f>SUMIF(Sheet1!$F$2:$F$329,A141,Sheet1!$W$2:$W$329)</f>
        <v>1746.2348340937499</v>
      </c>
      <c r="M141">
        <f>SUMIF(Sheet1!$F$2:$F$329,A141,Sheet1!$X$2:$X$329)</f>
        <v>17462348.340937499</v>
      </c>
    </row>
    <row r="142" spans="1:13">
      <c r="A142" t="s">
        <v>194</v>
      </c>
      <c r="B142" t="str">
        <f t="shared" si="18"/>
        <v>TN</v>
      </c>
      <c r="C142" t="str">
        <f t="shared" si="19"/>
        <v>26</v>
      </c>
      <c r="D142" t="str">
        <f t="shared" si="20"/>
        <v>NA</v>
      </c>
      <c r="E142" t="str">
        <f t="shared" si="21"/>
        <v>4</v>
      </c>
      <c r="F142">
        <f>SUMIF(Sheet1!$F$2:$F$329,A142,Sheet1!$T$2:$T$329)</f>
        <v>0</v>
      </c>
      <c r="G142">
        <f>VLOOKUP(A142,og_dw!$A$2:$B$182,2,)</f>
        <v>0</v>
      </c>
      <c r="H142">
        <f>G142*(VLOOKUP(VLOOKUP(A142,Sheet1!$F$2:$J$329,5,),eq!$D$2:$G$42,4,)/1000)/2</f>
        <v>0</v>
      </c>
      <c r="I142" s="17" t="e">
        <f ca="1">AVERAGEIF(Sheet1!$F$2:$F$329,A142,Sheet1!$K$2:$N$21)</f>
        <v>#DIV/0!</v>
      </c>
      <c r="J142" s="17">
        <f>COUNTIF(Sheet1!$F$2:$F$329,A142)</f>
        <v>1</v>
      </c>
      <c r="K142" t="e">
        <f t="shared" ca="1" si="22"/>
        <v>#DIV/0!</v>
      </c>
      <c r="L142" t="e">
        <f>SUMIF(Sheet1!$F$2:$F$329,A142,Sheet1!$W$2:$W$329)</f>
        <v>#VALUE!</v>
      </c>
      <c r="M142" t="e">
        <f>SUMIF(Sheet1!$F$2:$F$329,A142,Sheet1!$X$2:$X$329)</f>
        <v>#VALUE!</v>
      </c>
    </row>
    <row r="143" spans="1:13">
      <c r="A143" t="s">
        <v>195</v>
      </c>
      <c r="B143" t="str">
        <f t="shared" si="18"/>
        <v>TN</v>
      </c>
      <c r="C143" t="str">
        <f t="shared" si="19"/>
        <v>27</v>
      </c>
      <c r="D143" t="str">
        <f t="shared" si="20"/>
        <v>NA</v>
      </c>
      <c r="E143" t="str">
        <f t="shared" si="21"/>
        <v>1</v>
      </c>
      <c r="F143">
        <f>SUMIF(Sheet1!$F$2:$F$329,A143,Sheet1!$T$2:$T$329)</f>
        <v>3168.0020161562497</v>
      </c>
      <c r="G143">
        <f>VLOOKUP(A143,og_dw!$A$2:$B$182,2,)</f>
        <v>77299240.670750394</v>
      </c>
      <c r="H143">
        <f>G143*(VLOOKUP(VLOOKUP(A143,Sheet1!$F$2:$J$329,5,),eq!$D$2:$G$42,4,)/1000)/2</f>
        <v>9662.4050838437997</v>
      </c>
      <c r="I143" s="17">
        <f ca="1">AVERAGEIF(Sheet1!$F$2:$F$329,A143,Sheet1!$K$2:$N$21)</f>
        <v>22</v>
      </c>
      <c r="J143" s="17">
        <f>COUNTIF(Sheet1!$F$2:$F$329,A143)</f>
        <v>1</v>
      </c>
      <c r="K143">
        <f t="shared" ca="1" si="22"/>
        <v>69407.364613226659</v>
      </c>
      <c r="L143">
        <f>SUMIF(Sheet1!$F$2:$F$329,A143,Sheet1!$W$2:$W$329)</f>
        <v>3168.0020161562493</v>
      </c>
      <c r="M143">
        <f>SUMIF(Sheet1!$F$2:$F$329,A143,Sheet1!$X$2:$X$329)</f>
        <v>31680020.161562495</v>
      </c>
    </row>
    <row r="144" spans="1:13">
      <c r="A144" t="s">
        <v>196</v>
      </c>
      <c r="B144" t="str">
        <f t="shared" si="18"/>
        <v>TN</v>
      </c>
      <c r="C144" t="str">
        <f t="shared" si="19"/>
        <v>27</v>
      </c>
      <c r="D144" t="str">
        <f t="shared" si="20"/>
        <v>NA</v>
      </c>
      <c r="E144" t="str">
        <f t="shared" si="21"/>
        <v>2</v>
      </c>
      <c r="F144">
        <f>SUMIF(Sheet1!$F$2:$F$329,A144,Sheet1!$T$2:$T$329)</f>
        <v>0</v>
      </c>
      <c r="G144">
        <f>VLOOKUP(A144,og_dw!$A$2:$B$182,2,)</f>
        <v>0</v>
      </c>
      <c r="H144">
        <f>G144*(VLOOKUP(VLOOKUP(A144,Sheet1!$F$2:$J$329,5,),eq!$D$2:$G$42,4,)/1000)/2</f>
        <v>0</v>
      </c>
      <c r="I144" s="17" t="e">
        <f ca="1">AVERAGEIF(Sheet1!$F$2:$F$329,A144,Sheet1!$K$2:$N$21)</f>
        <v>#DIV/0!</v>
      </c>
      <c r="J144" s="17">
        <f>COUNTIF(Sheet1!$F$2:$F$329,A144)</f>
        <v>1</v>
      </c>
      <c r="K144" t="e">
        <f t="shared" ca="1" si="22"/>
        <v>#DIV/0!</v>
      </c>
      <c r="L144" t="e">
        <f>SUMIF(Sheet1!$F$2:$F$329,A144,Sheet1!$W$2:$W$329)</f>
        <v>#VALUE!</v>
      </c>
      <c r="M144" t="e">
        <f>SUMIF(Sheet1!$F$2:$F$329,A144,Sheet1!$X$2:$X$329)</f>
        <v>#VALUE!</v>
      </c>
    </row>
    <row r="145" spans="1:13">
      <c r="A145" t="s">
        <v>197</v>
      </c>
      <c r="B145" t="str">
        <f t="shared" si="18"/>
        <v>TN</v>
      </c>
      <c r="C145" t="str">
        <f t="shared" si="19"/>
        <v>27</v>
      </c>
      <c r="D145" t="str">
        <f t="shared" si="20"/>
        <v>NA</v>
      </c>
      <c r="E145" t="str">
        <f t="shared" si="21"/>
        <v>3</v>
      </c>
      <c r="F145">
        <f>SUMIF(Sheet1!$F$2:$F$329,A145,Sheet1!$T$2:$T$329)</f>
        <v>2908.7186254237627</v>
      </c>
      <c r="G145">
        <f>VLOOKUP(A145,og_dw!$A$2:$B$182,2,)</f>
        <v>8343.4047111329692</v>
      </c>
      <c r="H145">
        <f>G145*(VLOOKUP(VLOOKUP(A145,Sheet1!$F$2:$J$329,5,),eq!$D$2:$G$42,4,)/1000)/2</f>
        <v>1.5852468951152643</v>
      </c>
      <c r="I145" s="17">
        <f ca="1">AVERAGEIF(Sheet1!$F$2:$F$329,A145,Sheet1!$K$2:$N$21)</f>
        <v>12</v>
      </c>
      <c r="J145" s="17">
        <f>COUNTIF(Sheet1!$F$2:$F$329,A145)</f>
        <v>1</v>
      </c>
      <c r="K145">
        <f t="shared" ca="1" si="22"/>
        <v>17025.648174761172</v>
      </c>
      <c r="L145">
        <f>SUMIF(Sheet1!$F$2:$F$329,A145,Sheet1!$W$2:$W$329)</f>
        <v>2908.7186254237627</v>
      </c>
      <c r="M145">
        <f>SUMIF(Sheet1!$F$2:$F$329,A145,Sheet1!$X$2:$X$329)</f>
        <v>6715155.0374999996</v>
      </c>
    </row>
    <row r="146" spans="1:13">
      <c r="A146" t="s">
        <v>198</v>
      </c>
      <c r="B146" t="str">
        <f t="shared" si="18"/>
        <v>TN</v>
      </c>
      <c r="C146" t="str">
        <f t="shared" si="19"/>
        <v>27</v>
      </c>
      <c r="D146" t="str">
        <f t="shared" si="20"/>
        <v>NA</v>
      </c>
      <c r="E146" t="str">
        <f t="shared" si="21"/>
        <v>4</v>
      </c>
      <c r="F146">
        <f>SUMIF(Sheet1!$F$2:$F$329,A146,Sheet1!$T$2:$T$329)</f>
        <v>0</v>
      </c>
      <c r="G146">
        <f>VLOOKUP(A146,og_dw!$A$2:$B$182,2,)</f>
        <v>0</v>
      </c>
      <c r="H146">
        <f>G146*(VLOOKUP(VLOOKUP(A146,Sheet1!$F$2:$J$329,5,),eq!$D$2:$G$42,4,)/1000)/2</f>
        <v>0</v>
      </c>
      <c r="I146" s="17" t="e">
        <f ca="1">AVERAGEIF(Sheet1!$F$2:$F$329,A146,Sheet1!$K$2:$N$21)</f>
        <v>#DIV/0!</v>
      </c>
      <c r="J146" s="17">
        <f>COUNTIF(Sheet1!$F$2:$F$329,A146)</f>
        <v>1</v>
      </c>
      <c r="K146" t="e">
        <f t="shared" ca="1" si="22"/>
        <v>#DIV/0!</v>
      </c>
      <c r="L146" t="e">
        <f>SUMIF(Sheet1!$F$2:$F$329,A146,Sheet1!$W$2:$W$329)</f>
        <v>#VALUE!</v>
      </c>
      <c r="M146" t="e">
        <f>SUMIF(Sheet1!$F$2:$F$329,A146,Sheet1!$X$2:$X$329)</f>
        <v>#VALUE!</v>
      </c>
    </row>
    <row r="147" spans="1:13">
      <c r="A147" t="s">
        <v>199</v>
      </c>
      <c r="B147" t="str">
        <f t="shared" si="18"/>
        <v>TN</v>
      </c>
      <c r="C147" t="str">
        <f t="shared" si="19"/>
        <v>28</v>
      </c>
      <c r="D147" t="str">
        <f t="shared" si="20"/>
        <v>NA</v>
      </c>
      <c r="E147" t="str">
        <f t="shared" si="21"/>
        <v>1</v>
      </c>
      <c r="F147">
        <f>SUMIF(Sheet1!$F$2:$F$329,A147,Sheet1!$T$2:$T$329)</f>
        <v>0</v>
      </c>
      <c r="G147">
        <f>VLOOKUP(A147,og_dw!$A$2:$B$182,2,)</f>
        <v>0</v>
      </c>
      <c r="H147">
        <f>G147*(VLOOKUP(VLOOKUP(A147,Sheet1!$F$2:$J$329,5,),eq!$D$2:$G$42,4,)/1000)/2</f>
        <v>0</v>
      </c>
      <c r="I147" s="17" t="e">
        <f ca="1">AVERAGEIF(Sheet1!$F$2:$F$329,A147,Sheet1!$K$2:$N$21)</f>
        <v>#DIV/0!</v>
      </c>
      <c r="J147" s="17">
        <f>COUNTIF(Sheet1!$F$2:$F$329,A147)</f>
        <v>1</v>
      </c>
      <c r="K147" t="e">
        <f t="shared" ca="1" si="22"/>
        <v>#DIV/0!</v>
      </c>
      <c r="L147" t="e">
        <f>SUMIF(Sheet1!$F$2:$F$329,A147,Sheet1!$W$2:$W$329)</f>
        <v>#VALUE!</v>
      </c>
      <c r="M147" t="e">
        <f>SUMIF(Sheet1!$F$2:$F$329,A147,Sheet1!$X$2:$X$329)</f>
        <v>#VALUE!</v>
      </c>
    </row>
    <row r="148" spans="1:13">
      <c r="A148" t="s">
        <v>200</v>
      </c>
      <c r="B148" t="str">
        <f t="shared" si="18"/>
        <v>TN</v>
      </c>
      <c r="C148" t="str">
        <f t="shared" si="19"/>
        <v>28</v>
      </c>
      <c r="D148" t="str">
        <f t="shared" si="20"/>
        <v>NA</v>
      </c>
      <c r="E148" t="str">
        <f t="shared" si="21"/>
        <v>2</v>
      </c>
      <c r="F148">
        <f>SUMIF(Sheet1!$F$2:$F$329,A148,Sheet1!$T$2:$T$329)</f>
        <v>5565.8228734062495</v>
      </c>
      <c r="G148">
        <f>VLOOKUP(A148,og_dw!$A$2:$B$182,2,)</f>
        <v>205507283.434576</v>
      </c>
      <c r="H148">
        <f>G148*(VLOOKUP(VLOOKUP(A148,Sheet1!$F$2:$J$329,5,),eq!$D$2:$G$42,4,)/1000)/2</f>
        <v>26715.946846494884</v>
      </c>
      <c r="I148" s="17">
        <f ca="1">AVERAGEIF(Sheet1!$F$2:$F$329,A148,Sheet1!$K$2:$N$21)</f>
        <v>18</v>
      </c>
      <c r="J148" s="17">
        <f>COUNTIF(Sheet1!$F$2:$F$329,A148)</f>
        <v>1</v>
      </c>
      <c r="K148">
        <f t="shared" ca="1" si="22"/>
        <v>43473.883480243028</v>
      </c>
      <c r="L148">
        <f>SUMIF(Sheet1!$F$2:$F$329,A148,Sheet1!$W$2:$W$329)</f>
        <v>5565.8228734062486</v>
      </c>
      <c r="M148">
        <f>SUMIF(Sheet1!$F$2:$F$329,A148,Sheet1!$X$2:$X$329)</f>
        <v>55658228.734062493</v>
      </c>
    </row>
    <row r="149" spans="1:13">
      <c r="A149" t="s">
        <v>201</v>
      </c>
      <c r="B149" t="str">
        <f t="shared" si="18"/>
        <v>TN</v>
      </c>
      <c r="C149" t="str">
        <f t="shared" si="19"/>
        <v>28</v>
      </c>
      <c r="D149" t="str">
        <f t="shared" si="20"/>
        <v>NA</v>
      </c>
      <c r="E149" t="str">
        <f t="shared" si="21"/>
        <v>3</v>
      </c>
      <c r="F149">
        <f>SUMIF(Sheet1!$F$2:$F$329,A149,Sheet1!$T$2:$T$329)</f>
        <v>0</v>
      </c>
      <c r="G149">
        <f>VLOOKUP(A149,og_dw!$A$2:$B$182,2,)</f>
        <v>0</v>
      </c>
      <c r="H149">
        <f>G149*(VLOOKUP(VLOOKUP(A149,Sheet1!$F$2:$J$329,5,),eq!$D$2:$G$42,4,)/1000)/2</f>
        <v>0</v>
      </c>
      <c r="I149" s="17" t="e">
        <f ca="1">AVERAGEIF(Sheet1!$F$2:$F$329,A149,Sheet1!$K$2:$N$21)</f>
        <v>#DIV/0!</v>
      </c>
      <c r="J149" s="17">
        <f>COUNTIF(Sheet1!$F$2:$F$329,A149)</f>
        <v>1</v>
      </c>
      <c r="K149" t="e">
        <f t="shared" ca="1" si="22"/>
        <v>#DIV/0!</v>
      </c>
      <c r="L149" t="e">
        <f>SUMIF(Sheet1!$F$2:$F$329,A149,Sheet1!$W$2:$W$329)</f>
        <v>#VALUE!</v>
      </c>
      <c r="M149" t="e">
        <f>SUMIF(Sheet1!$F$2:$F$329,A149,Sheet1!$X$2:$X$329)</f>
        <v>#VALUE!</v>
      </c>
    </row>
    <row r="150" spans="1:13">
      <c r="A150" t="s">
        <v>202</v>
      </c>
      <c r="B150" t="str">
        <f t="shared" si="18"/>
        <v>TN</v>
      </c>
      <c r="C150" t="str">
        <f t="shared" si="19"/>
        <v>28</v>
      </c>
      <c r="D150" t="str">
        <f t="shared" si="20"/>
        <v>NA</v>
      </c>
      <c r="E150" t="str">
        <f t="shared" si="21"/>
        <v>4</v>
      </c>
      <c r="F150">
        <f>SUMIF(Sheet1!$F$2:$F$329,A150,Sheet1!$T$2:$T$329)</f>
        <v>5039.6796769921875</v>
      </c>
      <c r="G150">
        <f>VLOOKUP(A150,og_dw!$A$2:$B$182,2,)</f>
        <v>218386095.25581199</v>
      </c>
      <c r="H150">
        <f>G150*(VLOOKUP(VLOOKUP(A150,Sheet1!$F$2:$J$329,5,),eq!$D$2:$G$42,4,)/1000)/2</f>
        <v>16378.957144185897</v>
      </c>
      <c r="I150" s="17">
        <f ca="1">AVERAGEIF(Sheet1!$F$2:$F$329,A150,Sheet1!$K$2:$N$21)</f>
        <v>19</v>
      </c>
      <c r="J150" s="17">
        <f>COUNTIF(Sheet1!$F$2:$F$329,A150)</f>
        <v>1</v>
      </c>
      <c r="K150">
        <f t="shared" ca="1" si="22"/>
        <v>49302.5993981711</v>
      </c>
      <c r="L150">
        <f>SUMIF(Sheet1!$F$2:$F$329,A150,Sheet1!$W$2:$W$329)</f>
        <v>5039.6796769921875</v>
      </c>
      <c r="M150">
        <f>SUMIF(Sheet1!$F$2:$F$329,A150,Sheet1!$X$2:$X$329)</f>
        <v>50396796.769921876</v>
      </c>
    </row>
    <row r="151" spans="1:13">
      <c r="A151" t="s">
        <v>203</v>
      </c>
      <c r="B151" t="str">
        <f t="shared" si="18"/>
        <v>TN</v>
      </c>
      <c r="C151" t="str">
        <f t="shared" si="19"/>
        <v>29</v>
      </c>
      <c r="D151" t="str">
        <f t="shared" si="20"/>
        <v>NA</v>
      </c>
      <c r="E151" t="str">
        <f t="shared" si="21"/>
        <v>1</v>
      </c>
      <c r="F151">
        <f>SUMIF(Sheet1!$F$2:$F$329,A151,Sheet1!$T$2:$T$329)</f>
        <v>1143.4490403273435</v>
      </c>
      <c r="G151">
        <f>VLOOKUP(A151,og_dw!$A$2:$B$182,2,)</f>
        <v>6340.9439789896896</v>
      </c>
      <c r="H151">
        <f>G151*(VLOOKUP(VLOOKUP(A151,Sheet1!$F$2:$J$329,5,),eq!$D$2:$G$42,4,)/1000)/2</f>
        <v>0.34875191884443296</v>
      </c>
      <c r="I151" s="17">
        <f ca="1">AVERAGEIF(Sheet1!$F$2:$F$329,A151,Sheet1!$K$2:$N$21)</f>
        <v>13</v>
      </c>
      <c r="J151" s="17">
        <f>COUNTIF(Sheet1!$F$2:$F$329,A151)</f>
        <v>2</v>
      </c>
      <c r="K151">
        <f t="shared" ca="1" si="22"/>
        <v>40936.394779230584</v>
      </c>
      <c r="L151">
        <f>SUMIF(Sheet1!$F$2:$F$329,A151,Sheet1!$W$2:$W$329)</f>
        <v>1143.4490403273435</v>
      </c>
      <c r="M151">
        <f>SUMIF(Sheet1!$F$2:$F$329,A151,Sheet1!$X$2:$X$329)</f>
        <v>11434490.403273437</v>
      </c>
    </row>
    <row r="152" spans="1:13">
      <c r="A152" t="s">
        <v>204</v>
      </c>
      <c r="B152" t="str">
        <f t="shared" si="18"/>
        <v>TN</v>
      </c>
      <c r="C152" t="str">
        <f t="shared" si="19"/>
        <v>29</v>
      </c>
      <c r="D152" t="str">
        <f t="shared" si="20"/>
        <v>NA</v>
      </c>
      <c r="E152" t="str">
        <f t="shared" si="21"/>
        <v>2</v>
      </c>
      <c r="F152">
        <f>SUMIF(Sheet1!$F$2:$F$329,A152,Sheet1!$T$2:$T$329)</f>
        <v>2010.4629312239063</v>
      </c>
      <c r="G152">
        <f>VLOOKUP(A152,og_dw!$A$2:$B$182,2,)</f>
        <v>22263819.727866899</v>
      </c>
      <c r="H152">
        <f>G152*(VLOOKUP(VLOOKUP(A152,Sheet1!$F$2:$J$329,5,),eq!$D$2:$G$42,4,)/1000)/2</f>
        <v>1224.5100850326794</v>
      </c>
      <c r="I152" s="17">
        <f ca="1">AVERAGEIF(Sheet1!$F$2:$F$329,A152,Sheet1!$K$2:$N$21)</f>
        <v>14.666666666666666</v>
      </c>
      <c r="J152" s="17">
        <f>COUNTIF(Sheet1!$F$2:$F$329,A152)</f>
        <v>3</v>
      </c>
      <c r="K152">
        <f t="shared" ca="1" si="22"/>
        <v>81116.135801340104</v>
      </c>
      <c r="L152">
        <f>SUMIF(Sheet1!$F$2:$F$329,A152,Sheet1!$W$2:$W$329)</f>
        <v>2010.4629312239058</v>
      </c>
      <c r="M152">
        <f>SUMIF(Sheet1!$F$2:$F$329,A152,Sheet1!$X$2:$X$329)</f>
        <v>20104629.312239058</v>
      </c>
    </row>
    <row r="153" spans="1:13">
      <c r="A153" t="s">
        <v>205</v>
      </c>
      <c r="B153" t="str">
        <f t="shared" si="18"/>
        <v>TN</v>
      </c>
      <c r="C153" t="str">
        <f t="shared" si="19"/>
        <v>29</v>
      </c>
      <c r="D153" t="str">
        <f t="shared" si="20"/>
        <v>NA</v>
      </c>
      <c r="E153" t="str">
        <f t="shared" si="21"/>
        <v>3</v>
      </c>
      <c r="F153">
        <f>SUMIF(Sheet1!$F$2:$F$329,A153,Sheet1!$T$2:$T$329)</f>
        <v>3087.7048625718749</v>
      </c>
      <c r="G153">
        <f>VLOOKUP(A153,og_dw!$A$2:$B$182,2,)</f>
        <v>17744240.591584299</v>
      </c>
      <c r="H153">
        <f>G153*(VLOOKUP(VLOOKUP(A153,Sheet1!$F$2:$J$329,5,),eq!$D$2:$G$42,4,)/1000)/2</f>
        <v>1330.8180443688223</v>
      </c>
      <c r="I153" s="17">
        <f ca="1">AVERAGEIF(Sheet1!$F$2:$F$329,A153,Sheet1!$K$2:$N$21)</f>
        <v>11.5</v>
      </c>
      <c r="J153" s="17">
        <f>COUNTIF(Sheet1!$F$2:$F$329,A153)</f>
        <v>2</v>
      </c>
      <c r="K153">
        <f t="shared" ca="1" si="22"/>
        <v>30881.226195893552</v>
      </c>
      <c r="L153">
        <f>SUMIF(Sheet1!$F$2:$F$329,A153,Sheet1!$W$2:$W$329)</f>
        <v>3087.7048625718753</v>
      </c>
      <c r="M153">
        <f>SUMIF(Sheet1!$F$2:$F$329,A153,Sheet1!$X$2:$X$329)</f>
        <v>30877048.625718743</v>
      </c>
    </row>
    <row r="154" spans="1:13">
      <c r="A154" t="s">
        <v>206</v>
      </c>
      <c r="B154" t="str">
        <f t="shared" si="18"/>
        <v>TN</v>
      </c>
      <c r="C154" t="str">
        <f t="shared" si="19"/>
        <v>29</v>
      </c>
      <c r="D154" t="str">
        <f t="shared" si="20"/>
        <v>NA</v>
      </c>
      <c r="E154" t="str">
        <f t="shared" si="21"/>
        <v>4</v>
      </c>
      <c r="F154">
        <f>SUMIF(Sheet1!$F$2:$F$329,A154,Sheet1!$T$2:$T$329)</f>
        <v>761.26443439921877</v>
      </c>
      <c r="G154">
        <f>VLOOKUP(A154,og_dw!$A$2:$B$182,2,)</f>
        <v>4221.5568525387198</v>
      </c>
      <c r="H154">
        <f>G154*(VLOOKUP(VLOOKUP(A154,Sheet1!$F$2:$J$329,5,),eq!$D$2:$G$42,4,)/1000)/2</f>
        <v>0.2321856268896296</v>
      </c>
      <c r="I154" s="17">
        <f ca="1">AVERAGEIF(Sheet1!$F$2:$F$329,A154,Sheet1!$K$2:$N$21)</f>
        <v>13</v>
      </c>
      <c r="J154" s="17">
        <f>COUNTIF(Sheet1!$F$2:$F$329,A154)</f>
        <v>1</v>
      </c>
      <c r="K154">
        <f t="shared" ca="1" si="22"/>
        <v>20468.197389615292</v>
      </c>
      <c r="L154">
        <f>SUMIF(Sheet1!$F$2:$F$329,A154,Sheet1!$W$2:$W$329)</f>
        <v>761.26443439921889</v>
      </c>
      <c r="M154">
        <f>SUMIF(Sheet1!$F$2:$F$329,A154,Sheet1!$X$2:$X$329)</f>
        <v>7612644.3439921876</v>
      </c>
    </row>
    <row r="155" spans="1:13">
      <c r="A155" t="s">
        <v>207</v>
      </c>
      <c r="B155" t="str">
        <f t="shared" si="18"/>
        <v>TN</v>
      </c>
      <c r="C155" t="str">
        <f t="shared" si="19"/>
        <v>30</v>
      </c>
      <c r="D155" t="str">
        <f t="shared" si="20"/>
        <v>NA</v>
      </c>
      <c r="E155" t="str">
        <f t="shared" si="21"/>
        <v>1</v>
      </c>
      <c r="F155">
        <f>SUMIF(Sheet1!$F$2:$F$329,A155,Sheet1!$T$2:$T$329)</f>
        <v>190.06637650000002</v>
      </c>
      <c r="G155">
        <f>VLOOKUP(A155,og_dw!$A$2:$B$182,2,)</f>
        <v>4637619.0752292499</v>
      </c>
      <c r="H155">
        <f>G155*(VLOOKUP(VLOOKUP(A155,Sheet1!$F$2:$J$329,5,),eq!$D$2:$G$42,4,)/1000)/2</f>
        <v>579.7023844036562</v>
      </c>
      <c r="I155" s="17">
        <f ca="1">AVERAGEIF(Sheet1!$F$2:$F$329,A155,Sheet1!$K$2:$N$21)</f>
        <v>11</v>
      </c>
      <c r="J155" s="17">
        <f>COUNTIF(Sheet1!$F$2:$F$329,A155)</f>
        <v>1</v>
      </c>
      <c r="K155">
        <f t="shared" ca="1" si="22"/>
        <v>13944.512905793015</v>
      </c>
      <c r="L155">
        <f>SUMIF(Sheet1!$F$2:$F$329,A155,Sheet1!$W$2:$W$329)</f>
        <v>190.06637650000002</v>
      </c>
      <c r="M155">
        <f>SUMIF(Sheet1!$F$2:$F$329,A155,Sheet1!$X$2:$X$329)</f>
        <v>1900663.7649999999</v>
      </c>
    </row>
    <row r="156" spans="1:13">
      <c r="A156" t="s">
        <v>208</v>
      </c>
      <c r="B156" t="str">
        <f t="shared" si="18"/>
        <v>TN</v>
      </c>
      <c r="C156" t="str">
        <f t="shared" si="19"/>
        <v>30</v>
      </c>
      <c r="D156" t="str">
        <f t="shared" si="20"/>
        <v>NA</v>
      </c>
      <c r="E156" t="str">
        <f t="shared" si="21"/>
        <v>2</v>
      </c>
      <c r="F156">
        <f>SUMIF(Sheet1!$F$2:$F$329,A156,Sheet1!$T$2:$T$329)</f>
        <v>6475.453455095625</v>
      </c>
      <c r="G156">
        <f>VLOOKUP(A156,og_dw!$A$2:$B$182,2,)</f>
        <v>213886166.296103</v>
      </c>
      <c r="H156">
        <f>G156*(VLOOKUP(VLOOKUP(A156,Sheet1!$F$2:$J$329,5,),eq!$D$2:$G$42,4,)/1000)/2</f>
        <v>35291.217438856998</v>
      </c>
      <c r="I156" s="17">
        <f ca="1">AVERAGEIF(Sheet1!$F$2:$F$329,A156,Sheet1!$K$2:$N$21)</f>
        <v>17</v>
      </c>
      <c r="J156" s="17">
        <f>COUNTIF(Sheet1!$F$2:$F$329,A156)</f>
        <v>1</v>
      </c>
      <c r="K156">
        <f t="shared" ca="1" si="22"/>
        <v>38066.938430134389</v>
      </c>
      <c r="L156">
        <f>SUMIF(Sheet1!$F$2:$F$329,A156,Sheet1!$W$2:$W$329)</f>
        <v>6475.453455095625</v>
      </c>
      <c r="M156">
        <f>SUMIF(Sheet1!$F$2:$F$329,A156,Sheet1!$X$2:$X$329)</f>
        <v>64754534.550956249</v>
      </c>
    </row>
    <row r="157" spans="1:13">
      <c r="A157" t="s">
        <v>209</v>
      </c>
      <c r="B157" t="str">
        <f t="shared" si="18"/>
        <v>TN</v>
      </c>
      <c r="C157" t="str">
        <f t="shared" si="19"/>
        <v>30</v>
      </c>
      <c r="D157" t="str">
        <f t="shared" si="20"/>
        <v>NA</v>
      </c>
      <c r="E157" t="str">
        <f t="shared" si="21"/>
        <v>3</v>
      </c>
      <c r="F157">
        <f>SUMIF(Sheet1!$F$2:$F$329,A157,Sheet1!$T$2:$T$329)</f>
        <v>0</v>
      </c>
      <c r="G157">
        <f>VLOOKUP(A157,og_dw!$A$2:$B$182,2,)</f>
        <v>0</v>
      </c>
      <c r="H157">
        <f>G157*(VLOOKUP(VLOOKUP(A157,Sheet1!$F$2:$J$329,5,),eq!$D$2:$G$42,4,)/1000)/2</f>
        <v>0</v>
      </c>
      <c r="I157" s="17" t="e">
        <f ca="1">AVERAGEIF(Sheet1!$F$2:$F$329,A157,Sheet1!$K$2:$N$21)</f>
        <v>#DIV/0!</v>
      </c>
      <c r="J157" s="17">
        <f>COUNTIF(Sheet1!$F$2:$F$329,A157)</f>
        <v>1</v>
      </c>
      <c r="K157" t="e">
        <f t="shared" ca="1" si="22"/>
        <v>#DIV/0!</v>
      </c>
      <c r="L157" t="e">
        <f>SUMIF(Sheet1!$F$2:$F$329,A157,Sheet1!$W$2:$W$329)</f>
        <v>#VALUE!</v>
      </c>
      <c r="M157" t="e">
        <f>SUMIF(Sheet1!$F$2:$F$329,A157,Sheet1!$X$2:$X$329)</f>
        <v>#VALUE!</v>
      </c>
    </row>
    <row r="158" spans="1:13">
      <c r="A158" t="s">
        <v>210</v>
      </c>
      <c r="B158" t="str">
        <f t="shared" si="18"/>
        <v>TN</v>
      </c>
      <c r="C158" t="str">
        <f t="shared" si="19"/>
        <v>30</v>
      </c>
      <c r="D158" t="str">
        <f t="shared" si="20"/>
        <v>NA</v>
      </c>
      <c r="E158" t="str">
        <f t="shared" si="21"/>
        <v>4</v>
      </c>
      <c r="F158">
        <f>SUMIF(Sheet1!$F$2:$F$329,A158,Sheet1!$T$2:$T$329)</f>
        <v>0</v>
      </c>
      <c r="G158">
        <f>VLOOKUP(A158,og_dw!$A$2:$B$182,2,)</f>
        <v>0</v>
      </c>
      <c r="H158">
        <f>G158*(VLOOKUP(VLOOKUP(A158,Sheet1!$F$2:$J$329,5,),eq!$D$2:$G$42,4,)/1000)/2</f>
        <v>0</v>
      </c>
      <c r="I158" s="17" t="e">
        <f ca="1">AVERAGEIF(Sheet1!$F$2:$F$329,A158,Sheet1!$K$2:$N$21)</f>
        <v>#DIV/0!</v>
      </c>
      <c r="J158" s="17">
        <f>COUNTIF(Sheet1!$F$2:$F$329,A158)</f>
        <v>1</v>
      </c>
      <c r="K158" t="e">
        <f t="shared" ca="1" si="22"/>
        <v>#DIV/0!</v>
      </c>
      <c r="L158" t="e">
        <f>SUMIF(Sheet1!$F$2:$F$329,A158,Sheet1!$W$2:$W$329)</f>
        <v>#VALUE!</v>
      </c>
      <c r="M158" t="e">
        <f>SUMIF(Sheet1!$F$2:$F$329,A158,Sheet1!$X$2:$X$329)</f>
        <v>#VALUE!</v>
      </c>
    </row>
    <row r="159" spans="1:13">
      <c r="A159" t="s">
        <v>211</v>
      </c>
      <c r="B159" t="str">
        <f t="shared" si="18"/>
        <v>TN</v>
      </c>
      <c r="C159" t="str">
        <f t="shared" si="19"/>
        <v>31</v>
      </c>
      <c r="D159" t="str">
        <f t="shared" si="20"/>
        <v>CTRL</v>
      </c>
      <c r="E159" t="str">
        <f t="shared" si="21"/>
        <v>1</v>
      </c>
      <c r="F159">
        <f>SUMIF(Sheet1!$F$2:$F$329,A159,Sheet1!$T$2:$T$329)</f>
        <v>60977.820652516981</v>
      </c>
      <c r="G159">
        <f>VLOOKUP(A159,og_dw!$A$2:$B$182,2,)</f>
        <v>2104845771.10815</v>
      </c>
      <c r="H159">
        <f>G159*(VLOOKUP(VLOOKUP(A159,Sheet1!$F$2:$J$329,5,),eq!$D$2:$G$42,4,)/1000)/2</f>
        <v>399920.69651054853</v>
      </c>
      <c r="I159" s="17">
        <f ca="1">AVERAGEIF(Sheet1!$F$2:$F$329,A159,Sheet1!$K$2:$N$21)</f>
        <v>23</v>
      </c>
      <c r="J159" s="17">
        <f>COUNTIF(Sheet1!$F$2:$F$329,A159)</f>
        <v>2</v>
      </c>
      <c r="K159">
        <f t="shared" ca="1" si="22"/>
        <v>154019.92426720299</v>
      </c>
      <c r="L159">
        <f>SUMIF(Sheet1!$F$2:$F$329,A159,Sheet1!$W$2:$W$329)</f>
        <v>60977.820652516981</v>
      </c>
      <c r="M159">
        <f>SUMIF(Sheet1!$F$2:$F$329,A159,Sheet1!$X$2:$X$329)</f>
        <v>559421168.22011876</v>
      </c>
    </row>
    <row r="160" spans="1:13">
      <c r="A160" t="s">
        <v>212</v>
      </c>
      <c r="B160" t="str">
        <f t="shared" si="18"/>
        <v>TN</v>
      </c>
      <c r="C160" t="str">
        <f t="shared" si="19"/>
        <v>31</v>
      </c>
      <c r="D160" t="str">
        <f t="shared" si="20"/>
        <v>CTRL</v>
      </c>
      <c r="E160" t="str">
        <f t="shared" si="21"/>
        <v>2</v>
      </c>
      <c r="F160">
        <f>SUMIF(Sheet1!$F$2:$F$329,A160,Sheet1!$T$2:$T$329)</f>
        <v>31300.364537999369</v>
      </c>
      <c r="G160">
        <f>VLOOKUP(A160,og_dw!$A$2:$B$182,2,)</f>
        <v>1215852022.03408</v>
      </c>
      <c r="H160">
        <f>G160*(VLOOKUP(VLOOKUP(A160,Sheet1!$F$2:$J$329,5,),eq!$D$2:$G$42,4,)/1000)/2</f>
        <v>158060.76286443044</v>
      </c>
      <c r="I160" s="17">
        <f ca="1">AVERAGEIF(Sheet1!$F$2:$F$329,A160,Sheet1!$K$2:$N$21)</f>
        <v>21.25</v>
      </c>
      <c r="J160" s="17">
        <f>COUNTIF(Sheet1!$F$2:$F$329,A160)</f>
        <v>4</v>
      </c>
      <c r="K160">
        <f t="shared" ca="1" si="22"/>
        <v>256020.50075591978</v>
      </c>
      <c r="L160">
        <f>SUMIF(Sheet1!$F$2:$F$329,A160,Sheet1!$W$2:$W$329)</f>
        <v>31300.36453799938</v>
      </c>
      <c r="M160">
        <f>SUMIF(Sheet1!$F$2:$F$329,A160,Sheet1!$X$2:$X$329)</f>
        <v>313003645.37999374</v>
      </c>
    </row>
    <row r="161" spans="1:13">
      <c r="A161" t="s">
        <v>213</v>
      </c>
      <c r="B161" t="str">
        <f t="shared" si="18"/>
        <v>TN</v>
      </c>
      <c r="C161" t="str">
        <f t="shared" si="19"/>
        <v>31</v>
      </c>
      <c r="D161" t="str">
        <f t="shared" si="20"/>
        <v>CTRL</v>
      </c>
      <c r="E161" t="str">
        <f t="shared" si="21"/>
        <v>3</v>
      </c>
      <c r="F161">
        <f>SUMIF(Sheet1!$F$2:$F$329,A161,Sheet1!$T$2:$T$329)</f>
        <v>62078.472619174368</v>
      </c>
      <c r="G161">
        <f>VLOOKUP(A161,og_dw!$A$2:$B$182,2,)</f>
        <v>2536026577.5216999</v>
      </c>
      <c r="H161">
        <f>G161*(VLOOKUP(VLOOKUP(A161,Sheet1!$F$2:$J$329,5,),eq!$D$2:$G$42,4,)/1000)/2</f>
        <v>481845.04972912301</v>
      </c>
      <c r="I161" s="17">
        <f ca="1">AVERAGEIF(Sheet1!$F$2:$F$329,A161,Sheet1!$K$2:$N$21)</f>
        <v>22</v>
      </c>
      <c r="J161" s="17">
        <f>COUNTIF(Sheet1!$F$2:$F$329,A161)</f>
        <v>3</v>
      </c>
      <c r="K161">
        <f t="shared" ca="1" si="22"/>
        <v>208222.09383967996</v>
      </c>
      <c r="L161">
        <f>SUMIF(Sheet1!$F$2:$F$329,A161,Sheet1!$W$2:$W$329)</f>
        <v>62078.472619174383</v>
      </c>
      <c r="M161">
        <f>SUMIF(Sheet1!$F$2:$F$329,A161,Sheet1!$X$2:$X$329)</f>
        <v>620784726.19174385</v>
      </c>
    </row>
    <row r="162" spans="1:13">
      <c r="A162" t="s">
        <v>214</v>
      </c>
      <c r="B162" t="str">
        <f t="shared" ref="B162:B182" si="23">LEFT(A162,2)</f>
        <v>TN</v>
      </c>
      <c r="C162" t="str">
        <f t="shared" ref="C162:C182" si="24">MID(A162,SEARCH("_",A162)+1,SEARCH("_",A162,SEARCH("_",A162)+1)-SEARCH("_",A162)-1)</f>
        <v>31</v>
      </c>
      <c r="D162" t="str">
        <f t="shared" ref="D162:D182" si="25">MID(A162,SEARCH("_",A162,4)+1,SEARCH("_",A162,SEARCH("_",A162,4)+1)-SEARCH("_",A162,4)-1)</f>
        <v>CTRL</v>
      </c>
      <c r="E162" t="str">
        <f t="shared" ref="E162:E182" si="26">RIGHT(A162,1)</f>
        <v>4</v>
      </c>
      <c r="F162">
        <f>SUMIF(Sheet1!$F$2:$F$329,A162,Sheet1!$T$2:$T$329)</f>
        <v>21992.684490083127</v>
      </c>
      <c r="G162">
        <f>VLOOKUP(A162,og_dw!$A$2:$B$182,2,)</f>
        <v>659555700.63186705</v>
      </c>
      <c r="H162">
        <f>G162*(VLOOKUP(VLOOKUP(A162,Sheet1!$F$2:$J$329,5,),eq!$D$2:$G$42,4,)/1000)/2</f>
        <v>108826.69060425807</v>
      </c>
      <c r="I162" s="17">
        <f ca="1">AVERAGEIF(Sheet1!$F$2:$F$329,A162,Sheet1!$K$2:$N$21)</f>
        <v>17.399999999999999</v>
      </c>
      <c r="J162" s="17">
        <f>COUNTIF(Sheet1!$F$2:$F$329,A162)</f>
        <v>5</v>
      </c>
      <c r="K162">
        <f t="shared" ca="1" si="22"/>
        <v>200898.43134267308</v>
      </c>
      <c r="L162">
        <f>SUMIF(Sheet1!$F$2:$F$329,A162,Sheet1!$W$2:$W$329)</f>
        <v>21992.684490083127</v>
      </c>
      <c r="M162">
        <f>SUMIF(Sheet1!$F$2:$F$329,A162,Sheet1!$X$2:$X$329)</f>
        <v>219926844.90083125</v>
      </c>
    </row>
    <row r="163" spans="1:13">
      <c r="A163" t="s">
        <v>215</v>
      </c>
      <c r="B163" t="str">
        <f t="shared" si="23"/>
        <v>TN</v>
      </c>
      <c r="C163" t="str">
        <f t="shared" si="24"/>
        <v>31</v>
      </c>
      <c r="D163" t="str">
        <f t="shared" si="25"/>
        <v>EX</v>
      </c>
      <c r="E163" t="str">
        <f t="shared" si="26"/>
        <v>1</v>
      </c>
      <c r="F163">
        <f>SUMIF(Sheet1!$F$2:$F$329,A163,Sheet1!$T$2:$T$329)</f>
        <v>18580.921150894064</v>
      </c>
      <c r="G163">
        <f>VLOOKUP(A163,og_dw!$A$2:$B$182,2,)</f>
        <v>571195231.77686203</v>
      </c>
      <c r="H163">
        <f>G163*(VLOOKUP(VLOOKUP(A163,Sheet1!$F$2:$J$329,5,),eq!$D$2:$G$42,4,)/1000)/2</f>
        <v>114239.04635537241</v>
      </c>
      <c r="I163" s="17">
        <f ca="1">AVERAGEIF(Sheet1!$F$2:$F$329,A163,Sheet1!$K$2:$N$21)</f>
        <v>16.166666666666668</v>
      </c>
      <c r="J163" s="17">
        <f>COUNTIF(Sheet1!$F$2:$F$329,A163)</f>
        <v>3</v>
      </c>
      <c r="K163">
        <f t="shared" ca="1" si="22"/>
        <v>101630.12662233136</v>
      </c>
      <c r="L163">
        <f>SUMIF(Sheet1!$F$2:$F$329,A163,Sheet1!$W$2:$W$329)</f>
        <v>18580.921150894061</v>
      </c>
      <c r="M163">
        <f>SUMIF(Sheet1!$F$2:$F$329,A163,Sheet1!$X$2:$X$329)</f>
        <v>176929537.84422112</v>
      </c>
    </row>
    <row r="164" spans="1:13">
      <c r="A164" t="s">
        <v>216</v>
      </c>
      <c r="B164" t="str">
        <f t="shared" si="23"/>
        <v>TN</v>
      </c>
      <c r="C164" t="str">
        <f t="shared" si="24"/>
        <v>31</v>
      </c>
      <c r="D164" t="str">
        <f t="shared" si="25"/>
        <v>EX</v>
      </c>
      <c r="E164" t="str">
        <f t="shared" si="26"/>
        <v>2</v>
      </c>
      <c r="F164">
        <f>SUMIF(Sheet1!$F$2:$F$329,A164,Sheet1!$T$2:$T$329)</f>
        <v>12406.526170664107</v>
      </c>
      <c r="G164">
        <f>VLOOKUP(A164,og_dw!$A$2:$B$182,2,)</f>
        <v>180234837.946578</v>
      </c>
      <c r="H164">
        <f>G164*(VLOOKUP(VLOOKUP(A164,Sheet1!$F$2:$J$329,5,),eq!$D$2:$G$42,4,)/1000)/2</f>
        <v>22529.354743322248</v>
      </c>
      <c r="I164" s="17">
        <f ca="1">AVERAGEIF(Sheet1!$F$2:$F$329,A164,Sheet1!$K$2:$N$21)</f>
        <v>16</v>
      </c>
      <c r="J164" s="17">
        <f>COUNTIF(Sheet1!$F$2:$F$329,A164)</f>
        <v>2</v>
      </c>
      <c r="K164">
        <f t="shared" ca="1" si="22"/>
        <v>66145.129655790064</v>
      </c>
      <c r="L164">
        <f>SUMIF(Sheet1!$F$2:$F$329,A164,Sheet1!$W$2:$W$329)</f>
        <v>12406.526170664107</v>
      </c>
      <c r="M164">
        <f>SUMIF(Sheet1!$F$2:$F$329,A164,Sheet1!$X$2:$X$329)</f>
        <v>62327437.973937489</v>
      </c>
    </row>
    <row r="165" spans="1:13">
      <c r="A165" t="s">
        <v>217</v>
      </c>
      <c r="B165" t="str">
        <f t="shared" si="23"/>
        <v>TN</v>
      </c>
      <c r="C165" t="str">
        <f t="shared" si="24"/>
        <v>31</v>
      </c>
      <c r="D165" t="str">
        <f t="shared" si="25"/>
        <v>EX</v>
      </c>
      <c r="E165" t="str">
        <f t="shared" si="26"/>
        <v>3</v>
      </c>
      <c r="F165">
        <f>SUMIF(Sheet1!$F$2:$F$329,A165,Sheet1!$T$2:$T$329)</f>
        <v>0</v>
      </c>
      <c r="G165">
        <f>VLOOKUP(A165,og_dw!$A$2:$B$182,2,)</f>
        <v>0</v>
      </c>
      <c r="H165">
        <f>G165*(VLOOKUP(VLOOKUP(A165,Sheet1!$F$2:$J$329,5,),eq!$D$2:$G$42,4,)/1000)/2</f>
        <v>0</v>
      </c>
      <c r="I165" s="17" t="e">
        <f ca="1">AVERAGEIF(Sheet1!$F$2:$F$329,A165,Sheet1!$K$2:$N$21)</f>
        <v>#DIV/0!</v>
      </c>
      <c r="J165" s="17">
        <f>COUNTIF(Sheet1!$F$2:$F$329,A165)</f>
        <v>1</v>
      </c>
      <c r="K165" t="e">
        <f t="shared" ca="1" si="22"/>
        <v>#DIV/0!</v>
      </c>
      <c r="L165" t="e">
        <f>SUMIF(Sheet1!$F$2:$F$329,A165,Sheet1!$W$2:$W$329)</f>
        <v>#VALUE!</v>
      </c>
      <c r="M165" t="e">
        <f>SUMIF(Sheet1!$F$2:$F$329,A165,Sheet1!$X$2:$X$329)</f>
        <v>#VALUE!</v>
      </c>
    </row>
    <row r="166" spans="1:13">
      <c r="A166" t="s">
        <v>218</v>
      </c>
      <c r="B166" t="str">
        <f t="shared" si="23"/>
        <v>TN</v>
      </c>
      <c r="C166" t="str">
        <f t="shared" si="24"/>
        <v>31</v>
      </c>
      <c r="D166" t="str">
        <f t="shared" si="25"/>
        <v>EX</v>
      </c>
      <c r="E166" t="str">
        <f t="shared" si="26"/>
        <v>4</v>
      </c>
      <c r="F166">
        <f>SUMIF(Sheet1!$F$2:$F$329,A166,Sheet1!$T$2:$T$329)</f>
        <v>10018.303219976133</v>
      </c>
      <c r="G166">
        <f>VLOOKUP(A166,og_dw!$A$2:$B$182,2,)</f>
        <v>157581239.82542801</v>
      </c>
      <c r="H166">
        <f>G166*(VLOOKUP(VLOOKUP(A166,Sheet1!$F$2:$J$329,5,),eq!$D$2:$G$42,4,)/1000)/2</f>
        <v>19697.6549781785</v>
      </c>
      <c r="I166" s="17">
        <f ca="1">AVERAGEIF(Sheet1!$F$2:$F$329,A166,Sheet1!$K$2:$N$21)</f>
        <v>15</v>
      </c>
      <c r="J166" s="17">
        <f>COUNTIF(Sheet1!$F$2:$F$329,A166)</f>
        <v>2</v>
      </c>
      <c r="K166">
        <f t="shared" ca="1" si="22"/>
        <v>56962.526078158444</v>
      </c>
      <c r="L166">
        <f>SUMIF(Sheet1!$F$2:$F$329,A166,Sheet1!$W$2:$W$329)</f>
        <v>10018.303219976133</v>
      </c>
      <c r="M166">
        <f>SUMIF(Sheet1!$F$2:$F$329,A166,Sheet1!$X$2:$X$329)</f>
        <v>70948793.834100008</v>
      </c>
    </row>
    <row r="167" spans="1:13">
      <c r="A167" t="s">
        <v>219</v>
      </c>
      <c r="B167" t="str">
        <f t="shared" si="23"/>
        <v>TN</v>
      </c>
      <c r="C167" t="str">
        <f t="shared" si="24"/>
        <v>32</v>
      </c>
      <c r="D167" t="str">
        <f t="shared" si="25"/>
        <v>NA</v>
      </c>
      <c r="E167" t="str">
        <f t="shared" si="26"/>
        <v>1</v>
      </c>
      <c r="F167">
        <f>SUMIF(Sheet1!$F$2:$F$329,A167,Sheet1!$T$2:$T$329)</f>
        <v>0</v>
      </c>
      <c r="G167">
        <f>VLOOKUP(A167,og_dw!$A$2:$B$182,2,)</f>
        <v>0</v>
      </c>
      <c r="H167">
        <f>G167*(VLOOKUP(VLOOKUP(A167,Sheet1!$F$2:$J$329,5,),eq!$D$2:$G$42,4,)/1000)/2</f>
        <v>0</v>
      </c>
      <c r="I167" s="17" t="e">
        <f ca="1">AVERAGEIF(Sheet1!$F$2:$F$329,A167,Sheet1!$K$2:$N$21)</f>
        <v>#DIV/0!</v>
      </c>
      <c r="J167" s="17">
        <f>COUNTIF(Sheet1!$F$2:$F$329,A167)</f>
        <v>1</v>
      </c>
      <c r="K167" t="e">
        <f t="shared" ca="1" si="22"/>
        <v>#DIV/0!</v>
      </c>
      <c r="L167" t="e">
        <f>SUMIF(Sheet1!$F$2:$F$329,A167,Sheet1!$W$2:$W$329)</f>
        <v>#VALUE!</v>
      </c>
      <c r="M167" t="e">
        <f>SUMIF(Sheet1!$F$2:$F$329,A167,Sheet1!$X$2:$X$329)</f>
        <v>#VALUE!</v>
      </c>
    </row>
    <row r="168" spans="1:13">
      <c r="A168" t="s">
        <v>220</v>
      </c>
      <c r="B168" t="str">
        <f t="shared" si="23"/>
        <v>TN</v>
      </c>
      <c r="C168" t="str">
        <f t="shared" si="24"/>
        <v>32</v>
      </c>
      <c r="D168" t="str">
        <f t="shared" si="25"/>
        <v>NA</v>
      </c>
      <c r="E168" t="str">
        <f t="shared" si="26"/>
        <v>2</v>
      </c>
      <c r="F168">
        <f>SUMIF(Sheet1!$F$2:$F$329,A168,Sheet1!$T$2:$T$329)</f>
        <v>0</v>
      </c>
      <c r="G168">
        <f>VLOOKUP(A168,og_dw!$A$2:$B$182,2,)</f>
        <v>0</v>
      </c>
      <c r="H168">
        <f>G168*(VLOOKUP(VLOOKUP(A168,Sheet1!$F$2:$J$329,5,),eq!$D$2:$G$42,4,)/1000)/2</f>
        <v>0</v>
      </c>
      <c r="I168" s="17" t="e">
        <f ca="1">AVERAGEIF(Sheet1!$F$2:$F$329,A168,Sheet1!$K$2:$N$21)</f>
        <v>#DIV/0!</v>
      </c>
      <c r="J168" s="17">
        <f>COUNTIF(Sheet1!$F$2:$F$329,A168)</f>
        <v>1</v>
      </c>
      <c r="K168" t="e">
        <f t="shared" ca="1" si="22"/>
        <v>#DIV/0!</v>
      </c>
      <c r="L168" t="e">
        <f>SUMIF(Sheet1!$F$2:$F$329,A168,Sheet1!$W$2:$W$329)</f>
        <v>#VALUE!</v>
      </c>
      <c r="M168" t="e">
        <f>SUMIF(Sheet1!$F$2:$F$329,A168,Sheet1!$X$2:$X$329)</f>
        <v>#VALUE!</v>
      </c>
    </row>
    <row r="169" spans="1:13">
      <c r="A169" t="s">
        <v>221</v>
      </c>
      <c r="B169" t="str">
        <f t="shared" si="23"/>
        <v>TN</v>
      </c>
      <c r="C169" t="str">
        <f t="shared" si="24"/>
        <v>32</v>
      </c>
      <c r="D169" t="str">
        <f t="shared" si="25"/>
        <v>NA</v>
      </c>
      <c r="E169" t="str">
        <f t="shared" si="26"/>
        <v>3</v>
      </c>
      <c r="F169">
        <f>SUMIF(Sheet1!$F$2:$F$329,A169,Sheet1!$T$2:$T$329)</f>
        <v>5325.6235448609377</v>
      </c>
      <c r="G169">
        <f>VLOOKUP(A169,og_dw!$A$2:$B$182,2,)</f>
        <v>18010.510154842701</v>
      </c>
      <c r="H169">
        <f>G169*(VLOOKUP(VLOOKUP(A169,Sheet1!$F$2:$J$329,5,),eq!$D$2:$G$42,4,)/1000)/2</f>
        <v>2.9717341755490456</v>
      </c>
      <c r="I169" s="17">
        <f ca="1">AVERAGEIF(Sheet1!$F$2:$F$329,A169,Sheet1!$K$2:$N$21)</f>
        <v>16.5</v>
      </c>
      <c r="J169" s="17">
        <f>COUNTIF(Sheet1!$F$2:$F$329,A169)</f>
        <v>2</v>
      </c>
      <c r="K169">
        <f t="shared" ca="1" si="22"/>
        <v>71037.533144092828</v>
      </c>
      <c r="L169">
        <f>SUMIF(Sheet1!$F$2:$F$329,A169,Sheet1!$W$2:$W$329)</f>
        <v>5325.6235448609386</v>
      </c>
      <c r="M169">
        <f>SUMIF(Sheet1!$F$2:$F$329,A169,Sheet1!$X$2:$X$329)</f>
        <v>53256235.448609374</v>
      </c>
    </row>
    <row r="170" spans="1:13">
      <c r="A170" t="s">
        <v>222</v>
      </c>
      <c r="B170" t="str">
        <f t="shared" si="23"/>
        <v>TN</v>
      </c>
      <c r="C170" t="str">
        <f t="shared" si="24"/>
        <v>32</v>
      </c>
      <c r="D170" t="str">
        <f t="shared" si="25"/>
        <v>NA</v>
      </c>
      <c r="E170" t="str">
        <f t="shared" si="26"/>
        <v>4</v>
      </c>
      <c r="F170">
        <f>SUMIF(Sheet1!$F$2:$F$329,A170,Sheet1!$T$2:$T$329)</f>
        <v>0</v>
      </c>
      <c r="G170">
        <f>VLOOKUP(A170,og_dw!$A$2:$B$182,2,)</f>
        <v>0</v>
      </c>
      <c r="H170">
        <f>G170*(VLOOKUP(VLOOKUP(A170,Sheet1!$F$2:$J$329,5,),eq!$D$2:$G$42,4,)/1000)/2</f>
        <v>0</v>
      </c>
      <c r="I170" s="17" t="e">
        <f ca="1">AVERAGEIF(Sheet1!$F$2:$F$329,A170,Sheet1!$K$2:$N$21)</f>
        <v>#DIV/0!</v>
      </c>
      <c r="J170" s="17">
        <f>COUNTIF(Sheet1!$F$2:$F$329,A170)</f>
        <v>1</v>
      </c>
      <c r="K170" t="e">
        <f t="shared" ca="1" si="22"/>
        <v>#DIV/0!</v>
      </c>
      <c r="L170" t="e">
        <f>SUMIF(Sheet1!$F$2:$F$329,A170,Sheet1!$W$2:$W$329)</f>
        <v>#VALUE!</v>
      </c>
      <c r="M170" t="e">
        <f>SUMIF(Sheet1!$F$2:$F$329,A170,Sheet1!$X$2:$X$329)</f>
        <v>#VALUE!</v>
      </c>
    </row>
    <row r="171" spans="1:13">
      <c r="A171" t="s">
        <v>223</v>
      </c>
      <c r="B171" t="str">
        <f t="shared" si="23"/>
        <v>TN</v>
      </c>
      <c r="C171" t="str">
        <f t="shared" si="24"/>
        <v>33</v>
      </c>
      <c r="D171" t="str">
        <f t="shared" si="25"/>
        <v>NA</v>
      </c>
      <c r="E171" t="str">
        <f t="shared" si="26"/>
        <v>1</v>
      </c>
      <c r="F171">
        <f>SUMIF(Sheet1!$F$2:$F$329,A171,Sheet1!$T$2:$T$329)</f>
        <v>39828.297276324374</v>
      </c>
      <c r="G171">
        <f>VLOOKUP(A171,og_dw!$A$2:$B$182,2,)</f>
        <v>1431017189.60432</v>
      </c>
      <c r="H171">
        <f>G171*(VLOOKUP(VLOOKUP(A171,Sheet1!$F$2:$J$329,5,),eq!$D$2:$G$42,4,)/1000)/2</f>
        <v>271893.2660248208</v>
      </c>
      <c r="I171" s="17">
        <f ca="1">AVERAGEIF(Sheet1!$F$2:$F$329,A171,Sheet1!$K$2:$N$21)</f>
        <v>18.75</v>
      </c>
      <c r="J171" s="17">
        <f>COUNTIF(Sheet1!$F$2:$F$329,A171)</f>
        <v>4</v>
      </c>
      <c r="K171">
        <f t="shared" ca="1" si="22"/>
        <v>191221.54748492752</v>
      </c>
      <c r="L171">
        <f>SUMIF(Sheet1!$F$2:$F$329,A171,Sheet1!$W$2:$W$329)</f>
        <v>39828.297276324382</v>
      </c>
      <c r="M171">
        <f>SUMIF(Sheet1!$F$2:$F$329,A171,Sheet1!$X$2:$X$329)</f>
        <v>398282972.76324373</v>
      </c>
    </row>
    <row r="172" spans="1:13">
      <c r="A172" t="s">
        <v>224</v>
      </c>
      <c r="B172" t="str">
        <f t="shared" si="23"/>
        <v>TN</v>
      </c>
      <c r="C172" t="str">
        <f t="shared" si="24"/>
        <v>33</v>
      </c>
      <c r="D172" t="str">
        <f t="shared" si="25"/>
        <v>NA</v>
      </c>
      <c r="E172" t="str">
        <f t="shared" si="26"/>
        <v>2</v>
      </c>
      <c r="F172">
        <f>SUMIF(Sheet1!$F$2:$F$329,A172,Sheet1!$T$2:$T$329)</f>
        <v>45869.032800045003</v>
      </c>
      <c r="G172">
        <f>VLOOKUP(A172,og_dw!$A$2:$B$182,2,)</f>
        <v>1720863610.51231</v>
      </c>
      <c r="H172">
        <f>G172*(VLOOKUP(VLOOKUP(A172,Sheet1!$F$2:$J$329,5,),eq!$D$2:$G$42,4,)/1000)/2</f>
        <v>223712.26936660032</v>
      </c>
      <c r="I172" s="17">
        <f ca="1">AVERAGEIF(Sheet1!$F$2:$F$329,A172,Sheet1!$K$2:$N$21)</f>
        <v>21</v>
      </c>
      <c r="J172" s="17">
        <f>COUNTIF(Sheet1!$F$2:$F$329,A172)</f>
        <v>3</v>
      </c>
      <c r="K172">
        <f t="shared" ca="1" si="22"/>
        <v>186782.36018482089</v>
      </c>
      <c r="L172">
        <f>SUMIF(Sheet1!$F$2:$F$329,A172,Sheet1!$W$2:$W$329)</f>
        <v>45869.03280004501</v>
      </c>
      <c r="M172">
        <f>SUMIF(Sheet1!$F$2:$F$329,A172,Sheet1!$X$2:$X$329)</f>
        <v>458690328.00045002</v>
      </c>
    </row>
    <row r="173" spans="1:13">
      <c r="A173" t="s">
        <v>225</v>
      </c>
      <c r="B173" t="str">
        <f t="shared" si="23"/>
        <v>TN</v>
      </c>
      <c r="C173" t="str">
        <f t="shared" si="24"/>
        <v>33</v>
      </c>
      <c r="D173" t="str">
        <f t="shared" si="25"/>
        <v>NA</v>
      </c>
      <c r="E173" t="str">
        <f t="shared" si="26"/>
        <v>3</v>
      </c>
      <c r="F173">
        <f>SUMIF(Sheet1!$F$2:$F$329,A173,Sheet1!$T$2:$T$329)</f>
        <v>6005.9325637675011</v>
      </c>
      <c r="G173">
        <f>VLOOKUP(A173,og_dw!$A$2:$B$182,2,)</f>
        <v>221757485.59453499</v>
      </c>
      <c r="H173">
        <f>G173*(VLOOKUP(VLOOKUP(A173,Sheet1!$F$2:$J$329,5,),eq!$D$2:$G$42,4,)/1000)/2</f>
        <v>28828.473127289551</v>
      </c>
      <c r="I173" s="17">
        <f ca="1">AVERAGEIF(Sheet1!$F$2:$F$329,A173,Sheet1!$K$2:$N$21)</f>
        <v>12.5</v>
      </c>
      <c r="J173" s="17">
        <f>COUNTIF(Sheet1!$F$2:$F$329,A173)</f>
        <v>2</v>
      </c>
      <c r="K173">
        <f t="shared" ca="1" si="22"/>
        <v>37402.089277093823</v>
      </c>
      <c r="L173">
        <f>SUMIF(Sheet1!$F$2:$F$329,A173,Sheet1!$W$2:$W$329)</f>
        <v>6005.9325637675011</v>
      </c>
      <c r="M173">
        <f>SUMIF(Sheet1!$F$2:$F$329,A173,Sheet1!$X$2:$X$329)</f>
        <v>60059325.63767501</v>
      </c>
    </row>
    <row r="174" spans="1:13">
      <c r="A174" t="s">
        <v>226</v>
      </c>
      <c r="B174" t="str">
        <f t="shared" si="23"/>
        <v>TN</v>
      </c>
      <c r="C174" t="str">
        <f t="shared" si="24"/>
        <v>33</v>
      </c>
      <c r="D174" t="str">
        <f t="shared" si="25"/>
        <v>NA</v>
      </c>
      <c r="E174" t="str">
        <f t="shared" si="26"/>
        <v>4</v>
      </c>
      <c r="F174">
        <f>SUMIF(Sheet1!$F$2:$F$329,A174,Sheet1!$T$2:$T$329)</f>
        <v>23174.18165775781</v>
      </c>
      <c r="G174">
        <f>VLOOKUP(A174,og_dw!$A$2:$B$182,2,)</f>
        <v>565449970.09950101</v>
      </c>
      <c r="H174">
        <f>G174*(VLOOKUP(VLOOKUP(A174,Sheet1!$F$2:$J$329,5,),eq!$D$2:$G$42,4,)/1000)/2</f>
        <v>70681.246262437635</v>
      </c>
      <c r="I174" s="17">
        <f ca="1">AVERAGEIF(Sheet1!$F$2:$F$329,A174,Sheet1!$K$2:$N$21)</f>
        <v>57</v>
      </c>
      <c r="J174" s="17">
        <f>COUNTIF(Sheet1!$F$2:$F$329,A174)</f>
        <v>1</v>
      </c>
      <c r="K174">
        <f t="shared" ca="1" si="22"/>
        <v>655911.17759688955</v>
      </c>
      <c r="L174">
        <f>SUMIF(Sheet1!$F$2:$F$329,A174,Sheet1!$W$2:$W$329)</f>
        <v>23174.18165775781</v>
      </c>
      <c r="M174">
        <f>SUMIF(Sheet1!$F$2:$F$329,A174,Sheet1!$X$2:$X$329)</f>
        <v>231741816.5775781</v>
      </c>
    </row>
    <row r="175" spans="1:13">
      <c r="A175" t="s">
        <v>227</v>
      </c>
      <c r="B175" t="str">
        <f t="shared" si="23"/>
        <v>TN</v>
      </c>
      <c r="C175" t="str">
        <f t="shared" si="24"/>
        <v>34</v>
      </c>
      <c r="D175" t="str">
        <f t="shared" si="25"/>
        <v>CTRL</v>
      </c>
      <c r="E175" t="str">
        <f t="shared" si="26"/>
        <v>1</v>
      </c>
      <c r="F175">
        <f>SUMIF(Sheet1!$F$2:$F$329,A175,Sheet1!$T$2:$T$329)</f>
        <v>62591.056405676092</v>
      </c>
      <c r="G175">
        <f>VLOOKUP(A175,og_dw!$A$2:$B$182,2,)</f>
        <v>413389839.772928</v>
      </c>
      <c r="H175">
        <f>G175*(VLOOKUP(VLOOKUP(A175,Sheet1!$F$2:$J$329,5,),eq!$D$2:$G$42,4,)/1000)/2</f>
        <v>53740.679170480646</v>
      </c>
      <c r="I175" s="17">
        <f ca="1">AVERAGEIF(Sheet1!$F$2:$F$329,A175,Sheet1!$K$2:$N$21)</f>
        <v>19.375</v>
      </c>
      <c r="J175" s="17">
        <f>COUNTIF(Sheet1!$F$2:$F$329,A175)</f>
        <v>8</v>
      </c>
      <c r="K175">
        <f t="shared" ca="1" si="22"/>
        <v>412791.48313955741</v>
      </c>
      <c r="L175">
        <f>SUMIF(Sheet1!$F$2:$F$329,A175,Sheet1!$W$2:$W$329)</f>
        <v>62591.056405676092</v>
      </c>
      <c r="M175">
        <f>SUMIF(Sheet1!$F$2:$F$329,A175,Sheet1!$X$2:$X$329)</f>
        <v>625910564.05676091</v>
      </c>
    </row>
    <row r="176" spans="1:13">
      <c r="A176" t="s">
        <v>228</v>
      </c>
      <c r="B176" t="str">
        <f t="shared" si="23"/>
        <v>TN</v>
      </c>
      <c r="C176" t="str">
        <f t="shared" si="24"/>
        <v>34</v>
      </c>
      <c r="D176" t="str">
        <f t="shared" si="25"/>
        <v>CTRL</v>
      </c>
      <c r="E176" t="str">
        <f t="shared" si="26"/>
        <v>2</v>
      </c>
      <c r="F176">
        <f>SUMIF(Sheet1!$F$2:$F$329,A176,Sheet1!$T$2:$T$329)</f>
        <v>38142.242601389065</v>
      </c>
      <c r="G176">
        <f>VLOOKUP(A176,og_dw!$A$2:$B$182,2,)</f>
        <v>312131542.902372</v>
      </c>
      <c r="H176">
        <f>G176*(VLOOKUP(VLOOKUP(A176,Sheet1!$F$2:$J$329,5,),eq!$D$2:$G$42,4,)/1000)/2</f>
        <v>40577.100577308367</v>
      </c>
      <c r="I176" s="17">
        <f ca="1">AVERAGEIF(Sheet1!$F$2:$F$329,A176,Sheet1!$K$2:$N$21)</f>
        <v>22.25</v>
      </c>
      <c r="J176" s="17">
        <f>COUNTIF(Sheet1!$F$2:$F$329,A176)</f>
        <v>4</v>
      </c>
      <c r="K176">
        <f t="shared" ca="1" si="22"/>
        <v>285059.78278115275</v>
      </c>
      <c r="L176">
        <f>SUMIF(Sheet1!$F$2:$F$329,A176,Sheet1!$W$2:$W$329)</f>
        <v>38142.242601389065</v>
      </c>
      <c r="M176">
        <f>SUMIF(Sheet1!$F$2:$F$329,A176,Sheet1!$X$2:$X$329)</f>
        <v>381422426.01389062</v>
      </c>
    </row>
    <row r="177" spans="1:13">
      <c r="A177" t="s">
        <v>229</v>
      </c>
      <c r="B177" t="str">
        <f t="shared" si="23"/>
        <v>TN</v>
      </c>
      <c r="C177" t="str">
        <f t="shared" si="24"/>
        <v>34</v>
      </c>
      <c r="D177" t="str">
        <f t="shared" si="25"/>
        <v>CTRL</v>
      </c>
      <c r="E177" t="str">
        <f t="shared" si="26"/>
        <v>3</v>
      </c>
      <c r="F177">
        <f>SUMIF(Sheet1!$F$2:$F$329,A177,Sheet1!$T$2:$T$329)</f>
        <v>24250.588612591251</v>
      </c>
      <c r="G177">
        <f>VLOOKUP(A177,og_dw!$A$2:$B$182,2,)</f>
        <v>76891.473725286894</v>
      </c>
      <c r="H177">
        <f>G177*(VLOOKUP(VLOOKUP(A177,Sheet1!$F$2:$J$329,5,),eq!$D$2:$G$42,4,)/1000)/2</f>
        <v>12.687093164672337</v>
      </c>
      <c r="I177" s="17">
        <f ca="1">AVERAGEIF(Sheet1!$F$2:$F$329,A177,Sheet1!$K$2:$N$21)</f>
        <v>17.5</v>
      </c>
      <c r="J177" s="17">
        <f>COUNTIF(Sheet1!$F$2:$F$329,A177)</f>
        <v>2</v>
      </c>
      <c r="K177">
        <f t="shared" ca="1" si="22"/>
        <v>81436.515666873005</v>
      </c>
      <c r="L177">
        <f>SUMIF(Sheet1!$F$2:$F$329,A177,Sheet1!$W$2:$W$329)</f>
        <v>24250.588612591251</v>
      </c>
      <c r="M177">
        <f>SUMIF(Sheet1!$F$2:$F$329,A177,Sheet1!$X$2:$X$329)</f>
        <v>242505886.12591249</v>
      </c>
    </row>
    <row r="178" spans="1:13">
      <c r="A178" t="s">
        <v>230</v>
      </c>
      <c r="B178" t="str">
        <f t="shared" si="23"/>
        <v>TN</v>
      </c>
      <c r="C178" t="str">
        <f t="shared" si="24"/>
        <v>34</v>
      </c>
      <c r="D178" t="str">
        <f t="shared" si="25"/>
        <v>CTRL</v>
      </c>
      <c r="E178" t="str">
        <f t="shared" si="26"/>
        <v>4</v>
      </c>
      <c r="F178">
        <f>SUMIF(Sheet1!$F$2:$F$329,A178,Sheet1!$T$2:$T$329)</f>
        <v>6636.1783347234377</v>
      </c>
      <c r="G178">
        <f>VLOOKUP(A178,og_dw!$A$2:$B$182,2,)</f>
        <v>21919.4957189341</v>
      </c>
      <c r="H178">
        <f>G178*(VLOOKUP(VLOOKUP(A178,Sheet1!$F$2:$J$329,5,),eq!$D$2:$G$42,4,)/1000)/2</f>
        <v>3.6167167936241267</v>
      </c>
      <c r="I178" s="17">
        <f ca="1">AVERAGEIF(Sheet1!$F$2:$F$329,A178,Sheet1!$K$2:$N$21)</f>
        <v>24</v>
      </c>
      <c r="J178" s="17">
        <f>COUNTIF(Sheet1!$F$2:$F$329,A178)</f>
        <v>1</v>
      </c>
      <c r="K178">
        <f t="shared" ca="1" si="22"/>
        <v>85076.594592695576</v>
      </c>
      <c r="L178">
        <f>SUMIF(Sheet1!$F$2:$F$329,A178,Sheet1!$W$2:$W$329)</f>
        <v>6636.1783347234377</v>
      </c>
      <c r="M178">
        <f>SUMIF(Sheet1!$F$2:$F$329,A178,Sheet1!$X$2:$X$329)</f>
        <v>66361783.347234383</v>
      </c>
    </row>
    <row r="179" spans="1:13">
      <c r="A179" t="s">
        <v>231</v>
      </c>
      <c r="B179" t="str">
        <f t="shared" si="23"/>
        <v>TN</v>
      </c>
      <c r="C179" t="str">
        <f t="shared" si="24"/>
        <v>34</v>
      </c>
      <c r="D179" t="str">
        <f t="shared" si="25"/>
        <v>EX</v>
      </c>
      <c r="E179" t="str">
        <f t="shared" si="26"/>
        <v>1</v>
      </c>
      <c r="F179">
        <f>SUMIF(Sheet1!$F$2:$F$329,A179,Sheet1!$T$2:$T$329)</f>
        <v>0</v>
      </c>
      <c r="G179">
        <f>VLOOKUP(A179,og_dw!$A$2:$B$182,2,)</f>
        <v>0</v>
      </c>
      <c r="H179">
        <f>G179*(VLOOKUP(VLOOKUP(A179,Sheet1!$F$2:$J$329,5,),eq!$D$2:$G$42,4,)/1000)/2</f>
        <v>0</v>
      </c>
      <c r="I179" s="17" t="e">
        <f ca="1">AVERAGEIF(Sheet1!$F$2:$F$329,A179,Sheet1!$K$2:$N$21)</f>
        <v>#DIV/0!</v>
      </c>
      <c r="J179" s="17">
        <f>COUNTIF(Sheet1!$F$2:$F$329,A179)</f>
        <v>1</v>
      </c>
      <c r="K179" t="e">
        <f t="shared" ca="1" si="22"/>
        <v>#DIV/0!</v>
      </c>
      <c r="L179" t="e">
        <f>SUMIF(Sheet1!$F$2:$F$329,A179,Sheet1!$W$2:$W$329)</f>
        <v>#VALUE!</v>
      </c>
      <c r="M179" t="e">
        <f>SUMIF(Sheet1!$F$2:$F$329,A179,Sheet1!$X$2:$X$329)</f>
        <v>#VALUE!</v>
      </c>
    </row>
    <row r="180" spans="1:13">
      <c r="A180" t="s">
        <v>232</v>
      </c>
      <c r="B180" t="str">
        <f t="shared" si="23"/>
        <v>TN</v>
      </c>
      <c r="C180" t="str">
        <f t="shared" si="24"/>
        <v>34</v>
      </c>
      <c r="D180" t="str">
        <f t="shared" si="25"/>
        <v>EX</v>
      </c>
      <c r="E180" t="str">
        <f t="shared" si="26"/>
        <v>2</v>
      </c>
      <c r="F180">
        <f>SUMIF(Sheet1!$F$2:$F$329,A180,Sheet1!$T$2:$T$329)</f>
        <v>19402.964333167183</v>
      </c>
      <c r="G180">
        <f>VLOOKUP(A180,og_dw!$A$2:$B$182,2,)</f>
        <v>73740.022361251002</v>
      </c>
      <c r="H180">
        <f>G180*(VLOOKUP(VLOOKUP(A180,Sheet1!$F$2:$J$329,5,),eq!$D$2:$G$42,4,)/1000)/2</f>
        <v>9.5862029069626313</v>
      </c>
      <c r="I180" s="17">
        <f ca="1">AVERAGEIF(Sheet1!$F$2:$F$329,A180,Sheet1!$K$2:$N$21)</f>
        <v>15.75</v>
      </c>
      <c r="J180" s="17">
        <f>COUNTIF(Sheet1!$F$2:$F$329,A180)</f>
        <v>4</v>
      </c>
      <c r="K180">
        <f t="shared" ca="1" si="22"/>
        <v>127549.31787061779</v>
      </c>
      <c r="L180">
        <f>SUMIF(Sheet1!$F$2:$F$329,A180,Sheet1!$W$2:$W$329)</f>
        <v>19402.964333167187</v>
      </c>
      <c r="M180">
        <f>SUMIF(Sheet1!$F$2:$F$329,A180,Sheet1!$X$2:$X$329)</f>
        <v>194029643.33167183</v>
      </c>
    </row>
    <row r="181" spans="1:13">
      <c r="A181" t="s">
        <v>233</v>
      </c>
      <c r="B181" t="str">
        <f t="shared" si="23"/>
        <v>TN</v>
      </c>
      <c r="C181" t="str">
        <f t="shared" si="24"/>
        <v>34</v>
      </c>
      <c r="D181" t="str">
        <f t="shared" si="25"/>
        <v>EX</v>
      </c>
      <c r="E181" t="str">
        <f t="shared" si="26"/>
        <v>3</v>
      </c>
      <c r="F181">
        <f>SUMIF(Sheet1!$F$2:$F$329,A181,Sheet1!$T$2:$T$329)</f>
        <v>6866.721191785</v>
      </c>
      <c r="G181">
        <f>VLOOKUP(A181,og_dw!$A$2:$B$182,2,)</f>
        <v>29685.560864245599</v>
      </c>
      <c r="H181">
        <f>G181*(VLOOKUP(VLOOKUP(A181,Sheet1!$F$2:$J$329,5,),eq!$D$2:$G$42,4,)/1000)/2</f>
        <v>3.8591229123519284</v>
      </c>
      <c r="I181" s="17">
        <f ca="1">AVERAGEIF(Sheet1!$F$2:$F$329,A181,Sheet1!$K$2:$N$21)</f>
        <v>25.5</v>
      </c>
      <c r="J181" s="17">
        <f>COUNTIF(Sheet1!$F$2:$F$329,A181)</f>
        <v>2</v>
      </c>
      <c r="K181">
        <f t="shared" ca="1" si="22"/>
        <v>196127.35745488695</v>
      </c>
      <c r="L181">
        <f>SUMIF(Sheet1!$F$2:$F$329,A181,Sheet1!$W$2:$W$329)</f>
        <v>6866.7211917849991</v>
      </c>
      <c r="M181">
        <f>SUMIF(Sheet1!$F$2:$F$329,A181,Sheet1!$X$2:$X$329)</f>
        <v>68667211.917850003</v>
      </c>
    </row>
    <row r="182" spans="1:13">
      <c r="A182" t="s">
        <v>234</v>
      </c>
      <c r="B182" t="str">
        <f t="shared" si="23"/>
        <v>TN</v>
      </c>
      <c r="C182" t="str">
        <f t="shared" si="24"/>
        <v>34</v>
      </c>
      <c r="D182" t="str">
        <f t="shared" si="25"/>
        <v>EX</v>
      </c>
      <c r="E182" t="str">
        <f t="shared" si="26"/>
        <v>4</v>
      </c>
      <c r="F182">
        <f>SUMIF(Sheet1!$F$2:$F$329,A182,Sheet1!$T$2:$T$329)</f>
        <v>17571.504953218126</v>
      </c>
      <c r="G182">
        <f>VLOOKUP(A182,og_dw!$A$2:$B$182,2,)</f>
        <v>60821.082584351898</v>
      </c>
      <c r="H182">
        <f>G182*(VLOOKUP(VLOOKUP(A182,Sheet1!$F$2:$J$329,5,),eq!$D$2:$G$42,4,)/1000)/2</f>
        <v>10.035478626418064</v>
      </c>
      <c r="I182" s="17">
        <f ca="1">AVERAGEIF(Sheet1!$F$2:$F$329,A182,Sheet1!$K$2:$N$21)</f>
        <v>22</v>
      </c>
      <c r="J182" s="17">
        <f>COUNTIF(Sheet1!$F$2:$F$329,A182)</f>
        <v>2</v>
      </c>
      <c r="K182">
        <f t="shared" ca="1" si="22"/>
        <v>138814.72922645332</v>
      </c>
      <c r="L182">
        <f>SUMIF(Sheet1!$F$2:$F$329,A182,Sheet1!$W$2:$W$329)</f>
        <v>17571.504953218126</v>
      </c>
      <c r="M182">
        <f>SUMIF(Sheet1!$F$2:$F$329,A182,Sheet1!$X$2:$X$329)</f>
        <v>175715049.53218123</v>
      </c>
    </row>
  </sheetData>
  <autoFilter ref="A1:L1" xr:uid="{A8950E29-5909-E649-8186-7F01A8892623}">
    <sortState xmlns:xlrd2="http://schemas.microsoft.com/office/spreadsheetml/2017/richdata2" ref="A2:L182">
      <sortCondition ref="A1:A182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AH329"/>
  <sheetViews>
    <sheetView zoomScale="94" zoomScaleNormal="90" workbookViewId="0">
      <selection activeCell="G12" sqref="G12"/>
    </sheetView>
  </sheetViews>
  <sheetFormatPr baseColWidth="10" defaultColWidth="12.5" defaultRowHeight="15.75" customHeight="1"/>
  <cols>
    <col min="1" max="1" width="11.1640625" style="20" customWidth="1"/>
    <col min="2" max="2" width="9.33203125" style="20" customWidth="1"/>
    <col min="3" max="3" width="10" style="20" customWidth="1"/>
    <col min="4" max="4" width="14.5" style="20" customWidth="1"/>
    <col min="5" max="6" width="12.5" style="20"/>
    <col min="7" max="9" width="12.5" style="20" customWidth="1"/>
    <col min="10" max="16" width="12.5" style="20"/>
    <col min="17" max="17" width="12.83203125" style="20" customWidth="1"/>
    <col min="18" max="20" width="68.1640625" style="20" hidden="1" customWidth="1"/>
    <col min="21" max="21" width="13" style="20" customWidth="1"/>
    <col min="22" max="22" width="12.5" style="20"/>
    <col min="23" max="23" width="17.83203125" style="20" bestFit="1" customWidth="1"/>
    <col min="24" max="24" width="30.5" style="20" bestFit="1" customWidth="1"/>
    <col min="25" max="16384" width="12.5" style="20"/>
  </cols>
  <sheetData>
    <row r="1" spans="1:34" ht="13">
      <c r="A1" s="18" t="s">
        <v>18</v>
      </c>
      <c r="B1" s="18" t="s">
        <v>19</v>
      </c>
      <c r="C1" s="18" t="s">
        <v>20</v>
      </c>
      <c r="D1" s="18" t="s">
        <v>0</v>
      </c>
      <c r="E1" s="18" t="s">
        <v>21</v>
      </c>
      <c r="F1" s="18" t="s">
        <v>53</v>
      </c>
      <c r="G1" s="18" t="s">
        <v>1</v>
      </c>
      <c r="H1" s="18" t="s">
        <v>2</v>
      </c>
      <c r="I1" s="19" t="s">
        <v>24</v>
      </c>
      <c r="J1" s="18" t="s">
        <v>33</v>
      </c>
      <c r="K1" s="19" t="s">
        <v>25</v>
      </c>
      <c r="L1" s="19" t="s">
        <v>26</v>
      </c>
      <c r="M1" s="19" t="s">
        <v>27</v>
      </c>
      <c r="N1" s="19" t="s">
        <v>28</v>
      </c>
      <c r="O1" s="18" t="s">
        <v>3</v>
      </c>
      <c r="P1" s="18" t="s">
        <v>4</v>
      </c>
      <c r="Q1" s="18" t="s">
        <v>51</v>
      </c>
      <c r="R1" s="18" t="s">
        <v>29</v>
      </c>
      <c r="S1" s="18" t="s">
        <v>30</v>
      </c>
      <c r="T1" s="18" t="s">
        <v>236</v>
      </c>
      <c r="U1" s="1" t="s">
        <v>245</v>
      </c>
      <c r="V1" s="1" t="s">
        <v>246</v>
      </c>
      <c r="W1" s="1" t="s">
        <v>235</v>
      </c>
      <c r="X1" s="1" t="s">
        <v>243</v>
      </c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5.75" customHeight="1">
      <c r="A2" s="1" t="s">
        <v>16</v>
      </c>
      <c r="B2" s="4">
        <v>1</v>
      </c>
      <c r="C2" s="2" t="s">
        <v>23</v>
      </c>
      <c r="D2" s="1" t="s">
        <v>17</v>
      </c>
      <c r="E2" s="4" t="s">
        <v>13</v>
      </c>
      <c r="F2" s="4" t="str">
        <f t="shared" ref="F2:F65" si="0">A2&amp;"_"&amp;B2&amp;"_"&amp;C2&amp;"_"&amp;E2</f>
        <v>GM_1_CTRL_B1</v>
      </c>
      <c r="G2" s="4" t="s">
        <v>8</v>
      </c>
      <c r="H2" s="4" t="s">
        <v>8</v>
      </c>
      <c r="I2" s="4" t="s">
        <v>8</v>
      </c>
      <c r="J2" s="4" t="str">
        <f t="shared" ref="J2:J65" si="1">H2&amp;"_"&amp;I2&amp;"_"&amp;G2</f>
        <v>NA_NA_NA</v>
      </c>
      <c r="K2" s="4"/>
      <c r="L2" s="4"/>
      <c r="M2" s="4"/>
      <c r="N2" s="4"/>
      <c r="O2" s="4"/>
      <c r="P2" s="4"/>
      <c r="Q2" s="4" t="str">
        <f t="shared" ref="Q2:Q33" si="2">O2&amp;P2</f>
        <v/>
      </c>
      <c r="R2" s="4">
        <f>VLOOKUP(J2,eq!$D$2:$K$42,8,)</f>
        <v>0</v>
      </c>
      <c r="S2" s="4" t="str">
        <f>SUBSTITUTE(SUBSTITUTE(SUBSTITUTE(SUBSTITUTE(SUBSTITUTE(SUBSTITUTE(SUBSTITUTE(R2,"X2",Q2),"X4",K2),"a",K2),"b",L2),"c",M2),"d",N2),"pi",3.141593)</f>
        <v>0</v>
      </c>
      <c r="T2" s="4" cm="1">
        <f t="array" ref="T2">eval_dw/2</f>
        <v>0</v>
      </c>
      <c r="U2" s="1" t="e">
        <f>T2*2/VLOOKUP(J2,eq!$D$2:$G$42,4,)</f>
        <v>#DIV/0!</v>
      </c>
      <c r="V2" s="1">
        <f>T2*2</f>
        <v>0</v>
      </c>
      <c r="W2" s="1" t="e" cm="1">
        <f t="array" ref="W2">IF(LEFT(J2,1)="S",eval_S/2,((3.141593*Q2/32)*((K2/100+L2/100)^2+(M2/100+N2/100)^2))*1000000*VLOOKUP(J2,eq!$D$2:$G$42,4,)/2)</f>
        <v>#VALUE!</v>
      </c>
      <c r="X2" s="1" t="e">
        <f>((3.141593*Q2/32)*((K2+L2)^2+(M2+N2)^2))*1000000*VLOOKUP(J2,eq!$D$2:$G$42,4,)/2</f>
        <v>#VALUE!</v>
      </c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ht="15.75" customHeight="1">
      <c r="A3" s="1" t="s">
        <v>16</v>
      </c>
      <c r="B3" s="4">
        <v>1</v>
      </c>
      <c r="C3" s="2" t="s">
        <v>23</v>
      </c>
      <c r="D3" s="1" t="s">
        <v>17</v>
      </c>
      <c r="E3" s="4" t="s">
        <v>7</v>
      </c>
      <c r="F3" s="4" t="str">
        <f t="shared" si="0"/>
        <v>GM_1_CTRL_B2</v>
      </c>
      <c r="G3" s="4" t="s">
        <v>8</v>
      </c>
      <c r="H3" s="4" t="s">
        <v>8</v>
      </c>
      <c r="I3" s="4" t="s">
        <v>8</v>
      </c>
      <c r="J3" s="4" t="str">
        <f t="shared" si="1"/>
        <v>NA_NA_NA</v>
      </c>
      <c r="K3" s="4"/>
      <c r="L3" s="4"/>
      <c r="M3" s="4"/>
      <c r="N3" s="4"/>
      <c r="O3" s="4"/>
      <c r="P3" s="4"/>
      <c r="Q3" s="4" t="str">
        <f t="shared" si="2"/>
        <v/>
      </c>
      <c r="R3" s="4">
        <f>VLOOKUP(J3,eq!$D$2:$K$42,8,)</f>
        <v>0</v>
      </c>
      <c r="S3" s="4" t="str">
        <f t="shared" ref="S3:S66" si="3">SUBSTITUTE(SUBSTITUTE(SUBSTITUTE(SUBSTITUTE(SUBSTITUTE(SUBSTITUTE(SUBSTITUTE(R3,"X2",Q3),"X4",K3),"a",K3),"b",L3),"c",M3),"d",N3),"pi",3.141593)</f>
        <v>0</v>
      </c>
      <c r="T3" s="4" cm="1">
        <f t="array" ref="T3">eval_dw/2</f>
        <v>0</v>
      </c>
      <c r="U3" s="1" t="e">
        <f>T3*2/VLOOKUP(J3,eq!$D$2:$G$42,4,)</f>
        <v>#DIV/0!</v>
      </c>
      <c r="V3" s="1">
        <f t="shared" ref="V3:V66" si="4">T3*2</f>
        <v>0</v>
      </c>
      <c r="W3" s="1" t="e" cm="1">
        <f t="array" ref="W3">IF(LEFT(J3,1)="S",eval_S/2,((3.141593*Q3/32)*((K3/100+L3/100)^2+(M3/100+N3/100)^2))*1000000*VLOOKUP(J3,eq!$D$2:$G$42,4,)/2)</f>
        <v>#VALUE!</v>
      </c>
      <c r="X3" s="1" t="e">
        <f>((3.141593*Q3/32)*((K3+L3)^2+(M3+N3)^2))*1000000*VLOOKUP(J3,eq!$D$2:$G$42,4,)/2</f>
        <v>#VALUE!</v>
      </c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ht="15.75" customHeight="1">
      <c r="A4" s="1" t="s">
        <v>16</v>
      </c>
      <c r="B4" s="4">
        <v>1</v>
      </c>
      <c r="C4" s="2" t="s">
        <v>23</v>
      </c>
      <c r="D4" s="1" t="s">
        <v>17</v>
      </c>
      <c r="E4" s="4" t="s">
        <v>12</v>
      </c>
      <c r="F4" s="4" t="str">
        <f t="shared" si="0"/>
        <v>GM_1_CTRL_B3</v>
      </c>
      <c r="G4" s="4" t="s">
        <v>8</v>
      </c>
      <c r="H4" s="4" t="s">
        <v>8</v>
      </c>
      <c r="I4" s="4" t="s">
        <v>8</v>
      </c>
      <c r="J4" s="4" t="str">
        <f t="shared" si="1"/>
        <v>NA_NA_NA</v>
      </c>
      <c r="K4" s="4"/>
      <c r="L4" s="4"/>
      <c r="M4" s="4"/>
      <c r="N4" s="4"/>
      <c r="O4" s="4"/>
      <c r="P4" s="4"/>
      <c r="Q4" s="4" t="str">
        <f t="shared" si="2"/>
        <v/>
      </c>
      <c r="R4" s="4">
        <f>VLOOKUP(J4,eq!$D$2:$K$42,8,)</f>
        <v>0</v>
      </c>
      <c r="S4" s="4" t="str">
        <f t="shared" si="3"/>
        <v>0</v>
      </c>
      <c r="T4" s="4" cm="1">
        <f t="array" ref="T4">eval_dw/2</f>
        <v>0</v>
      </c>
      <c r="U4" s="1" t="e">
        <f>T4*2/VLOOKUP(J4,eq!$D$2:$G$42,4,)</f>
        <v>#DIV/0!</v>
      </c>
      <c r="V4" s="1">
        <f t="shared" si="4"/>
        <v>0</v>
      </c>
      <c r="W4" s="1" t="e" cm="1">
        <f t="array" ref="W4">IF(LEFT(J4,1)="S",eval_S/2,((3.141593*Q4/32)*((K4/100+L4/100)^2+(M4/100+N4/100)^2))*1000000*VLOOKUP(J4,eq!$D$2:$G$42,4,)/2)</f>
        <v>#VALUE!</v>
      </c>
      <c r="X4" s="1" t="e">
        <f>((3.141593*Q4/32)*((K4+L4)^2+(M4+N4)^2))*1000000*VLOOKUP(J4,eq!$D$2:$G$42,4,)/2</f>
        <v>#VALUE!</v>
      </c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1:34" s="25" customFormat="1" ht="15.75" customHeight="1">
      <c r="A5" s="9" t="s">
        <v>16</v>
      </c>
      <c r="B5" s="8">
        <v>1</v>
      </c>
      <c r="C5" s="10" t="s">
        <v>23</v>
      </c>
      <c r="D5" s="9" t="s">
        <v>17</v>
      </c>
      <c r="E5" s="8" t="s">
        <v>10</v>
      </c>
      <c r="F5" s="8" t="str">
        <f t="shared" si="0"/>
        <v>GM_1_CTRL_B4</v>
      </c>
      <c r="G5" s="8" t="s">
        <v>31</v>
      </c>
      <c r="H5" s="8" t="s">
        <v>9</v>
      </c>
      <c r="I5" s="8">
        <v>3</v>
      </c>
      <c r="J5" s="8" t="str">
        <f t="shared" si="1"/>
        <v>F_3_H</v>
      </c>
      <c r="K5" s="8">
        <v>21</v>
      </c>
      <c r="L5" s="8">
        <v>19</v>
      </c>
      <c r="M5" s="8">
        <v>20</v>
      </c>
      <c r="N5" s="8">
        <v>20</v>
      </c>
      <c r="O5" s="8">
        <v>0.93</v>
      </c>
      <c r="P5" s="8"/>
      <c r="Q5" s="8" t="str">
        <f t="shared" si="2"/>
        <v>0.93</v>
      </c>
      <c r="R5" s="8" t="str">
        <f>VLOOKUP(J5,eq!$D$2:$K$42,8,)</f>
        <v>((pi*X2*100/32)*((a+b)^2 + (c+d)^2))*0.23</v>
      </c>
      <c r="S5" s="4" t="str">
        <f t="shared" si="3"/>
        <v>((3.141593*0.93*100/32)*((21+19)^2 + (20+20)^2))*0.23</v>
      </c>
      <c r="T5" s="8" cm="1">
        <f t="array" ref="T5">eval_dw/2</f>
        <v>3359.9337135000001</v>
      </c>
      <c r="U5" s="1">
        <f>T5*2/VLOOKUP(J5,eq!$D$2:$G$42,4,)</f>
        <v>29216.814899999998</v>
      </c>
      <c r="V5" s="1">
        <f t="shared" si="4"/>
        <v>6719.8674270000001</v>
      </c>
      <c r="W5" s="1" cm="1">
        <f t="array" ref="W5">IF(LEFT(J5,1)="S",eval_S/2,((3.141593*Q5/32)*((K5/100+L5/100)^2+(M5/100+N5/100)^2))*1000000*VLOOKUP(J5,eq!$D$2:$G$42,4,)/2)</f>
        <v>3359.9337135000005</v>
      </c>
      <c r="X5" s="1">
        <f>((3.141593*Q5/32)*((K5+L5)^2+(M5+N5)^2))*1000000*VLOOKUP(J5,eq!$D$2:$G$42,4,)/2</f>
        <v>33599337.134999998</v>
      </c>
      <c r="Y5" s="9"/>
      <c r="Z5" s="9"/>
      <c r="AA5" s="9"/>
      <c r="AB5" s="9"/>
      <c r="AC5" s="9"/>
      <c r="AD5" s="9"/>
      <c r="AE5" s="9"/>
      <c r="AF5" s="9"/>
      <c r="AG5" s="9"/>
      <c r="AH5" s="9"/>
    </row>
    <row r="6" spans="1:34" s="25" customFormat="1" ht="15.75" customHeight="1">
      <c r="A6" s="9" t="s">
        <v>16</v>
      </c>
      <c r="B6" s="8">
        <v>1</v>
      </c>
      <c r="C6" s="10" t="s">
        <v>23</v>
      </c>
      <c r="D6" s="9" t="s">
        <v>17</v>
      </c>
      <c r="E6" s="8" t="s">
        <v>10</v>
      </c>
      <c r="F6" s="8" t="str">
        <f t="shared" si="0"/>
        <v>GM_1_CTRL_B4</v>
      </c>
      <c r="G6" s="8" t="s">
        <v>8</v>
      </c>
      <c r="H6" s="8" t="s">
        <v>32</v>
      </c>
      <c r="I6" s="8">
        <v>5</v>
      </c>
      <c r="J6" s="8" t="str">
        <f t="shared" si="1"/>
        <v>T_5_NA</v>
      </c>
      <c r="K6" s="8">
        <v>20</v>
      </c>
      <c r="L6" s="8">
        <v>15</v>
      </c>
      <c r="M6" s="8">
        <v>20</v>
      </c>
      <c r="N6" s="8">
        <v>15</v>
      </c>
      <c r="O6" s="8"/>
      <c r="P6" s="8">
        <v>0.85</v>
      </c>
      <c r="Q6" s="8" t="str">
        <f t="shared" si="2"/>
        <v>0.85</v>
      </c>
      <c r="R6" s="8" t="str">
        <f>VLOOKUP(J6,eq!$D$2:$K$42,8,)</f>
        <v>((pi*X2*100/32)*((a+b)^2 + (c+d)^2))*0.25</v>
      </c>
      <c r="S6" s="4" t="str">
        <f t="shared" si="3"/>
        <v>((3.141593*0.85*100/32)*((20+15)^2 + (20+15)^2))*0.25</v>
      </c>
      <c r="T6" s="8" cm="1">
        <f t="array" ref="T6">eval_dw/2</f>
        <v>2555.6122744140621</v>
      </c>
      <c r="U6" s="1">
        <f>T6*2/VLOOKUP(J6,eq!$D$2:$G$42,4,)</f>
        <v>20444.898195312497</v>
      </c>
      <c r="V6" s="1">
        <f t="shared" si="4"/>
        <v>5111.2245488281242</v>
      </c>
      <c r="W6" s="1" cm="1">
        <f t="array" ref="W6">IF(LEFT(J6,1)="S",eval_S/2,((3.141593*Q6/32)*((K6/100+L6/100)^2+(M6/100+N6/100)^2))*1000000*VLOOKUP(J6,eq!$D$2:$G$42,4,)/2)</f>
        <v>2555.6122744140621</v>
      </c>
      <c r="X6" s="1">
        <f>((3.141593*Q6/32)*((K6+L6)^2+(M6+N6)^2))*1000000*VLOOKUP(J6,eq!$D$2:$G$42,4,)/2</f>
        <v>25556122.744140621</v>
      </c>
      <c r="Y6" s="9"/>
      <c r="Z6" s="9"/>
      <c r="AA6" s="9"/>
      <c r="AB6" s="9"/>
      <c r="AC6" s="9"/>
      <c r="AD6" s="9"/>
      <c r="AE6" s="9"/>
      <c r="AF6" s="9"/>
      <c r="AG6" s="9"/>
      <c r="AH6" s="9"/>
    </row>
    <row r="7" spans="1:34" s="25" customFormat="1" ht="15.75" customHeight="1">
      <c r="A7" s="9" t="s">
        <v>16</v>
      </c>
      <c r="B7" s="8">
        <v>1</v>
      </c>
      <c r="C7" s="10" t="s">
        <v>22</v>
      </c>
      <c r="D7" s="9" t="s">
        <v>17</v>
      </c>
      <c r="E7" s="8" t="s">
        <v>13</v>
      </c>
      <c r="F7" s="8" t="str">
        <f t="shared" si="0"/>
        <v>GM_1_EX_B1</v>
      </c>
      <c r="G7" s="8" t="s">
        <v>8</v>
      </c>
      <c r="H7" s="8" t="s">
        <v>9</v>
      </c>
      <c r="I7" s="8">
        <v>2</v>
      </c>
      <c r="J7" s="8" t="str">
        <f t="shared" si="1"/>
        <v>F_2_NA</v>
      </c>
      <c r="K7" s="8">
        <v>17</v>
      </c>
      <c r="L7" s="8">
        <v>19</v>
      </c>
      <c r="M7" s="8">
        <v>18</v>
      </c>
      <c r="N7" s="8">
        <v>17</v>
      </c>
      <c r="O7" s="8">
        <v>2.16</v>
      </c>
      <c r="P7" s="8"/>
      <c r="Q7" s="8" t="str">
        <f t="shared" si="2"/>
        <v>2.16</v>
      </c>
      <c r="R7" s="8" t="str">
        <f>VLOOKUP(J7,eq!$D$2:$K$42,8,)</f>
        <v>((pi*X2*100/32)*((a+b)^2 + (c+d)^2))*0.33</v>
      </c>
      <c r="S7" s="4" t="str">
        <f t="shared" si="3"/>
        <v>((3.141593*2.16*100/32)*((17+19)^2 + (18+17)^2))*0.33</v>
      </c>
      <c r="T7" s="8" cm="1">
        <f t="array" ref="T7">eval_dw/2</f>
        <v>8820.8509426537512</v>
      </c>
      <c r="U7" s="1">
        <f>T7*2/VLOOKUP(J7,eq!$D$2:$G$42,4,)</f>
        <v>53459.702682750001</v>
      </c>
      <c r="V7" s="1">
        <f t="shared" si="4"/>
        <v>17641.701885307502</v>
      </c>
      <c r="W7" s="1" cm="1">
        <f t="array" ref="W7">IF(LEFT(J7,1)="S",eval_S/2,((3.141593*Q7/32)*((K7/100+L7/100)^2+(M7/100+N7/100)^2))*1000000*VLOOKUP(J7,eq!$D$2:$G$42,4,)/2)</f>
        <v>8820.8509426537512</v>
      </c>
      <c r="X7" s="1">
        <f>((3.141593*Q7/32)*((K7+L7)^2+(M7+N7)^2))*1000000*VLOOKUP(J7,eq!$D$2:$G$42,4,)/2</f>
        <v>88208509.426537514</v>
      </c>
      <c r="Y7" s="9"/>
      <c r="Z7" s="9"/>
      <c r="AA7" s="9"/>
      <c r="AB7" s="9"/>
      <c r="AC7" s="9"/>
      <c r="AD7" s="9"/>
      <c r="AE7" s="9"/>
      <c r="AF7" s="9"/>
      <c r="AG7" s="9"/>
      <c r="AH7" s="9"/>
    </row>
    <row r="8" spans="1:34" s="25" customFormat="1" ht="15.75" customHeight="1">
      <c r="A8" s="9" t="s">
        <v>16</v>
      </c>
      <c r="B8" s="8">
        <v>1</v>
      </c>
      <c r="C8" s="10" t="s">
        <v>22</v>
      </c>
      <c r="D8" s="9" t="s">
        <v>17</v>
      </c>
      <c r="E8" s="8" t="s">
        <v>13</v>
      </c>
      <c r="F8" s="8" t="str">
        <f t="shared" si="0"/>
        <v>GM_1_EX_B1</v>
      </c>
      <c r="G8" s="8" t="s">
        <v>11</v>
      </c>
      <c r="H8" s="8" t="s">
        <v>11</v>
      </c>
      <c r="I8" s="8">
        <v>5</v>
      </c>
      <c r="J8" s="8" t="str">
        <f t="shared" si="1"/>
        <v>S_5_S</v>
      </c>
      <c r="K8" s="8">
        <v>10.4</v>
      </c>
      <c r="L8" s="8">
        <v>10.4</v>
      </c>
      <c r="M8" s="8">
        <v>10.4</v>
      </c>
      <c r="N8" s="8">
        <v>10.4</v>
      </c>
      <c r="O8" s="8"/>
      <c r="P8" s="8">
        <v>2.16</v>
      </c>
      <c r="Q8" s="8" t="str">
        <f t="shared" si="2"/>
        <v>2.16</v>
      </c>
      <c r="R8" s="8" t="str">
        <f>VLOOKUP(J8,eq!$D$2:$K$42,8,)</f>
        <v>((0.0000598*((X4^2)*X2)^0.946)*(1.0-0.0019*X4)*1000007)*0.26</v>
      </c>
      <c r="S8" s="4" t="str">
        <f t="shared" si="3"/>
        <v>((0.0000598*((10.4^2)*2.16)^0.946)*(1.0-0.0019*10.4)*1000007)*0.26</v>
      </c>
      <c r="T8" s="8" cm="1">
        <f t="array" ref="T8">eval_dw/2</f>
        <v>1326.1734326143001</v>
      </c>
      <c r="U8" s="1">
        <f>T8*2/VLOOKUP(J8,eq!$D$2:$G$42,4,)</f>
        <v>10201.334097033077</v>
      </c>
      <c r="V8" s="1">
        <f t="shared" si="4"/>
        <v>2652.3468652286001</v>
      </c>
      <c r="W8" s="1" cm="1">
        <f t="array" ref="W8">IF(LEFT(J8,1)="S",eval_S/2,((3.141593*Q8/32)*((K8/100+L8/100)^2+(M8/100+N8/100)^2))*1000000*VLOOKUP(J8,eq!$D$2:$G$42,4,)/2)</f>
        <v>1326.1734326143001</v>
      </c>
      <c r="X8" s="1">
        <f>((3.141593*Q8/32)*((K8+L8)^2+(M8+N8)^2))*1000000*VLOOKUP(J8,eq!$D$2:$G$42,4,)/2</f>
        <v>23853587.861376006</v>
      </c>
      <c r="Y8" s="9"/>
      <c r="Z8" s="9"/>
      <c r="AA8" s="9"/>
      <c r="AB8" s="9"/>
      <c r="AC8" s="9"/>
      <c r="AD8" s="9"/>
      <c r="AE8" s="9"/>
      <c r="AF8" s="9"/>
      <c r="AG8" s="9"/>
      <c r="AH8" s="9"/>
    </row>
    <row r="9" spans="1:34" ht="15.75" customHeight="1">
      <c r="A9" s="1" t="s">
        <v>16</v>
      </c>
      <c r="B9" s="4">
        <v>1</v>
      </c>
      <c r="C9" s="2" t="s">
        <v>22</v>
      </c>
      <c r="D9" s="1" t="s">
        <v>17</v>
      </c>
      <c r="E9" s="4" t="s">
        <v>7</v>
      </c>
      <c r="F9" s="4" t="str">
        <f t="shared" si="0"/>
        <v>GM_1_EX_B2</v>
      </c>
      <c r="G9" s="4" t="s">
        <v>8</v>
      </c>
      <c r="H9" s="4" t="s">
        <v>8</v>
      </c>
      <c r="I9" s="4" t="s">
        <v>8</v>
      </c>
      <c r="J9" s="4" t="str">
        <f t="shared" si="1"/>
        <v>NA_NA_NA</v>
      </c>
      <c r="K9" s="4"/>
      <c r="L9" s="4"/>
      <c r="M9" s="4"/>
      <c r="N9" s="4"/>
      <c r="O9" s="4"/>
      <c r="P9" s="4"/>
      <c r="Q9" s="4" t="str">
        <f t="shared" si="2"/>
        <v/>
      </c>
      <c r="R9" s="4">
        <f>VLOOKUP(J9,eq!$D$2:$K$42,8,)</f>
        <v>0</v>
      </c>
      <c r="S9" s="4" t="str">
        <f t="shared" si="3"/>
        <v>0</v>
      </c>
      <c r="T9" s="4" cm="1">
        <f t="array" ref="T9">eval_dw/2</f>
        <v>0</v>
      </c>
      <c r="U9" s="1" t="e">
        <f>T9*2/VLOOKUP(J9,eq!$D$2:$G$42,4,)</f>
        <v>#DIV/0!</v>
      </c>
      <c r="V9" s="1">
        <f t="shared" si="4"/>
        <v>0</v>
      </c>
      <c r="W9" s="1" t="e" cm="1">
        <f t="array" ref="W9">IF(LEFT(J9,1)="S",eval_S/2,((3.141593*Q9/32)*((K9/100+L9/100)^2+(M9/100+N9/100)^2))*1000000*VLOOKUP(J9,eq!$D$2:$G$42,4,)/2)</f>
        <v>#VALUE!</v>
      </c>
      <c r="X9" s="1" t="e">
        <f>((3.141593*Q9/32)*((K9+L9)^2+(M9+N9)^2))*1000000*VLOOKUP(J9,eq!$D$2:$G$42,4,)/2</f>
        <v>#VALUE!</v>
      </c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ht="15.75" customHeight="1">
      <c r="A10" s="1" t="s">
        <v>16</v>
      </c>
      <c r="B10" s="4">
        <v>1</v>
      </c>
      <c r="C10" s="2" t="s">
        <v>22</v>
      </c>
      <c r="D10" s="1" t="s">
        <v>17</v>
      </c>
      <c r="E10" s="4" t="s">
        <v>12</v>
      </c>
      <c r="F10" s="4" t="str">
        <f t="shared" si="0"/>
        <v>GM_1_EX_B3</v>
      </c>
      <c r="G10" s="4" t="s">
        <v>8</v>
      </c>
      <c r="H10" s="4" t="s">
        <v>8</v>
      </c>
      <c r="I10" s="4" t="s">
        <v>8</v>
      </c>
      <c r="J10" s="4" t="str">
        <f t="shared" si="1"/>
        <v>NA_NA_NA</v>
      </c>
      <c r="K10" s="4"/>
      <c r="L10" s="4"/>
      <c r="M10" s="4"/>
      <c r="N10" s="4"/>
      <c r="O10" s="4"/>
      <c r="P10" s="4"/>
      <c r="Q10" s="4" t="str">
        <f t="shared" si="2"/>
        <v/>
      </c>
      <c r="R10" s="4">
        <f>VLOOKUP(J10,eq!$D$2:$K$42,8,)</f>
        <v>0</v>
      </c>
      <c r="S10" s="4" t="str">
        <f t="shared" si="3"/>
        <v>0</v>
      </c>
      <c r="T10" s="4" cm="1">
        <f t="array" ref="T10">eval_dw/2</f>
        <v>0</v>
      </c>
      <c r="U10" s="1" t="e">
        <f>T10*2/VLOOKUP(J10,eq!$D$2:$G$42,4,)</f>
        <v>#DIV/0!</v>
      </c>
      <c r="V10" s="1">
        <f t="shared" si="4"/>
        <v>0</v>
      </c>
      <c r="W10" s="1" t="e" cm="1">
        <f t="array" ref="W10">IF(LEFT(J10,1)="S",eval_S/2,((3.141593*Q10/32)*((K10/100+L10/100)^2+(M10/100+N10/100)^2))*1000000*VLOOKUP(J10,eq!$D$2:$G$42,4,)/2)</f>
        <v>#VALUE!</v>
      </c>
      <c r="X10" s="1" t="e">
        <f>((3.141593*Q10/32)*((K10+L10)^2+(M10+N10)^2))*1000000*VLOOKUP(J10,eq!$D$2:$G$42,4,)/2</f>
        <v>#VALUE!</v>
      </c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4" ht="15.75" customHeight="1">
      <c r="A11" s="1" t="s">
        <v>16</v>
      </c>
      <c r="B11" s="4">
        <v>10</v>
      </c>
      <c r="C11" s="1" t="s">
        <v>8</v>
      </c>
      <c r="D11" s="1" t="s">
        <v>17</v>
      </c>
      <c r="E11" s="4" t="s">
        <v>13</v>
      </c>
      <c r="F11" s="4" t="str">
        <f t="shared" si="0"/>
        <v>GM_10_NA_B1</v>
      </c>
      <c r="G11" s="4" t="s">
        <v>8</v>
      </c>
      <c r="H11" s="4" t="s">
        <v>9</v>
      </c>
      <c r="I11" s="1">
        <v>3</v>
      </c>
      <c r="J11" s="4" t="str">
        <f t="shared" si="1"/>
        <v>F_3_NA</v>
      </c>
      <c r="K11" s="1">
        <v>13</v>
      </c>
      <c r="L11" s="1">
        <v>13</v>
      </c>
      <c r="M11" s="1">
        <v>13</v>
      </c>
      <c r="N11" s="1">
        <v>13</v>
      </c>
      <c r="O11" s="4">
        <v>1.39</v>
      </c>
      <c r="P11" s="4"/>
      <c r="Q11" s="4" t="str">
        <f t="shared" si="2"/>
        <v>1.39</v>
      </c>
      <c r="R11" s="4" t="str">
        <f>VLOOKUP(J11,eq!$D$2:$K$42,8,)</f>
        <v>((pi*X2*100/32)*((a+b)^2 + (c+d)^2))*0.26</v>
      </c>
      <c r="S11" s="4" t="str">
        <f t="shared" si="3"/>
        <v>((3.141593*1.39*100/32)*((13+13)^2 + (13+13)^2))*0.26</v>
      </c>
      <c r="T11" s="4" cm="1">
        <f t="array" ref="T11">eval_dw/2</f>
        <v>2398.4727377975</v>
      </c>
      <c r="U11" s="1">
        <f>T11*2/VLOOKUP(J11,eq!$D$2:$G$42,4,)</f>
        <v>18449.790290749999</v>
      </c>
      <c r="V11" s="1">
        <f t="shared" si="4"/>
        <v>4796.9454755950001</v>
      </c>
      <c r="W11" s="1" cm="1">
        <f t="array" ref="W11">IF(LEFT(J11,1)="S",eval_S/2,((3.141593*Q11/32)*((K11/100+L11/100)^2+(M11/100+N11/100)^2))*1000000*VLOOKUP(J11,eq!$D$2:$G$42,4,)/2)</f>
        <v>2398.4727377975005</v>
      </c>
      <c r="X11" s="1">
        <f>((3.141593*Q11/32)*((K11+L11)^2+(M11+N11)^2))*1000000*VLOOKUP(J11,eq!$D$2:$G$42,4,)/2</f>
        <v>23984727.377975002</v>
      </c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4" ht="15.75" customHeight="1">
      <c r="A12" s="1" t="s">
        <v>16</v>
      </c>
      <c r="B12" s="4">
        <v>10</v>
      </c>
      <c r="C12" s="1" t="s">
        <v>8</v>
      </c>
      <c r="D12" s="1" t="s">
        <v>17</v>
      </c>
      <c r="E12" s="4" t="s">
        <v>13</v>
      </c>
      <c r="F12" s="4" t="str">
        <f t="shared" si="0"/>
        <v>GM_10_NA_B1</v>
      </c>
      <c r="G12" s="4" t="s">
        <v>8</v>
      </c>
      <c r="H12" s="4" t="s">
        <v>9</v>
      </c>
      <c r="I12" s="1">
        <v>5</v>
      </c>
      <c r="J12" s="4" t="str">
        <f t="shared" si="1"/>
        <v>F_5_NA</v>
      </c>
      <c r="K12" s="1">
        <v>10</v>
      </c>
      <c r="L12" s="1">
        <v>11</v>
      </c>
      <c r="M12" s="4">
        <v>10</v>
      </c>
      <c r="N12" s="4">
        <v>11</v>
      </c>
      <c r="O12" s="4">
        <v>0.39</v>
      </c>
      <c r="P12" s="4"/>
      <c r="Q12" s="4" t="str">
        <f t="shared" si="2"/>
        <v>0.39</v>
      </c>
      <c r="R12" s="4" t="str">
        <f>VLOOKUP(J12,eq!$D$2:$K$42,8,)</f>
        <v>((pi*X2*100/32)*((a+b)^2 + (c+d)^2))*0.11</v>
      </c>
      <c r="S12" s="4" t="str">
        <f t="shared" si="3"/>
        <v>((3.141593*0.39*100/32)*((10+11)^2 + (10+11)^2))*0.11</v>
      </c>
      <c r="T12" s="4" cm="1">
        <f t="array" ref="T12">eval_dw/2</f>
        <v>185.73588689906248</v>
      </c>
      <c r="U12" s="1">
        <f>T12*2/VLOOKUP(J12,eq!$D$2:$G$42,4,)</f>
        <v>3377.0161254374998</v>
      </c>
      <c r="V12" s="1">
        <f t="shared" si="4"/>
        <v>371.47177379812496</v>
      </c>
      <c r="W12" s="1" cm="1">
        <f t="array" ref="W12">IF(LEFT(J12,1)="S",eval_S/2,((3.141593*Q12/32)*((K12/100+L12/100)^2+(M12/100+N12/100)^2))*1000000*VLOOKUP(J12,eq!$D$2:$G$42,4,)/2)</f>
        <v>185.73588689906254</v>
      </c>
      <c r="X12" s="1">
        <f>((3.141593*Q12/32)*((K12+L12)^2+(M12+N12)^2))*1000000*VLOOKUP(J12,eq!$D$2:$G$42,4,)/2</f>
        <v>1857358.8689906248</v>
      </c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4" ht="15.75" customHeight="1">
      <c r="A13" s="1" t="s">
        <v>16</v>
      </c>
      <c r="B13" s="4">
        <v>10</v>
      </c>
      <c r="C13" s="1" t="s">
        <v>8</v>
      </c>
      <c r="D13" s="1" t="s">
        <v>17</v>
      </c>
      <c r="E13" s="4" t="s">
        <v>7</v>
      </c>
      <c r="F13" s="4" t="str">
        <f t="shared" si="0"/>
        <v>GM_10_NA_B2</v>
      </c>
      <c r="G13" s="4" t="s">
        <v>8</v>
      </c>
      <c r="H13" s="7" t="s">
        <v>9</v>
      </c>
      <c r="I13" s="1">
        <v>2</v>
      </c>
      <c r="J13" s="4" t="str">
        <f t="shared" si="1"/>
        <v>F_2_NA</v>
      </c>
      <c r="K13" s="1">
        <v>14</v>
      </c>
      <c r="L13" s="1">
        <v>15</v>
      </c>
      <c r="M13" s="1">
        <v>14</v>
      </c>
      <c r="N13" s="1">
        <v>15</v>
      </c>
      <c r="O13" s="4">
        <v>1.89</v>
      </c>
      <c r="P13" s="4"/>
      <c r="Q13" s="4" t="str">
        <f t="shared" si="2"/>
        <v>1.89</v>
      </c>
      <c r="R13" s="4" t="str">
        <f>VLOOKUP(J13,eq!$D$2:$K$42,8,)</f>
        <v>((pi*X2*100/32)*((a+b)^2 + (c+d)^2))*0.33</v>
      </c>
      <c r="S13" s="4" t="str">
        <f t="shared" si="3"/>
        <v>((3.141593*1.89*100/32)*((14+15)^2 + (14+15)^2))*0.33</v>
      </c>
      <c r="T13" s="4" cm="1">
        <f t="array" ref="T13">eval_dw/2</f>
        <v>5149.578490619062</v>
      </c>
      <c r="U13" s="1">
        <f>T13*2/VLOOKUP(J13,eq!$D$2:$G$42,4,)</f>
        <v>31209.566609812497</v>
      </c>
      <c r="V13" s="1">
        <f t="shared" si="4"/>
        <v>10299.156981238124</v>
      </c>
      <c r="W13" s="1" cm="1">
        <f t="array" ref="W13">IF(LEFT(J13,1)="S",eval_S/2,((3.141593*Q13/32)*((K13/100+L13/100)^2+(M13/100+N13/100)^2))*1000000*VLOOKUP(J13,eq!$D$2:$G$42,4,)/2)</f>
        <v>5149.5784906190638</v>
      </c>
      <c r="X13" s="1">
        <f>((3.141593*Q13/32)*((K13+L13)^2+(M13+N13)^2))*1000000*VLOOKUP(J13,eq!$D$2:$G$42,4,)/2</f>
        <v>51495784.906190626</v>
      </c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ht="15.75" customHeight="1">
      <c r="A14" s="1" t="s">
        <v>16</v>
      </c>
      <c r="B14" s="4">
        <v>10</v>
      </c>
      <c r="C14" s="1" t="s">
        <v>8</v>
      </c>
      <c r="D14" s="1" t="s">
        <v>17</v>
      </c>
      <c r="E14" s="4" t="s">
        <v>12</v>
      </c>
      <c r="F14" s="4" t="str">
        <f t="shared" si="0"/>
        <v>GM_10_NA_B3</v>
      </c>
      <c r="G14" s="4" t="s">
        <v>8</v>
      </c>
      <c r="H14" s="7" t="s">
        <v>9</v>
      </c>
      <c r="I14" s="1">
        <v>2</v>
      </c>
      <c r="J14" s="4" t="str">
        <f t="shared" si="1"/>
        <v>F_2_NA</v>
      </c>
      <c r="K14" s="1">
        <v>16</v>
      </c>
      <c r="L14" s="1">
        <v>17</v>
      </c>
      <c r="M14" s="1">
        <v>16</v>
      </c>
      <c r="N14" s="1">
        <v>17</v>
      </c>
      <c r="O14" s="4">
        <v>3.53</v>
      </c>
      <c r="P14" s="4"/>
      <c r="Q14" s="4" t="str">
        <f t="shared" si="2"/>
        <v>3.53</v>
      </c>
      <c r="R14" s="4" t="str">
        <f>VLOOKUP(J14,eq!$D$2:$K$42,8,)</f>
        <v>((pi*X2*100/32)*((a+b)^2 + (c+d)^2))*0.33</v>
      </c>
      <c r="S14" s="4" t="str">
        <f t="shared" si="3"/>
        <v>((3.141593*3.53*100/32)*((16+17)^2 + (16+17)^2))*0.33</v>
      </c>
      <c r="T14" s="4" cm="1">
        <f t="array" ref="T14">eval_dw/2</f>
        <v>12454.218111647811</v>
      </c>
      <c r="U14" s="1">
        <f>T14*2/VLOOKUP(J14,eq!$D$2:$G$42,4,)</f>
        <v>75480.109767562491</v>
      </c>
      <c r="V14" s="1">
        <f t="shared" si="4"/>
        <v>24908.436223295623</v>
      </c>
      <c r="W14" s="1" cm="1">
        <f t="array" ref="W14">IF(LEFT(J14,1)="S",eval_S/2,((3.141593*Q14/32)*((K14/100+L14/100)^2+(M14/100+N14/100)^2))*1000000*VLOOKUP(J14,eq!$D$2:$G$42,4,)/2)</f>
        <v>12454.218111647811</v>
      </c>
      <c r="X14" s="1">
        <f>((3.141593*Q14/32)*((K14+L14)^2+(M14+N14)^2))*1000000*VLOOKUP(J14,eq!$D$2:$G$42,4,)/2</f>
        <v>124542181.1164781</v>
      </c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ht="15.75" customHeight="1">
      <c r="A15" s="1" t="s">
        <v>16</v>
      </c>
      <c r="B15" s="4">
        <v>10</v>
      </c>
      <c r="C15" s="1" t="s">
        <v>8</v>
      </c>
      <c r="D15" s="1" t="s">
        <v>17</v>
      </c>
      <c r="E15" s="4" t="s">
        <v>10</v>
      </c>
      <c r="F15" s="4" t="str">
        <f t="shared" si="0"/>
        <v>GM_10_NA_B4</v>
      </c>
      <c r="G15" s="4" t="s">
        <v>8</v>
      </c>
      <c r="H15" s="7" t="s">
        <v>9</v>
      </c>
      <c r="I15" s="1">
        <v>2</v>
      </c>
      <c r="J15" s="4" t="str">
        <f t="shared" si="1"/>
        <v>F_2_NA</v>
      </c>
      <c r="K15" s="1">
        <v>20</v>
      </c>
      <c r="L15" s="1">
        <v>21</v>
      </c>
      <c r="M15" s="1">
        <v>20</v>
      </c>
      <c r="N15" s="1">
        <v>21</v>
      </c>
      <c r="O15" s="4">
        <v>3.43</v>
      </c>
      <c r="P15" s="4"/>
      <c r="Q15" s="4" t="str">
        <f t="shared" si="2"/>
        <v>3.43</v>
      </c>
      <c r="R15" s="4" t="str">
        <f>VLOOKUP(J15,eq!$D$2:$K$42,8,)</f>
        <v>((pi*X2*100/32)*((a+b)^2 + (c+d)^2))*0.33</v>
      </c>
      <c r="S15" s="4" t="str">
        <f t="shared" si="3"/>
        <v>((3.141593*3.43*100/32)*((20+21)^2 + (20+21)^2))*0.33</v>
      </c>
      <c r="T15" s="4" cm="1">
        <f t="array" ref="T15">eval_dw/2</f>
        <v>18679.950266164687</v>
      </c>
      <c r="U15" s="1">
        <f>T15*2/VLOOKUP(J15,eq!$D$2:$G$42,4,)</f>
        <v>113211.81979493749</v>
      </c>
      <c r="V15" s="1">
        <f t="shared" si="4"/>
        <v>37359.900532329375</v>
      </c>
      <c r="W15" s="1" cm="1">
        <f t="array" ref="W15">IF(LEFT(J15,1)="S",eval_S/2,((3.141593*Q15/32)*((K15/100+L15/100)^2+(M15/100+N15/100)^2))*1000000*VLOOKUP(J15,eq!$D$2:$G$42,4,)/2)</f>
        <v>18679.950266164691</v>
      </c>
      <c r="X15" s="1">
        <f>((3.141593*Q15/32)*((K15+L15)^2+(M15+N15)^2))*1000000*VLOOKUP(J15,eq!$D$2:$G$42,4,)/2</f>
        <v>186799502.66164687</v>
      </c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ht="15.75" customHeight="1">
      <c r="A16" s="1" t="s">
        <v>16</v>
      </c>
      <c r="B16" s="4">
        <v>10</v>
      </c>
      <c r="C16" s="1" t="s">
        <v>8</v>
      </c>
      <c r="D16" s="1" t="s">
        <v>17</v>
      </c>
      <c r="E16" s="4" t="s">
        <v>10</v>
      </c>
      <c r="F16" s="4" t="str">
        <f t="shared" si="0"/>
        <v>GM_10_NA_B4</v>
      </c>
      <c r="G16" s="4" t="s">
        <v>8</v>
      </c>
      <c r="H16" s="7" t="s">
        <v>9</v>
      </c>
      <c r="I16" s="1">
        <v>2</v>
      </c>
      <c r="J16" s="4" t="str">
        <f t="shared" si="1"/>
        <v>F_2_NA</v>
      </c>
      <c r="K16" s="1">
        <v>14</v>
      </c>
      <c r="L16" s="1">
        <v>12</v>
      </c>
      <c r="M16" s="1">
        <v>14</v>
      </c>
      <c r="N16" s="1">
        <v>12</v>
      </c>
      <c r="O16" s="4">
        <v>2.75</v>
      </c>
      <c r="P16" s="4"/>
      <c r="Q16" s="4" t="str">
        <f t="shared" si="2"/>
        <v>2.75</v>
      </c>
      <c r="R16" s="4" t="str">
        <f>VLOOKUP(J16,eq!$D$2:$K$42,8,)</f>
        <v>((pi*X2*100/32)*((a+b)^2 + (c+d)^2))*0.33</v>
      </c>
      <c r="S16" s="4" t="str">
        <f t="shared" si="3"/>
        <v>((3.141593*2.75*100/32)*((14+12)^2 + (14+12)^2))*0.33</v>
      </c>
      <c r="T16" s="4" cm="1">
        <f t="array" ref="T16">eval_dw/2</f>
        <v>6022.7283053437495</v>
      </c>
      <c r="U16" s="1">
        <f>T16*2/VLOOKUP(J16,eq!$D$2:$G$42,4,)</f>
        <v>36501.383668749993</v>
      </c>
      <c r="V16" s="1">
        <f t="shared" si="4"/>
        <v>12045.456610687499</v>
      </c>
      <c r="W16" s="1" cm="1">
        <f t="array" ref="W16">IF(LEFT(J16,1)="S",eval_S/2,((3.141593*Q16/32)*((K16/100+L16/100)^2+(M16/100+N16/100)^2))*1000000*VLOOKUP(J16,eq!$D$2:$G$42,4,)/2)</f>
        <v>6022.7283053437504</v>
      </c>
      <c r="X16" s="1">
        <f>((3.141593*Q16/32)*((K16+L16)^2+(M16+N16)^2))*1000000*VLOOKUP(J16,eq!$D$2:$G$42,4,)/2</f>
        <v>60227283.053437501</v>
      </c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1:34" ht="15.75" customHeight="1">
      <c r="A17" s="6" t="s">
        <v>16</v>
      </c>
      <c r="B17" s="4">
        <v>10</v>
      </c>
      <c r="C17" s="6" t="s">
        <v>8</v>
      </c>
      <c r="D17" s="6" t="s">
        <v>17</v>
      </c>
      <c r="E17" s="7" t="s">
        <v>10</v>
      </c>
      <c r="F17" s="4" t="str">
        <f t="shared" si="0"/>
        <v>GM_10_NA_B4</v>
      </c>
      <c r="G17" s="7" t="s">
        <v>8</v>
      </c>
      <c r="H17" s="7" t="s">
        <v>9</v>
      </c>
      <c r="I17" s="1">
        <v>2</v>
      </c>
      <c r="J17" s="4" t="str">
        <f t="shared" si="1"/>
        <v>F_2_NA</v>
      </c>
      <c r="K17" s="1">
        <v>11</v>
      </c>
      <c r="L17" s="1">
        <v>10</v>
      </c>
      <c r="M17" s="1">
        <v>11</v>
      </c>
      <c r="N17" s="1">
        <v>10</v>
      </c>
      <c r="O17" s="4">
        <v>2.16</v>
      </c>
      <c r="P17" s="7"/>
      <c r="Q17" s="4" t="str">
        <f t="shared" si="2"/>
        <v>2.16</v>
      </c>
      <c r="R17" s="4" t="str">
        <f>VLOOKUP(J17,eq!$D$2:$K$42,8,)</f>
        <v>((pi*X2*100/32)*((a+b)^2 + (c+d)^2))*0.33</v>
      </c>
      <c r="S17" s="4" t="str">
        <f t="shared" si="3"/>
        <v>((3.141593*2.16*100/32)*((11+10)^2 + (11+10)^2))*0.33</v>
      </c>
      <c r="T17" s="4" cm="1">
        <f t="array" ref="T17">eval_dw/2</f>
        <v>3086.0731977075006</v>
      </c>
      <c r="U17" s="1">
        <f>T17*2/VLOOKUP(J17,eq!$D$2:$G$42,4,)</f>
        <v>18703.473925500002</v>
      </c>
      <c r="V17" s="1">
        <f t="shared" si="4"/>
        <v>6172.1463954150013</v>
      </c>
      <c r="W17" s="1" cm="1">
        <f t="array" ref="W17">IF(LEFT(J17,1)="S",eval_S/2,((3.141593*Q17/32)*((K17/100+L17/100)^2+(M17/100+N17/100)^2))*1000000*VLOOKUP(J17,eq!$D$2:$G$42,4,)/2)</f>
        <v>3086.0731977075011</v>
      </c>
      <c r="X17" s="1">
        <f>((3.141593*Q17/32)*((K17+L17)^2+(M17+N17)^2))*1000000*VLOOKUP(J17,eq!$D$2:$G$42,4,)/2</f>
        <v>30860731.977074999</v>
      </c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1:34" ht="15.75" customHeight="1">
      <c r="A18" s="1" t="s">
        <v>16</v>
      </c>
      <c r="B18" s="4">
        <v>11</v>
      </c>
      <c r="C18" s="1" t="s">
        <v>8</v>
      </c>
      <c r="D18" s="1" t="s">
        <v>17</v>
      </c>
      <c r="E18" s="4" t="s">
        <v>13</v>
      </c>
      <c r="F18" s="4" t="str">
        <f t="shared" si="0"/>
        <v>GM_11_NA_B1</v>
      </c>
      <c r="G18" s="4" t="s">
        <v>8</v>
      </c>
      <c r="H18" s="4" t="s">
        <v>8</v>
      </c>
      <c r="I18" s="4" t="s">
        <v>8</v>
      </c>
      <c r="J18" s="4" t="str">
        <f t="shared" si="1"/>
        <v>NA_NA_NA</v>
      </c>
      <c r="K18" s="4"/>
      <c r="L18" s="4"/>
      <c r="M18" s="4"/>
      <c r="N18" s="4"/>
      <c r="O18" s="4"/>
      <c r="P18" s="4"/>
      <c r="Q18" s="4" t="str">
        <f t="shared" si="2"/>
        <v/>
      </c>
      <c r="R18" s="4">
        <f>VLOOKUP(J18,eq!$D$2:$K$42,8,)</f>
        <v>0</v>
      </c>
      <c r="S18" s="4" t="str">
        <f t="shared" si="3"/>
        <v>0</v>
      </c>
      <c r="T18" s="4" cm="1">
        <f t="array" ref="T18">eval_dw/2</f>
        <v>0</v>
      </c>
      <c r="U18" s="1" t="e">
        <f>T18*2/VLOOKUP(J18,eq!$D$2:$G$42,4,)</f>
        <v>#DIV/0!</v>
      </c>
      <c r="V18" s="1">
        <f t="shared" si="4"/>
        <v>0</v>
      </c>
      <c r="W18" s="1" t="e" cm="1">
        <f t="array" ref="W18">IF(LEFT(J18,1)="S",eval_S/2,((3.141593*Q18/32)*((K18/100+L18/100)^2+(M18/100+N18/100)^2))*1000000*VLOOKUP(J18,eq!$D$2:$G$42,4,)/2)</f>
        <v>#VALUE!</v>
      </c>
      <c r="X18" s="1" t="e">
        <f>((3.141593*Q18/32)*((K18+L18)^2+(M18+N18)^2))*1000000*VLOOKUP(J18,eq!$D$2:$G$42,4,)/2</f>
        <v>#VALUE!</v>
      </c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1:34" ht="15.75" customHeight="1">
      <c r="A19" s="1" t="s">
        <v>16</v>
      </c>
      <c r="B19" s="4">
        <v>11</v>
      </c>
      <c r="C19" s="1" t="s">
        <v>8</v>
      </c>
      <c r="D19" s="1" t="s">
        <v>17</v>
      </c>
      <c r="E19" s="4" t="s">
        <v>7</v>
      </c>
      <c r="F19" s="4" t="str">
        <f t="shared" si="0"/>
        <v>GM_11_NA_B2</v>
      </c>
      <c r="G19" s="4" t="s">
        <v>8</v>
      </c>
      <c r="H19" s="4" t="s">
        <v>8</v>
      </c>
      <c r="I19" s="4" t="s">
        <v>8</v>
      </c>
      <c r="J19" s="4" t="str">
        <f t="shared" si="1"/>
        <v>NA_NA_NA</v>
      </c>
      <c r="K19" s="4"/>
      <c r="L19" s="4"/>
      <c r="M19" s="4"/>
      <c r="N19" s="4"/>
      <c r="O19" s="4"/>
      <c r="P19" s="4"/>
      <c r="Q19" s="4" t="str">
        <f t="shared" si="2"/>
        <v/>
      </c>
      <c r="R19" s="4">
        <f>VLOOKUP(J19,eq!$D$2:$K$42,8,)</f>
        <v>0</v>
      </c>
      <c r="S19" s="4" t="str">
        <f t="shared" si="3"/>
        <v>0</v>
      </c>
      <c r="T19" s="4" cm="1">
        <f t="array" ref="T19">eval_dw/2</f>
        <v>0</v>
      </c>
      <c r="U19" s="1" t="e">
        <f>T19*2/VLOOKUP(J19,eq!$D$2:$G$42,4,)</f>
        <v>#DIV/0!</v>
      </c>
      <c r="V19" s="1">
        <f t="shared" si="4"/>
        <v>0</v>
      </c>
      <c r="W19" s="1" t="e" cm="1">
        <f t="array" ref="W19">IF(LEFT(J19,1)="S",eval_S/2,((3.141593*Q19/32)*((K19/100+L19/100)^2+(M19/100+N19/100)^2))*1000000*VLOOKUP(J19,eq!$D$2:$G$42,4,)/2)</f>
        <v>#VALUE!</v>
      </c>
      <c r="X19" s="1" t="e">
        <f>((3.141593*Q19/32)*((K19+L19)^2+(M19+N19)^2))*1000000*VLOOKUP(J19,eq!$D$2:$G$42,4,)/2</f>
        <v>#VALUE!</v>
      </c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1:34" ht="15.75" customHeight="1">
      <c r="A20" s="1" t="s">
        <v>16</v>
      </c>
      <c r="B20" s="4">
        <v>11</v>
      </c>
      <c r="C20" s="1" t="s">
        <v>8</v>
      </c>
      <c r="D20" s="1" t="s">
        <v>17</v>
      </c>
      <c r="E20" s="4" t="s">
        <v>12</v>
      </c>
      <c r="F20" s="4" t="str">
        <f t="shared" si="0"/>
        <v>GM_11_NA_B3</v>
      </c>
      <c r="G20" s="4" t="s">
        <v>8</v>
      </c>
      <c r="H20" s="4" t="s">
        <v>9</v>
      </c>
      <c r="I20" s="4">
        <v>3</v>
      </c>
      <c r="J20" s="4" t="str">
        <f t="shared" si="1"/>
        <v>F_3_NA</v>
      </c>
      <c r="K20" s="4">
        <v>10</v>
      </c>
      <c r="L20" s="4">
        <v>18</v>
      </c>
      <c r="M20" s="4">
        <v>17</v>
      </c>
      <c r="N20" s="4">
        <v>10</v>
      </c>
      <c r="O20" s="4">
        <v>0.67</v>
      </c>
      <c r="P20" s="4"/>
      <c r="Q20" s="4" t="str">
        <f t="shared" si="2"/>
        <v>0.67</v>
      </c>
      <c r="R20" s="4" t="str">
        <f>VLOOKUP(J20,eq!$D$2:$K$42,8,)</f>
        <v>((pi*X2*100/32)*((a+b)^2 + (c+d)^2))*0.26</v>
      </c>
      <c r="S20" s="4" t="str">
        <f t="shared" si="3"/>
        <v>((3.141593*0.67*100/32)*((10+18)^2 + (17+10)^2))*0.26</v>
      </c>
      <c r="T20" s="4" cm="1">
        <f t="array" ref="T20">eval_dw/2</f>
        <v>1293.7698475121874</v>
      </c>
      <c r="U20" s="1">
        <f>T20*2/VLOOKUP(J20,eq!$D$2:$G$42,4,)</f>
        <v>9952.0757500937489</v>
      </c>
      <c r="V20" s="1">
        <f t="shared" si="4"/>
        <v>2587.5396950243749</v>
      </c>
      <c r="W20" s="1" cm="1">
        <f t="array" ref="W20">IF(LEFT(J20,1)="S",eval_S/2,((3.141593*Q20/32)*((K20/100+L20/100)^2+(M20/100+N20/100)^2))*1000000*VLOOKUP(J20,eq!$D$2:$G$42,4,)/2)</f>
        <v>1293.7698475121877</v>
      </c>
      <c r="X20" s="1">
        <f>((3.141593*Q20/32)*((K20+L20)^2+(M20+N20)^2))*1000000*VLOOKUP(J20,eq!$D$2:$G$42,4,)/2</f>
        <v>12937698.475121874</v>
      </c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1:34" ht="15.75" customHeight="1">
      <c r="A21" s="1" t="s">
        <v>16</v>
      </c>
      <c r="B21" s="4">
        <v>11</v>
      </c>
      <c r="C21" s="1" t="s">
        <v>8</v>
      </c>
      <c r="D21" s="1" t="s">
        <v>17</v>
      </c>
      <c r="E21" s="4" t="s">
        <v>10</v>
      </c>
      <c r="F21" s="4" t="str">
        <f t="shared" si="0"/>
        <v>GM_11_NA_B4</v>
      </c>
      <c r="G21" s="4" t="s">
        <v>8</v>
      </c>
      <c r="H21" s="4" t="s">
        <v>9</v>
      </c>
      <c r="I21" s="4">
        <v>4</v>
      </c>
      <c r="J21" s="4" t="str">
        <f t="shared" si="1"/>
        <v>F_4_NA</v>
      </c>
      <c r="K21" s="4">
        <v>13</v>
      </c>
      <c r="L21" s="4">
        <v>14</v>
      </c>
      <c r="M21" s="4">
        <v>17</v>
      </c>
      <c r="N21" s="4">
        <v>13</v>
      </c>
      <c r="O21" s="4">
        <v>1.25</v>
      </c>
      <c r="P21" s="4"/>
      <c r="Q21" s="4" t="str">
        <f t="shared" si="2"/>
        <v>1.25</v>
      </c>
      <c r="R21" s="4" t="str">
        <f>VLOOKUP(J21,eq!$D$2:$K$42,8,)</f>
        <v>((pi*X2*100/32)*((a+b)^2 + (c+d)^2))*0.15</v>
      </c>
      <c r="S21" s="4" t="str">
        <f t="shared" si="3"/>
        <v>((3.141593*1.25*100/32)*((13+14)^2 + (17+13)^2))*0.15</v>
      </c>
      <c r="T21" s="4" cm="1">
        <f t="array" ref="T21">eval_dw/2</f>
        <v>1499.3129874023437</v>
      </c>
      <c r="U21" s="1">
        <f>T21*2/VLOOKUP(J21,eq!$D$2:$G$42,4,)</f>
        <v>19990.839832031248</v>
      </c>
      <c r="V21" s="1">
        <f t="shared" si="4"/>
        <v>2998.6259748046873</v>
      </c>
      <c r="W21" s="1" cm="1">
        <f t="array" ref="W21">IF(LEFT(J21,1)="S",eval_S/2,((3.141593*Q21/32)*((K21/100+L21/100)^2+(M21/100+N21/100)^2))*1000000*VLOOKUP(J21,eq!$D$2:$G$42,4,)/2)</f>
        <v>1499.3129874023441</v>
      </c>
      <c r="X21" s="1">
        <f>((3.141593*Q21/32)*((K21+L21)^2+(M21+N21)^2))*1000000*VLOOKUP(J21,eq!$D$2:$G$42,4,)/2</f>
        <v>14993129.874023438</v>
      </c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1:34" ht="15.75" customHeight="1">
      <c r="A22" s="1" t="s">
        <v>16</v>
      </c>
      <c r="B22" s="4">
        <v>12</v>
      </c>
      <c r="C22" s="1" t="s">
        <v>8</v>
      </c>
      <c r="D22" s="1" t="s">
        <v>17</v>
      </c>
      <c r="E22" s="4" t="s">
        <v>13</v>
      </c>
      <c r="F22" s="4" t="str">
        <f t="shared" si="0"/>
        <v>GM_12_NA_B1</v>
      </c>
      <c r="G22" s="4" t="s">
        <v>8</v>
      </c>
      <c r="H22" s="4" t="s">
        <v>8</v>
      </c>
      <c r="I22" s="4" t="s">
        <v>8</v>
      </c>
      <c r="J22" s="4" t="str">
        <f t="shared" si="1"/>
        <v>NA_NA_NA</v>
      </c>
      <c r="K22" s="4"/>
      <c r="L22" s="4"/>
      <c r="M22" s="4"/>
      <c r="N22" s="4"/>
      <c r="O22" s="4"/>
      <c r="P22" s="4"/>
      <c r="Q22" s="4" t="str">
        <f t="shared" si="2"/>
        <v/>
      </c>
      <c r="R22" s="4">
        <f>VLOOKUP(J22,eq!$D$2:$K$42,8,)</f>
        <v>0</v>
      </c>
      <c r="S22" s="4" t="str">
        <f t="shared" si="3"/>
        <v>0</v>
      </c>
      <c r="T22" s="4" cm="1">
        <f t="array" ref="T22">eval_dw/2</f>
        <v>0</v>
      </c>
      <c r="U22" s="1" t="e">
        <f>T22*2/VLOOKUP(J22,eq!$D$2:$G$42,4,)</f>
        <v>#DIV/0!</v>
      </c>
      <c r="V22" s="1">
        <f t="shared" si="4"/>
        <v>0</v>
      </c>
      <c r="W22" s="1" t="e" cm="1">
        <f t="array" ref="W22">IF(LEFT(J22,1)="S",eval_S/2,((3.141593*Q22/32)*((K22/100+L22/100)^2+(M22/100+N22/100)^2))*1000000*VLOOKUP(J22,eq!$D$2:$G$42,4,)/2)</f>
        <v>#VALUE!</v>
      </c>
      <c r="X22" s="1" t="e">
        <f>((3.141593*Q22/32)*((K22+L22)^2+(M22+N22)^2))*1000000*VLOOKUP(J22,eq!$D$2:$G$42,4,)/2</f>
        <v>#VALUE!</v>
      </c>
      <c r="Y22" s="21"/>
      <c r="Z22" s="21"/>
      <c r="AA22" s="21"/>
      <c r="AB22" s="21"/>
      <c r="AC22" s="21"/>
      <c r="AD22" s="21"/>
      <c r="AE22" s="21"/>
      <c r="AF22" s="21"/>
      <c r="AG22" s="21"/>
      <c r="AH22" s="21"/>
    </row>
    <row r="23" spans="1:34" ht="15.75" customHeight="1">
      <c r="A23" s="1" t="s">
        <v>16</v>
      </c>
      <c r="B23" s="4">
        <v>12</v>
      </c>
      <c r="C23" s="1" t="s">
        <v>8</v>
      </c>
      <c r="D23" s="1" t="s">
        <v>17</v>
      </c>
      <c r="E23" s="4" t="s">
        <v>7</v>
      </c>
      <c r="F23" s="4" t="str">
        <f t="shared" si="0"/>
        <v>GM_12_NA_B2</v>
      </c>
      <c r="G23" s="4" t="s">
        <v>8</v>
      </c>
      <c r="H23" s="4" t="s">
        <v>9</v>
      </c>
      <c r="I23" s="4">
        <v>3</v>
      </c>
      <c r="J23" s="4" t="str">
        <f t="shared" si="1"/>
        <v>F_3_NA</v>
      </c>
      <c r="K23" s="4">
        <v>16</v>
      </c>
      <c r="L23" s="4">
        <v>17</v>
      </c>
      <c r="M23" s="4">
        <v>16</v>
      </c>
      <c r="N23" s="4">
        <v>13</v>
      </c>
      <c r="O23" s="4">
        <v>2.2000000000000002</v>
      </c>
      <c r="P23" s="11"/>
      <c r="Q23" s="4" t="str">
        <f t="shared" si="2"/>
        <v>2.2</v>
      </c>
      <c r="R23" s="4" t="str">
        <f>VLOOKUP(J23,eq!$D$2:$K$42,8,)</f>
        <v>((pi*X2*100/32)*((a+b)^2 + (c+d)^2))*0.26</v>
      </c>
      <c r="S23" s="4" t="str">
        <f t="shared" si="3"/>
        <v>((3.141593*2.2*100/32)*((16+17)^2 + (16+13)^2))*0.26</v>
      </c>
      <c r="T23" s="4" cm="1">
        <f t="array" ref="T23">eval_dw/2</f>
        <v>5419.051575437501</v>
      </c>
      <c r="U23" s="1">
        <f>T23*2/VLOOKUP(J23,eq!$D$2:$G$42,4,)</f>
        <v>41685.012118750004</v>
      </c>
      <c r="V23" s="1">
        <f t="shared" si="4"/>
        <v>10838.103150875002</v>
      </c>
      <c r="W23" s="1" cm="1">
        <f t="array" ref="W23">IF(LEFT(J23,1)="S",eval_S/2,((3.141593*Q23/32)*((K23/100+L23/100)^2+(M23/100+N23/100)^2))*1000000*VLOOKUP(J23,eq!$D$2:$G$42,4,)/2)</f>
        <v>5419.0515754375019</v>
      </c>
      <c r="X23" s="1">
        <f>((3.141593*Q23/32)*((K23+L23)^2+(M23+N23)^2))*1000000*VLOOKUP(J23,eq!$D$2:$G$42,4,)/2</f>
        <v>54190515.754375011</v>
      </c>
      <c r="Y23" s="21"/>
      <c r="Z23" s="21"/>
      <c r="AA23" s="21"/>
      <c r="AB23" s="21"/>
      <c r="AC23" s="21"/>
      <c r="AD23" s="21"/>
      <c r="AE23" s="21"/>
      <c r="AF23" s="21"/>
      <c r="AG23" s="21"/>
      <c r="AH23" s="21"/>
    </row>
    <row r="24" spans="1:34" ht="15.75" customHeight="1">
      <c r="A24" s="1" t="s">
        <v>16</v>
      </c>
      <c r="B24" s="4">
        <v>12</v>
      </c>
      <c r="C24" s="1" t="s">
        <v>8</v>
      </c>
      <c r="D24" s="1" t="s">
        <v>17</v>
      </c>
      <c r="E24" s="4" t="s">
        <v>12</v>
      </c>
      <c r="F24" s="4" t="str">
        <f t="shared" si="0"/>
        <v>GM_12_NA_B3</v>
      </c>
      <c r="G24" s="4" t="s">
        <v>8</v>
      </c>
      <c r="H24" s="4" t="s">
        <v>8</v>
      </c>
      <c r="I24" s="4" t="s">
        <v>8</v>
      </c>
      <c r="J24" s="4" t="str">
        <f t="shared" si="1"/>
        <v>NA_NA_NA</v>
      </c>
      <c r="K24" s="4"/>
      <c r="L24" s="4"/>
      <c r="M24" s="4"/>
      <c r="N24" s="4"/>
      <c r="O24" s="4"/>
      <c r="P24" s="4"/>
      <c r="Q24" s="4" t="str">
        <f t="shared" si="2"/>
        <v/>
      </c>
      <c r="R24" s="4">
        <f>VLOOKUP(J24,eq!$D$2:$K$42,8,)</f>
        <v>0</v>
      </c>
      <c r="S24" s="4" t="str">
        <f t="shared" si="3"/>
        <v>0</v>
      </c>
      <c r="T24" s="4" cm="1">
        <f t="array" ref="T24">eval_dw/2</f>
        <v>0</v>
      </c>
      <c r="U24" s="1" t="e">
        <f>T24*2/VLOOKUP(J24,eq!$D$2:$G$42,4,)</f>
        <v>#DIV/0!</v>
      </c>
      <c r="V24" s="1">
        <f t="shared" si="4"/>
        <v>0</v>
      </c>
      <c r="W24" s="1" t="e" cm="1">
        <f t="array" ref="W24">IF(LEFT(J24,1)="S",eval_S/2,((3.141593*Q24/32)*((K24/100+L24/100)^2+(M24/100+N24/100)^2))*1000000*VLOOKUP(J24,eq!$D$2:$G$42,4,)/2)</f>
        <v>#VALUE!</v>
      </c>
      <c r="X24" s="1" t="e">
        <f>((3.141593*Q24/32)*((K24+L24)^2+(M24+N24)^2))*1000000*VLOOKUP(J24,eq!$D$2:$G$42,4,)/2</f>
        <v>#VALUE!</v>
      </c>
      <c r="Y24" s="21"/>
      <c r="Z24" s="21"/>
      <c r="AA24" s="21"/>
      <c r="AB24" s="21"/>
      <c r="AC24" s="21"/>
      <c r="AD24" s="21"/>
      <c r="AE24" s="21"/>
      <c r="AF24" s="21"/>
      <c r="AG24" s="21"/>
      <c r="AH24" s="21"/>
    </row>
    <row r="25" spans="1:34" ht="15.75" customHeight="1">
      <c r="A25" s="1" t="s">
        <v>16</v>
      </c>
      <c r="B25" s="4">
        <v>12</v>
      </c>
      <c r="C25" s="1" t="s">
        <v>8</v>
      </c>
      <c r="D25" s="1" t="s">
        <v>17</v>
      </c>
      <c r="E25" s="4" t="s">
        <v>10</v>
      </c>
      <c r="F25" s="4" t="str">
        <f t="shared" si="0"/>
        <v>GM_12_NA_B4</v>
      </c>
      <c r="G25" s="4" t="s">
        <v>8</v>
      </c>
      <c r="H25" s="4" t="s">
        <v>32</v>
      </c>
      <c r="I25" s="4">
        <v>4</v>
      </c>
      <c r="J25" s="4" t="str">
        <f t="shared" si="1"/>
        <v>T_4_NA</v>
      </c>
      <c r="K25" s="4">
        <v>73</v>
      </c>
      <c r="L25" s="4">
        <v>40</v>
      </c>
      <c r="M25" s="4">
        <v>73</v>
      </c>
      <c r="N25" s="4">
        <v>40</v>
      </c>
      <c r="O25" s="4"/>
      <c r="P25" s="4">
        <v>1.08</v>
      </c>
      <c r="Q25" s="4" t="str">
        <f t="shared" si="2"/>
        <v>1.08</v>
      </c>
      <c r="R25" s="4" t="str">
        <f>VLOOKUP(J25,eq!$D$2:$K$42,8,)</f>
        <v>((pi*X2*100/32)*((a+b)^2 + (c+d)^2))*0.25</v>
      </c>
      <c r="S25" s="4" t="str">
        <f t="shared" si="3"/>
        <v>((3.141593*1.08*100/32)*((73+40)^2 + (73+40)^2))*0.25</v>
      </c>
      <c r="T25" s="4" cm="1">
        <f t="array" ref="T25">eval_dw/2</f>
        <v>33847.03210809375</v>
      </c>
      <c r="U25" s="1">
        <f>T25*2/VLOOKUP(J25,eq!$D$2:$G$42,4,)</f>
        <v>270776.25686475</v>
      </c>
      <c r="V25" s="1">
        <f t="shared" si="4"/>
        <v>67694.0642161875</v>
      </c>
      <c r="W25" s="1" cm="1">
        <f t="array" ref="W25">IF(LEFT(J25,1)="S",eval_S/2,((3.141593*Q25/32)*((K25/100+L25/100)^2+(M25/100+N25/100)^2))*1000000*VLOOKUP(J25,eq!$D$2:$G$42,4,)/2)</f>
        <v>33847.032108093743</v>
      </c>
      <c r="X25" s="1">
        <f>((3.141593*Q25/32)*((K25+L25)^2+(M25+N25)^2))*1000000*VLOOKUP(J25,eq!$D$2:$G$42,4,)/2</f>
        <v>338470321.08093756</v>
      </c>
      <c r="Y25" s="21"/>
      <c r="Z25" s="21"/>
      <c r="AA25" s="21"/>
      <c r="AB25" s="21"/>
      <c r="AC25" s="21"/>
      <c r="AD25" s="21"/>
      <c r="AE25" s="21"/>
      <c r="AF25" s="21"/>
      <c r="AG25" s="21"/>
      <c r="AH25" s="21"/>
    </row>
    <row r="26" spans="1:34" ht="15.75" customHeight="1">
      <c r="A26" s="1" t="s">
        <v>16</v>
      </c>
      <c r="B26" s="4">
        <v>13</v>
      </c>
      <c r="C26" s="6" t="s">
        <v>23</v>
      </c>
      <c r="D26" s="1" t="s">
        <v>15</v>
      </c>
      <c r="E26" s="4" t="s">
        <v>13</v>
      </c>
      <c r="F26" s="4" t="str">
        <f t="shared" si="0"/>
        <v>GM_13_CTRL_B1</v>
      </c>
      <c r="G26" s="4" t="s">
        <v>8</v>
      </c>
      <c r="H26" s="4" t="s">
        <v>9</v>
      </c>
      <c r="I26" s="4">
        <v>5</v>
      </c>
      <c r="J26" s="4" t="str">
        <f t="shared" si="1"/>
        <v>F_5_NA</v>
      </c>
      <c r="K26" s="4">
        <v>14</v>
      </c>
      <c r="L26" s="4">
        <v>17</v>
      </c>
      <c r="M26" s="4">
        <v>14</v>
      </c>
      <c r="N26" s="4">
        <v>17</v>
      </c>
      <c r="O26" s="4">
        <v>2.4</v>
      </c>
      <c r="P26" s="4"/>
      <c r="Q26" s="4" t="str">
        <f t="shared" si="2"/>
        <v>2.4</v>
      </c>
      <c r="R26" s="4" t="str">
        <f>VLOOKUP(J26,eq!$D$2:$K$42,8,)</f>
        <v>((pi*X2*100/32)*((a+b)^2 + (c+d)^2))*0.11</v>
      </c>
      <c r="S26" s="4" t="str">
        <f t="shared" si="3"/>
        <v>((3.141593*2.4*100/32)*((14+17)^2 + (14+17)^2))*0.11</v>
      </c>
      <c r="T26" s="4" cm="1">
        <f t="array" ref="T26">eval_dw/2</f>
        <v>2490.7334702249996</v>
      </c>
      <c r="U26" s="1">
        <f>T26*2/VLOOKUP(J26,eq!$D$2:$G$42,4,)</f>
        <v>45286.06309499999</v>
      </c>
      <c r="V26" s="1">
        <f t="shared" si="4"/>
        <v>4981.4669404499991</v>
      </c>
      <c r="W26" s="1" cm="1">
        <f t="array" ref="W26">IF(LEFT(J26,1)="S",eval_S/2,((3.141593*Q26/32)*((K26/100+L26/100)^2+(M26/100+N26/100)^2))*1000000*VLOOKUP(J26,eq!$D$2:$G$42,4,)/2)</f>
        <v>2490.7334702250005</v>
      </c>
      <c r="X26" s="1">
        <f>((3.141593*Q26/32)*((K26+L26)^2+(M26+N26)^2))*1000000*VLOOKUP(J26,eq!$D$2:$G$42,4,)/2</f>
        <v>24907334.702249996</v>
      </c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ht="15.75" customHeight="1">
      <c r="A27" s="1" t="s">
        <v>16</v>
      </c>
      <c r="B27" s="4">
        <v>13</v>
      </c>
      <c r="C27" s="6" t="s">
        <v>23</v>
      </c>
      <c r="D27" s="1" t="s">
        <v>15</v>
      </c>
      <c r="E27" s="4" t="s">
        <v>13</v>
      </c>
      <c r="F27" s="4" t="str">
        <f t="shared" si="0"/>
        <v>GM_13_CTRL_B1</v>
      </c>
      <c r="G27" s="4" t="s">
        <v>8</v>
      </c>
      <c r="H27" s="4" t="s">
        <v>9</v>
      </c>
      <c r="I27" s="4">
        <v>4</v>
      </c>
      <c r="J27" s="4" t="str">
        <f t="shared" si="1"/>
        <v>F_4_NA</v>
      </c>
      <c r="K27" s="4">
        <v>13</v>
      </c>
      <c r="L27" s="4">
        <v>12</v>
      </c>
      <c r="M27" s="4">
        <v>15</v>
      </c>
      <c r="N27" s="4">
        <v>14</v>
      </c>
      <c r="O27" s="4">
        <v>2.2200000000000002</v>
      </c>
      <c r="P27" s="4"/>
      <c r="Q27" s="4" t="str">
        <f t="shared" si="2"/>
        <v>2.22</v>
      </c>
      <c r="R27" s="4" t="str">
        <f>VLOOKUP(J27,eq!$D$2:$K$42,8,)</f>
        <v>((pi*X2*100/32)*((a+b)^2 + (c+d)^2))*0.15</v>
      </c>
      <c r="S27" s="4" t="str">
        <f t="shared" si="3"/>
        <v>((3.141593*2.22*100/32)*((13+12)^2 + (15+14)^2))*0.15</v>
      </c>
      <c r="T27" s="4" cm="1">
        <f t="array" ref="T27">eval_dw/2</f>
        <v>2396.3384180531248</v>
      </c>
      <c r="U27" s="1">
        <f>T27*2/VLOOKUP(J27,eq!$D$2:$G$42,4,)</f>
        <v>31951.178907374997</v>
      </c>
      <c r="V27" s="1">
        <f t="shared" si="4"/>
        <v>4792.6768361062495</v>
      </c>
      <c r="W27" s="1" cm="1">
        <f t="array" ref="W27">IF(LEFT(J27,1)="S",eval_S/2,((3.141593*Q27/32)*((K27/100+L27/100)^2+(M27/100+N27/100)^2))*1000000*VLOOKUP(J27,eq!$D$2:$G$42,4,)/2)</f>
        <v>2396.3384180531248</v>
      </c>
      <c r="X27" s="1">
        <f>((3.141593*Q27/32)*((K27+L27)^2+(M27+N27)^2))*1000000*VLOOKUP(J27,eq!$D$2:$G$42,4,)/2</f>
        <v>23963384.180531245</v>
      </c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ht="15.75" customHeight="1">
      <c r="A28" s="1" t="s">
        <v>16</v>
      </c>
      <c r="B28" s="4">
        <v>13</v>
      </c>
      <c r="C28" s="6" t="s">
        <v>23</v>
      </c>
      <c r="D28" s="1" t="s">
        <v>15</v>
      </c>
      <c r="E28" s="4" t="s">
        <v>13</v>
      </c>
      <c r="F28" s="4" t="str">
        <f t="shared" si="0"/>
        <v>GM_13_CTRL_B1</v>
      </c>
      <c r="G28" s="4" t="s">
        <v>8</v>
      </c>
      <c r="H28" s="4" t="s">
        <v>9</v>
      </c>
      <c r="I28" s="4">
        <v>4</v>
      </c>
      <c r="J28" s="4" t="str">
        <f t="shared" si="1"/>
        <v>F_4_NA</v>
      </c>
      <c r="K28" s="4">
        <v>13</v>
      </c>
      <c r="L28" s="4">
        <v>13</v>
      </c>
      <c r="M28" s="4">
        <v>13</v>
      </c>
      <c r="N28" s="4">
        <v>13</v>
      </c>
      <c r="O28" s="4">
        <v>2.4</v>
      </c>
      <c r="P28" s="4"/>
      <c r="Q28" s="4" t="str">
        <f t="shared" si="2"/>
        <v>2.4</v>
      </c>
      <c r="R28" s="4" t="str">
        <f>VLOOKUP(J28,eq!$D$2:$K$42,8,)</f>
        <v>((pi*X2*100/32)*((a+b)^2 + (c+d)^2))*0.15</v>
      </c>
      <c r="S28" s="4" t="str">
        <f t="shared" si="3"/>
        <v>((3.141593*2.4*100/32)*((13+13)^2 + (13+13)^2))*0.15</v>
      </c>
      <c r="T28" s="4" cm="1">
        <f t="array" ref="T28">eval_dw/2</f>
        <v>2389.1814764999995</v>
      </c>
      <c r="U28" s="1">
        <f>T28*2/VLOOKUP(J28,eq!$D$2:$G$42,4,)</f>
        <v>31855.753019999993</v>
      </c>
      <c r="V28" s="1">
        <f t="shared" si="4"/>
        <v>4778.3629529999989</v>
      </c>
      <c r="W28" s="1" cm="1">
        <f t="array" ref="W28">IF(LEFT(J28,1)="S",eval_S/2,((3.141593*Q28/32)*((K28/100+L28/100)^2+(M28/100+N28/100)^2))*1000000*VLOOKUP(J28,eq!$D$2:$G$42,4,)/2)</f>
        <v>2389.1814765000004</v>
      </c>
      <c r="X28" s="1">
        <f>((3.141593*Q28/32)*((K28+L28)^2+(M28+N28)^2))*1000000*VLOOKUP(J28,eq!$D$2:$G$42,4,)/2</f>
        <v>23891814.764999997</v>
      </c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ht="15.75" customHeight="1">
      <c r="A29" s="1" t="s">
        <v>16</v>
      </c>
      <c r="B29" s="4">
        <v>13</v>
      </c>
      <c r="C29" s="6" t="s">
        <v>23</v>
      </c>
      <c r="D29" s="1" t="s">
        <v>15</v>
      </c>
      <c r="E29" s="4" t="s">
        <v>13</v>
      </c>
      <c r="F29" s="4" t="str">
        <f t="shared" si="0"/>
        <v>GM_13_CTRL_B1</v>
      </c>
      <c r="G29" s="4" t="s">
        <v>8</v>
      </c>
      <c r="H29" s="4" t="s">
        <v>9</v>
      </c>
      <c r="I29" s="4">
        <v>5</v>
      </c>
      <c r="J29" s="4" t="str">
        <f t="shared" si="1"/>
        <v>F_5_NA</v>
      </c>
      <c r="K29" s="4">
        <v>18</v>
      </c>
      <c r="L29" s="4">
        <v>20</v>
      </c>
      <c r="M29" s="4">
        <v>18</v>
      </c>
      <c r="N29" s="4">
        <v>18</v>
      </c>
      <c r="O29" s="4">
        <v>1.51</v>
      </c>
      <c r="P29" s="4"/>
      <c r="Q29" s="4" t="str">
        <f t="shared" si="2"/>
        <v>1.51</v>
      </c>
      <c r="R29" s="4" t="str">
        <f>VLOOKUP(J29,eq!$D$2:$K$42,8,)</f>
        <v>((pi*X2*100/32)*((a+b)^2 + (c+d)^2))*0.11</v>
      </c>
      <c r="S29" s="4" t="str">
        <f t="shared" si="3"/>
        <v>((3.141593*1.51*100/32)*((18+20)^2 + (18+18)^2))*0.11</v>
      </c>
      <c r="T29" s="4" cm="1">
        <f t="array" ref="T29">eval_dw/2</f>
        <v>2234.0358696906246</v>
      </c>
      <c r="U29" s="1">
        <f>T29*2/VLOOKUP(J29,eq!$D$2:$G$42,4,)</f>
        <v>40618.833994374996</v>
      </c>
      <c r="V29" s="1">
        <f t="shared" si="4"/>
        <v>4468.0717393812492</v>
      </c>
      <c r="W29" s="1" cm="1">
        <f t="array" ref="W29">IF(LEFT(J29,1)="S",eval_S/2,((3.141593*Q29/32)*((K29/100+L29/100)^2+(M29/100+N29/100)^2))*1000000*VLOOKUP(J29,eq!$D$2:$G$42,4,)/2)</f>
        <v>2234.0358696906251</v>
      </c>
      <c r="X29" s="1">
        <f>((3.141593*Q29/32)*((K29+L29)^2+(M29+N29)^2))*1000000*VLOOKUP(J29,eq!$D$2:$G$42,4,)/2</f>
        <v>22340358.69690625</v>
      </c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ht="15.75" customHeight="1">
      <c r="A30" s="1" t="s">
        <v>16</v>
      </c>
      <c r="B30" s="4">
        <v>13</v>
      </c>
      <c r="C30" s="6" t="s">
        <v>23</v>
      </c>
      <c r="D30" s="1" t="s">
        <v>15</v>
      </c>
      <c r="E30" s="4" t="s">
        <v>13</v>
      </c>
      <c r="F30" s="4" t="str">
        <f t="shared" si="0"/>
        <v>GM_13_CTRL_B1</v>
      </c>
      <c r="G30" s="4" t="s">
        <v>8</v>
      </c>
      <c r="H30" s="4" t="s">
        <v>9</v>
      </c>
      <c r="I30" s="4">
        <v>5</v>
      </c>
      <c r="J30" s="4" t="str">
        <f t="shared" si="1"/>
        <v>F_5_NA</v>
      </c>
      <c r="K30" s="4">
        <v>14</v>
      </c>
      <c r="L30" s="4">
        <v>15</v>
      </c>
      <c r="M30" s="4">
        <v>18</v>
      </c>
      <c r="N30" s="4">
        <v>22</v>
      </c>
      <c r="O30" s="4">
        <v>1.45</v>
      </c>
      <c r="P30" s="4"/>
      <c r="Q30" s="4" t="str">
        <f t="shared" si="2"/>
        <v>1.45</v>
      </c>
      <c r="R30" s="4" t="str">
        <f>VLOOKUP(J30,eq!$D$2:$K$42,8,)</f>
        <v>((pi*X2*100/32)*((a+b)^2 + (c+d)^2))*0.11</v>
      </c>
      <c r="S30" s="4" t="str">
        <f t="shared" si="3"/>
        <v>((3.141593*1.45*100/32)*((14+15)^2 + (18+22)^2))*0.11</v>
      </c>
      <c r="T30" s="4" cm="1">
        <f t="array" ref="T30">eval_dw/2</f>
        <v>1911.1660122242183</v>
      </c>
      <c r="U30" s="1">
        <f>T30*2/VLOOKUP(J30,eq!$D$2:$G$42,4,)</f>
        <v>34748.472949531242</v>
      </c>
      <c r="V30" s="1">
        <f t="shared" si="4"/>
        <v>3822.3320244484366</v>
      </c>
      <c r="W30" s="1" cm="1">
        <f t="array" ref="W30">IF(LEFT(J30,1)="S",eval_S/2,((3.141593*Q30/32)*((K30/100+L30/100)^2+(M30/100+N30/100)^2))*1000000*VLOOKUP(J30,eq!$D$2:$G$42,4,)/2)</f>
        <v>1911.1660122242192</v>
      </c>
      <c r="X30" s="1">
        <f>((3.141593*Q30/32)*((K30+L30)^2+(M30+N30)^2))*1000000*VLOOKUP(J30,eq!$D$2:$G$42,4,)/2</f>
        <v>19111660.122242186</v>
      </c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ht="15.75" customHeight="1">
      <c r="A31" s="1" t="s">
        <v>16</v>
      </c>
      <c r="B31" s="4">
        <v>13</v>
      </c>
      <c r="C31" s="6" t="s">
        <v>23</v>
      </c>
      <c r="D31" s="1" t="s">
        <v>15</v>
      </c>
      <c r="E31" s="4" t="s">
        <v>13</v>
      </c>
      <c r="F31" s="4" t="str">
        <f t="shared" si="0"/>
        <v>GM_13_CTRL_B1</v>
      </c>
      <c r="G31" s="4" t="s">
        <v>8</v>
      </c>
      <c r="H31" s="4" t="s">
        <v>9</v>
      </c>
      <c r="I31" s="4">
        <v>5</v>
      </c>
      <c r="J31" s="4" t="str">
        <f t="shared" si="1"/>
        <v>F_5_NA</v>
      </c>
      <c r="K31" s="4">
        <v>13</v>
      </c>
      <c r="L31" s="4">
        <v>14</v>
      </c>
      <c r="M31" s="4">
        <v>14</v>
      </c>
      <c r="N31" s="4">
        <v>14</v>
      </c>
      <c r="O31" s="4">
        <v>2.3199999999999998</v>
      </c>
      <c r="P31" s="4"/>
      <c r="Q31" s="4" t="str">
        <f t="shared" si="2"/>
        <v>2.32</v>
      </c>
      <c r="R31" s="4" t="str">
        <f>VLOOKUP(J31,eq!$D$2:$K$42,8,)</f>
        <v>((pi*X2*100/32)*((a+b)^2 + (c+d)^2))*0.11</v>
      </c>
      <c r="S31" s="4" t="str">
        <f t="shared" si="3"/>
        <v>((3.141593*2.32*100/32)*((13+14)^2 + (14+14)^2))*0.11</v>
      </c>
      <c r="T31" s="4" cm="1">
        <f t="array" ref="T31">eval_dw/2</f>
        <v>1895.3505458387501</v>
      </c>
      <c r="U31" s="1">
        <f>T31*2/VLOOKUP(J31,eq!$D$2:$G$42,4,)</f>
        <v>34460.919015250001</v>
      </c>
      <c r="V31" s="1">
        <f t="shared" si="4"/>
        <v>3790.7010916775002</v>
      </c>
      <c r="W31" s="1" cm="1">
        <f t="array" ref="W31">IF(LEFT(J31,1)="S",eval_S/2,((3.141593*Q31/32)*((K31/100+L31/100)^2+(M31/100+N31/100)^2))*1000000*VLOOKUP(J31,eq!$D$2:$G$42,4,)/2)</f>
        <v>1895.3505458387501</v>
      </c>
      <c r="X31" s="1">
        <f>((3.141593*Q31/32)*((K31+L31)^2+(M31+N31)^2))*1000000*VLOOKUP(J31,eq!$D$2:$G$42,4,)/2</f>
        <v>18953505.458387494</v>
      </c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ht="15.75" customHeight="1">
      <c r="A32" s="1" t="s">
        <v>16</v>
      </c>
      <c r="B32" s="4">
        <v>13</v>
      </c>
      <c r="C32" s="6" t="s">
        <v>23</v>
      </c>
      <c r="D32" s="1" t="s">
        <v>15</v>
      </c>
      <c r="E32" s="4" t="s">
        <v>13</v>
      </c>
      <c r="F32" s="4" t="str">
        <f t="shared" si="0"/>
        <v>GM_13_CTRL_B1</v>
      </c>
      <c r="G32" s="4" t="s">
        <v>8</v>
      </c>
      <c r="H32" s="4" t="s">
        <v>9</v>
      </c>
      <c r="I32" s="4">
        <v>5</v>
      </c>
      <c r="J32" s="4" t="str">
        <f t="shared" si="1"/>
        <v>F_5_NA</v>
      </c>
      <c r="K32" s="4">
        <v>15</v>
      </c>
      <c r="L32" s="4">
        <v>15</v>
      </c>
      <c r="M32" s="4">
        <v>16</v>
      </c>
      <c r="N32" s="4">
        <v>14</v>
      </c>
      <c r="O32" s="4">
        <v>1.55</v>
      </c>
      <c r="P32" s="4"/>
      <c r="Q32" s="4" t="str">
        <f t="shared" si="2"/>
        <v>1.55</v>
      </c>
      <c r="R32" s="4" t="str">
        <f>VLOOKUP(J32,eq!$D$2:$K$42,8,)</f>
        <v>((pi*X2*100/32)*((a+b)^2 + (c+d)^2))*0.11</v>
      </c>
      <c r="S32" s="4" t="str">
        <f t="shared" si="3"/>
        <v>((3.141593*1.55*100/32)*((15+15)^2 + (16+14)^2))*0.11</v>
      </c>
      <c r="T32" s="4" cm="1">
        <f t="array" ref="T32">eval_dw/2</f>
        <v>1506.4920182812498</v>
      </c>
      <c r="U32" s="1">
        <f>T32*2/VLOOKUP(J32,eq!$D$2:$G$42,4,)</f>
        <v>27390.763968749998</v>
      </c>
      <c r="V32" s="1">
        <f t="shared" si="4"/>
        <v>3012.9840365624996</v>
      </c>
      <c r="W32" s="1" cm="1">
        <f t="array" ref="W32">IF(LEFT(J32,1)="S",eval_S/2,((3.141593*Q32/32)*((K32/100+L32/100)^2+(M32/100+N32/100)^2))*1000000*VLOOKUP(J32,eq!$D$2:$G$42,4,)/2)</f>
        <v>1506.49201828125</v>
      </c>
      <c r="X32" s="1">
        <f>((3.141593*Q32/32)*((K32+L32)^2+(M32+N32)^2))*1000000*VLOOKUP(J32,eq!$D$2:$G$42,4,)/2</f>
        <v>15064920.182812497</v>
      </c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ht="15.75" customHeight="1">
      <c r="A33" s="1" t="s">
        <v>16</v>
      </c>
      <c r="B33" s="4">
        <v>13</v>
      </c>
      <c r="C33" s="6" t="s">
        <v>23</v>
      </c>
      <c r="D33" s="1" t="s">
        <v>15</v>
      </c>
      <c r="E33" s="4" t="s">
        <v>13</v>
      </c>
      <c r="F33" s="4" t="str">
        <f t="shared" si="0"/>
        <v>GM_13_CTRL_B1</v>
      </c>
      <c r="G33" s="4" t="s">
        <v>8</v>
      </c>
      <c r="H33" s="4" t="s">
        <v>9</v>
      </c>
      <c r="I33" s="4">
        <v>5</v>
      </c>
      <c r="J33" s="4" t="str">
        <f t="shared" si="1"/>
        <v>F_5_NA</v>
      </c>
      <c r="K33" s="4">
        <v>13</v>
      </c>
      <c r="L33" s="4">
        <v>13</v>
      </c>
      <c r="M33" s="4">
        <v>13</v>
      </c>
      <c r="N33" s="4">
        <v>13</v>
      </c>
      <c r="O33" s="4">
        <v>1.67</v>
      </c>
      <c r="P33" s="4"/>
      <c r="Q33" s="4" t="str">
        <f t="shared" si="2"/>
        <v>1.67</v>
      </c>
      <c r="R33" s="4" t="str">
        <f>VLOOKUP(J33,eq!$D$2:$K$42,8,)</f>
        <v>((pi*X2*100/32)*((a+b)^2 + (c+d)^2))*0.11</v>
      </c>
      <c r="S33" s="4" t="str">
        <f t="shared" si="3"/>
        <v>((3.141593*1.67*100/32)*((13+13)^2 + (13+13)^2))*0.11</v>
      </c>
      <c r="T33" s="4" cm="1">
        <f t="array" ref="T33">eval_dw/2</f>
        <v>1219.14621453625</v>
      </c>
      <c r="U33" s="1">
        <f>T33*2/VLOOKUP(J33,eq!$D$2:$G$42,4,)</f>
        <v>22166.294809750001</v>
      </c>
      <c r="V33" s="1">
        <f t="shared" si="4"/>
        <v>2438.2924290725</v>
      </c>
      <c r="W33" s="1" cm="1">
        <f t="array" ref="W33">IF(LEFT(J33,1)="S",eval_S/2,((3.141593*Q33/32)*((K33/100+L33/100)^2+(M33/100+N33/100)^2))*1000000*VLOOKUP(J33,eq!$D$2:$G$42,4,)/2)</f>
        <v>1219.14621453625</v>
      </c>
      <c r="X33" s="1">
        <f>((3.141593*Q33/32)*((K33+L33)^2+(M33+N33)^2))*1000000*VLOOKUP(J33,eq!$D$2:$G$42,4,)/2</f>
        <v>12191462.1453625</v>
      </c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ht="15.75" customHeight="1">
      <c r="A34" s="22" t="s">
        <v>16</v>
      </c>
      <c r="B34" s="5">
        <v>13</v>
      </c>
      <c r="C34" s="23" t="s">
        <v>23</v>
      </c>
      <c r="D34" s="1" t="s">
        <v>15</v>
      </c>
      <c r="E34" s="5" t="s">
        <v>13</v>
      </c>
      <c r="F34" s="4" t="str">
        <f t="shared" si="0"/>
        <v>GM_13_CTRL_B1</v>
      </c>
      <c r="G34" s="5" t="s">
        <v>31</v>
      </c>
      <c r="H34" s="5" t="s">
        <v>9</v>
      </c>
      <c r="I34" s="5">
        <v>5</v>
      </c>
      <c r="J34" s="4" t="str">
        <f t="shared" si="1"/>
        <v>F_5_H</v>
      </c>
      <c r="K34" s="5">
        <v>14</v>
      </c>
      <c r="L34" s="5">
        <v>18</v>
      </c>
      <c r="M34" s="5">
        <v>18</v>
      </c>
      <c r="N34" s="5">
        <v>13</v>
      </c>
      <c r="O34" s="5">
        <v>1.0900000000000001</v>
      </c>
      <c r="P34" s="5"/>
      <c r="Q34" s="4" t="str">
        <f t="shared" ref="Q34:Q50" si="5">O34&amp;P34</f>
        <v>1.09</v>
      </c>
      <c r="R34" s="4" t="str">
        <f>VLOOKUP(J34,eq!$D$2:$K$42,8,)</f>
        <v>((pi*X2*100/32)*((a+b)^2 + (c+d)^2))*0.11</v>
      </c>
      <c r="S34" s="4" t="str">
        <f t="shared" si="3"/>
        <v>((3.141593*1.09*100/32)*((14+18)^2 + (18+13)^2))*0.11</v>
      </c>
      <c r="T34" s="4" cm="1">
        <f t="array" ref="T34">eval_dw/2</f>
        <v>1168.2872599835939</v>
      </c>
      <c r="U34" s="1">
        <f>T34*2/VLOOKUP(J34,eq!$D$2:$G$42,4,)</f>
        <v>21241.586545156253</v>
      </c>
      <c r="V34" s="1">
        <f t="shared" si="4"/>
        <v>2336.5745199671878</v>
      </c>
      <c r="W34" s="1" cm="1">
        <f t="array" ref="W34">IF(LEFT(J34,1)="S",eval_S/2,((3.141593*Q34/32)*((K34/100+L34/100)^2+(M34/100+N34/100)^2))*1000000*VLOOKUP(J34,eq!$D$2:$G$42,4,)/2)</f>
        <v>1168.2872599835939</v>
      </c>
      <c r="X34" s="1">
        <f>((3.141593*Q34/32)*((K34+L34)^2+(M34+N34)^2))*1000000*VLOOKUP(J34,eq!$D$2:$G$42,4,)/2</f>
        <v>11682872.59983594</v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</row>
    <row r="35" spans="1:34" ht="15.75" customHeight="1">
      <c r="A35" s="1" t="s">
        <v>16</v>
      </c>
      <c r="B35" s="4">
        <v>13</v>
      </c>
      <c r="C35" s="6" t="s">
        <v>23</v>
      </c>
      <c r="D35" s="1" t="s">
        <v>15</v>
      </c>
      <c r="E35" s="4" t="s">
        <v>13</v>
      </c>
      <c r="F35" s="4" t="str">
        <f t="shared" si="0"/>
        <v>GM_13_CTRL_B1</v>
      </c>
      <c r="G35" s="4" t="s">
        <v>8</v>
      </c>
      <c r="H35" s="4" t="s">
        <v>9</v>
      </c>
      <c r="I35" s="4">
        <v>5</v>
      </c>
      <c r="J35" s="4" t="str">
        <f t="shared" si="1"/>
        <v>F_5_NA</v>
      </c>
      <c r="K35" s="4">
        <v>12</v>
      </c>
      <c r="L35" s="4">
        <v>13</v>
      </c>
      <c r="M35" s="4">
        <v>10</v>
      </c>
      <c r="N35" s="4">
        <v>10</v>
      </c>
      <c r="O35" s="4">
        <v>1.92</v>
      </c>
      <c r="P35" s="4"/>
      <c r="Q35" s="4" t="str">
        <f t="shared" si="5"/>
        <v>1.92</v>
      </c>
      <c r="R35" s="4" t="str">
        <f>VLOOKUP(J35,eq!$D$2:$K$42,8,)</f>
        <v>((pi*X2*100/32)*((a+b)^2 + (c+d)^2))*0.11</v>
      </c>
      <c r="S35" s="4" t="str">
        <f t="shared" si="3"/>
        <v>((3.141593*1.92*100/32)*((12+13)^2 + (10+10)^2))*0.11</v>
      </c>
      <c r="T35" s="4" cm="1">
        <f t="array" ref="T35">eval_dw/2</f>
        <v>1062.6438322500001</v>
      </c>
      <c r="U35" s="1">
        <f>T35*2/VLOOKUP(J35,eq!$D$2:$G$42,4,)</f>
        <v>19320.79695</v>
      </c>
      <c r="V35" s="1">
        <f t="shared" si="4"/>
        <v>2125.2876645000001</v>
      </c>
      <c r="W35" s="1" cm="1">
        <f t="array" ref="W35">IF(LEFT(J35,1)="S",eval_S/2,((3.141593*Q35/32)*((K35/100+L35/100)^2+(M35/100+N35/100)^2))*1000000*VLOOKUP(J35,eq!$D$2:$G$42,4,)/2)</f>
        <v>1062.6438322500001</v>
      </c>
      <c r="X35" s="1">
        <f>((3.141593*Q35/32)*((K35+L35)^2+(M35+N35)^2))*1000000*VLOOKUP(J35,eq!$D$2:$G$42,4,)/2</f>
        <v>10626438.3225</v>
      </c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ht="15.75" customHeight="1">
      <c r="A36" s="1" t="s">
        <v>16</v>
      </c>
      <c r="B36" s="4">
        <v>13</v>
      </c>
      <c r="C36" s="6" t="s">
        <v>23</v>
      </c>
      <c r="D36" s="1" t="s">
        <v>15</v>
      </c>
      <c r="E36" s="4" t="s">
        <v>13</v>
      </c>
      <c r="F36" s="4" t="str">
        <f t="shared" si="0"/>
        <v>GM_13_CTRL_B1</v>
      </c>
      <c r="G36" s="4" t="s">
        <v>8</v>
      </c>
      <c r="H36" s="4" t="s">
        <v>9</v>
      </c>
      <c r="I36" s="4">
        <v>5</v>
      </c>
      <c r="J36" s="4" t="str">
        <f t="shared" si="1"/>
        <v>F_5_NA</v>
      </c>
      <c r="K36" s="4">
        <v>12</v>
      </c>
      <c r="L36" s="4">
        <v>11</v>
      </c>
      <c r="M36" s="4">
        <v>12</v>
      </c>
      <c r="N36" s="4">
        <v>11</v>
      </c>
      <c r="O36" s="4">
        <v>1.77</v>
      </c>
      <c r="P36" s="4"/>
      <c r="Q36" s="4" t="str">
        <f t="shared" si="5"/>
        <v>1.77</v>
      </c>
      <c r="R36" s="4" t="str">
        <f>VLOOKUP(J36,eq!$D$2:$K$42,8,)</f>
        <v>((pi*X2*100/32)*((a+b)^2 + (c+d)^2))*0.11</v>
      </c>
      <c r="S36" s="4" t="str">
        <f t="shared" si="3"/>
        <v>((3.141593*1.77*100/32)*((12+11)^2 + (12+11)^2))*0.11</v>
      </c>
      <c r="T36" s="4" cm="1">
        <f t="array" ref="T36">eval_dw/2</f>
        <v>1011.1639222059375</v>
      </c>
      <c r="U36" s="1">
        <f>T36*2/VLOOKUP(J36,eq!$D$2:$G$42,4,)</f>
        <v>18384.798585562501</v>
      </c>
      <c r="V36" s="1">
        <f t="shared" si="4"/>
        <v>2022.327844411875</v>
      </c>
      <c r="W36" s="1" cm="1">
        <f t="array" ref="W36">IF(LEFT(J36,1)="S",eval_S/2,((3.141593*Q36/32)*((K36/100+L36/100)^2+(M36/100+N36/100)^2))*1000000*VLOOKUP(J36,eq!$D$2:$G$42,4,)/2)</f>
        <v>1011.1639222059372</v>
      </c>
      <c r="X36" s="1">
        <f>((3.141593*Q36/32)*((K36+L36)^2+(M36+N36)^2))*1000000*VLOOKUP(J36,eq!$D$2:$G$42,4,)/2</f>
        <v>10111639.222059373</v>
      </c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ht="15.75" customHeight="1">
      <c r="A37" s="1" t="s">
        <v>16</v>
      </c>
      <c r="B37" s="4">
        <v>13</v>
      </c>
      <c r="C37" s="6" t="s">
        <v>23</v>
      </c>
      <c r="D37" s="1" t="s">
        <v>15</v>
      </c>
      <c r="E37" s="4" t="s">
        <v>13</v>
      </c>
      <c r="F37" s="4" t="str">
        <f t="shared" si="0"/>
        <v>GM_13_CTRL_B1</v>
      </c>
      <c r="G37" s="4" t="s">
        <v>8</v>
      </c>
      <c r="H37" s="4" t="s">
        <v>9</v>
      </c>
      <c r="I37" s="4">
        <v>5</v>
      </c>
      <c r="J37" s="4" t="str">
        <f t="shared" si="1"/>
        <v>F_5_NA</v>
      </c>
      <c r="K37" s="4">
        <v>10</v>
      </c>
      <c r="L37" s="4">
        <v>12</v>
      </c>
      <c r="M37" s="4">
        <v>11</v>
      </c>
      <c r="N37" s="4">
        <v>13</v>
      </c>
      <c r="O37" s="4">
        <v>1.36</v>
      </c>
      <c r="P37" s="4"/>
      <c r="Q37" s="4" t="str">
        <f t="shared" si="5"/>
        <v>1.36</v>
      </c>
      <c r="R37" s="4" t="str">
        <f>VLOOKUP(J37,eq!$D$2:$K$42,8,)</f>
        <v>((pi*X2*100/32)*((a+b)^2 + (c+d)^2))*0.11</v>
      </c>
      <c r="S37" s="4" t="str">
        <f t="shared" si="3"/>
        <v>((3.141593*1.36*100/32)*((10+12)^2 + (11+13)^2))*0.11</v>
      </c>
      <c r="T37" s="4" cm="1">
        <f t="array" ref="T37">eval_dw/2</f>
        <v>778.40820557500001</v>
      </c>
      <c r="U37" s="1">
        <f>T37*2/VLOOKUP(J37,eq!$D$2:$G$42,4,)</f>
        <v>14152.876464999999</v>
      </c>
      <c r="V37" s="1">
        <f t="shared" si="4"/>
        <v>1556.81641115</v>
      </c>
      <c r="W37" s="1" cm="1">
        <f t="array" ref="W37">IF(LEFT(J37,1)="S",eval_S/2,((3.141593*Q37/32)*((K37/100+L37/100)^2+(M37/100+N37/100)^2))*1000000*VLOOKUP(J37,eq!$D$2:$G$42,4,)/2)</f>
        <v>778.40820557500012</v>
      </c>
      <c r="X37" s="1">
        <f>((3.141593*Q37/32)*((K37+L37)^2+(M37+N37)^2))*1000000*VLOOKUP(J37,eq!$D$2:$G$42,4,)/2</f>
        <v>7784082.0557500003</v>
      </c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ht="15.75" customHeight="1">
      <c r="A38" s="1" t="s">
        <v>16</v>
      </c>
      <c r="B38" s="4">
        <v>13</v>
      </c>
      <c r="C38" s="6" t="s">
        <v>23</v>
      </c>
      <c r="D38" s="1" t="s">
        <v>15</v>
      </c>
      <c r="E38" s="4" t="s">
        <v>7</v>
      </c>
      <c r="F38" s="4" t="str">
        <f t="shared" si="0"/>
        <v>GM_13_CTRL_B2</v>
      </c>
      <c r="G38" s="4" t="s">
        <v>8</v>
      </c>
      <c r="H38" s="4" t="s">
        <v>8</v>
      </c>
      <c r="I38" s="4" t="s">
        <v>8</v>
      </c>
      <c r="J38" s="4" t="str">
        <f t="shared" si="1"/>
        <v>NA_NA_NA</v>
      </c>
      <c r="K38" s="4"/>
      <c r="L38" s="4"/>
      <c r="M38" s="4"/>
      <c r="N38" s="4"/>
      <c r="O38" s="4"/>
      <c r="P38" s="4"/>
      <c r="Q38" s="4" t="str">
        <f t="shared" si="5"/>
        <v/>
      </c>
      <c r="R38" s="4">
        <f>VLOOKUP(J38,eq!$D$2:$K$42,8,)</f>
        <v>0</v>
      </c>
      <c r="S38" s="4" t="str">
        <f t="shared" si="3"/>
        <v>0</v>
      </c>
      <c r="T38" s="4" cm="1">
        <f t="array" ref="T38">eval_dw/2</f>
        <v>0</v>
      </c>
      <c r="U38" s="1" t="e">
        <f>T38*2/VLOOKUP(J38,eq!$D$2:$G$42,4,)</f>
        <v>#DIV/0!</v>
      </c>
      <c r="V38" s="1">
        <f t="shared" si="4"/>
        <v>0</v>
      </c>
      <c r="W38" s="1" t="e" cm="1">
        <f t="array" ref="W38">IF(LEFT(J38,1)="S",eval_S/2,((3.141593*Q38/32)*((K38/100+L38/100)^2+(M38/100+N38/100)^2))*1000000*VLOOKUP(J38,eq!$D$2:$G$42,4,)/2)</f>
        <v>#VALUE!</v>
      </c>
      <c r="X38" s="1" t="e">
        <f>((3.141593*Q38/32)*((K38+L38)^2+(M38+N38)^2))*1000000*VLOOKUP(J38,eq!$D$2:$G$42,4,)/2</f>
        <v>#VALUE!</v>
      </c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15.75" customHeight="1">
      <c r="A39" s="1" t="s">
        <v>16</v>
      </c>
      <c r="B39" s="4">
        <v>13</v>
      </c>
      <c r="C39" s="6" t="s">
        <v>23</v>
      </c>
      <c r="D39" s="1" t="s">
        <v>15</v>
      </c>
      <c r="E39" s="4" t="s">
        <v>12</v>
      </c>
      <c r="F39" s="4" t="str">
        <f t="shared" si="0"/>
        <v>GM_13_CTRL_B3</v>
      </c>
      <c r="G39" s="4" t="s">
        <v>31</v>
      </c>
      <c r="H39" s="4" t="s">
        <v>9</v>
      </c>
      <c r="I39" s="4">
        <v>4</v>
      </c>
      <c r="J39" s="4" t="str">
        <f t="shared" si="1"/>
        <v>F_4_H</v>
      </c>
      <c r="K39" s="4">
        <v>19</v>
      </c>
      <c r="L39" s="4">
        <v>20</v>
      </c>
      <c r="M39" s="4">
        <v>18</v>
      </c>
      <c r="N39" s="4">
        <v>19</v>
      </c>
      <c r="O39" s="4">
        <v>1.43</v>
      </c>
      <c r="P39" s="4"/>
      <c r="Q39" s="4" t="str">
        <f t="shared" si="5"/>
        <v>1.43</v>
      </c>
      <c r="R39" s="4" t="str">
        <f>VLOOKUP(J39,eq!$D$2:$K$42,8,)</f>
        <v>((pi*X2*100/32)*((a+b)^2 + (c+d)^2))*0.13</v>
      </c>
      <c r="S39" s="4" t="str">
        <f t="shared" si="3"/>
        <v>((3.141593*1.43*100/32)*((19+20)^2 + (18+19)^2))*0.13</v>
      </c>
      <c r="T39" s="4" cm="1">
        <f t="array" ref="T39">eval_dw/2</f>
        <v>2637.2249700671873</v>
      </c>
      <c r="U39" s="1">
        <f>T39*2/VLOOKUP(J39,eq!$D$2:$G$42,4,)</f>
        <v>40572.691847187496</v>
      </c>
      <c r="V39" s="1">
        <f t="shared" si="4"/>
        <v>5274.4499401343746</v>
      </c>
      <c r="W39" s="1" cm="1">
        <f t="array" ref="W39">IF(LEFT(J39,1)="S",eval_S/2,((3.141593*Q39/32)*((K39/100+L39/100)^2+(M39/100+N39/100)^2))*1000000*VLOOKUP(J39,eq!$D$2:$G$42,4,)/2)</f>
        <v>2637.2249700671878</v>
      </c>
      <c r="X39" s="1">
        <f>((3.141593*Q39/32)*((K39+L39)^2+(M39+N39)^2))*1000000*VLOOKUP(J39,eq!$D$2:$G$42,4,)/2</f>
        <v>26372249.700671874</v>
      </c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15.75" customHeight="1">
      <c r="A40" s="1" t="s">
        <v>16</v>
      </c>
      <c r="B40" s="4">
        <v>13</v>
      </c>
      <c r="C40" s="6" t="s">
        <v>23</v>
      </c>
      <c r="D40" s="1" t="s">
        <v>15</v>
      </c>
      <c r="E40" s="4" t="s">
        <v>10</v>
      </c>
      <c r="F40" s="4" t="str">
        <f t="shared" si="0"/>
        <v>GM_13_CTRL_B4</v>
      </c>
      <c r="G40" s="4" t="s">
        <v>8</v>
      </c>
      <c r="H40" s="4" t="s">
        <v>32</v>
      </c>
      <c r="I40" s="4">
        <v>4</v>
      </c>
      <c r="J40" s="4" t="str">
        <f t="shared" si="1"/>
        <v>T_4_NA</v>
      </c>
      <c r="K40" s="4">
        <v>11</v>
      </c>
      <c r="L40" s="4">
        <v>10</v>
      </c>
      <c r="M40" s="4">
        <v>11</v>
      </c>
      <c r="N40" s="4">
        <v>10</v>
      </c>
      <c r="O40" s="4"/>
      <c r="P40" s="4">
        <v>0.56000000000000005</v>
      </c>
      <c r="Q40" s="4" t="str">
        <f t="shared" si="5"/>
        <v>0.56</v>
      </c>
      <c r="R40" s="4" t="str">
        <f>VLOOKUP(J40,eq!$D$2:$K$42,8,)</f>
        <v>((pi*X2*100/32)*((a+b)^2 + (c+d)^2))*0.25</v>
      </c>
      <c r="S40" s="4" t="str">
        <f t="shared" si="3"/>
        <v>((3.141593*0.56*100/32)*((11+10)^2 + (11+10)^2))*0.25</v>
      </c>
      <c r="T40" s="4" cm="1">
        <f t="array" ref="T40">eval_dw/2</f>
        <v>606.1310994375001</v>
      </c>
      <c r="U40" s="1">
        <f>T40*2/VLOOKUP(J40,eq!$D$2:$G$42,4,)</f>
        <v>4849.0487955000008</v>
      </c>
      <c r="V40" s="1">
        <f t="shared" si="4"/>
        <v>1212.2621988750002</v>
      </c>
      <c r="W40" s="1" cm="1">
        <f t="array" ref="W40">IF(LEFT(J40,1)="S",eval_S/2,((3.141593*Q40/32)*((K40/100+L40/100)^2+(M40/100+N40/100)^2))*1000000*VLOOKUP(J40,eq!$D$2:$G$42,4,)/2)</f>
        <v>606.1310994375001</v>
      </c>
      <c r="X40" s="1">
        <f>((3.141593*Q40/32)*((K40+L40)^2+(M40+N40)^2))*1000000*VLOOKUP(J40,eq!$D$2:$G$42,4,)/2</f>
        <v>6061310.9943749998</v>
      </c>
      <c r="Y40" s="1"/>
      <c r="Z40" s="1"/>
      <c r="AA40" s="1"/>
      <c r="AB40" s="1"/>
      <c r="AC40" s="1"/>
      <c r="AD40" s="1"/>
      <c r="AE40" s="1"/>
      <c r="AF40" s="1"/>
      <c r="AG40" s="1"/>
      <c r="AH40" s="1"/>
    </row>
    <row r="41" spans="1:34" ht="15.75" customHeight="1">
      <c r="A41" s="1" t="s">
        <v>16</v>
      </c>
      <c r="B41" s="4">
        <v>13</v>
      </c>
      <c r="C41" s="6" t="s">
        <v>23</v>
      </c>
      <c r="D41" s="1" t="s">
        <v>15</v>
      </c>
      <c r="E41" s="4" t="s">
        <v>10</v>
      </c>
      <c r="F41" s="4" t="str">
        <f t="shared" si="0"/>
        <v>GM_13_CTRL_B4</v>
      </c>
      <c r="G41" s="4" t="s">
        <v>8</v>
      </c>
      <c r="H41" s="4" t="s">
        <v>9</v>
      </c>
      <c r="I41" s="4">
        <v>3</v>
      </c>
      <c r="J41" s="4" t="str">
        <f t="shared" si="1"/>
        <v>F_3_NA</v>
      </c>
      <c r="K41" s="4">
        <v>11</v>
      </c>
      <c r="L41" s="4">
        <v>10</v>
      </c>
      <c r="M41" s="4">
        <v>10</v>
      </c>
      <c r="N41" s="4">
        <v>10</v>
      </c>
      <c r="O41" s="4">
        <v>1.47</v>
      </c>
      <c r="P41" s="7"/>
      <c r="Q41" s="4" t="str">
        <f t="shared" si="5"/>
        <v>1.47</v>
      </c>
      <c r="R41" s="4" t="str">
        <f>VLOOKUP(J41,eq!$D$2:$K$42,8,)</f>
        <v>((pi*X2*100/32)*((a+b)^2 + (c+d)^2))*0.26</v>
      </c>
      <c r="S41" s="4" t="str">
        <f t="shared" si="3"/>
        <v>((3.141593*1.47*100/32)*((11+10)^2 + (10+10)^2))*0.26</v>
      </c>
      <c r="T41" s="4" cm="1">
        <f t="array" ref="T41">eval_dw/2</f>
        <v>1577.8169786071876</v>
      </c>
      <c r="U41" s="1">
        <f>T41*2/VLOOKUP(J41,eq!$D$2:$G$42,4,)</f>
        <v>12137.05368159375</v>
      </c>
      <c r="V41" s="1">
        <f t="shared" si="4"/>
        <v>3155.6339572143752</v>
      </c>
      <c r="W41" s="1" cm="1">
        <f t="array" ref="W41">IF(LEFT(J41,1)="S",eval_S/2,((3.141593*Q41/32)*((K41/100+L41/100)^2+(M41/100+N41/100)^2))*1000000*VLOOKUP(J41,eq!$D$2:$G$42,4,)/2)</f>
        <v>1577.8169786071876</v>
      </c>
      <c r="X41" s="1">
        <f>((3.141593*Q41/32)*((K41+L41)^2+(M41+N41)^2))*1000000*VLOOKUP(J41,eq!$D$2:$G$42,4,)/2</f>
        <v>15778169.786071876</v>
      </c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spans="1:34" ht="15.75" customHeight="1">
      <c r="A42" s="1" t="s">
        <v>16</v>
      </c>
      <c r="B42" s="4">
        <v>13</v>
      </c>
      <c r="C42" s="6" t="s">
        <v>22</v>
      </c>
      <c r="D42" s="1" t="s">
        <v>15</v>
      </c>
      <c r="E42" s="4" t="s">
        <v>13</v>
      </c>
      <c r="F42" s="4" t="str">
        <f t="shared" si="0"/>
        <v>GM_13_EX_B1</v>
      </c>
      <c r="G42" s="4" t="s">
        <v>8</v>
      </c>
      <c r="H42" s="4" t="s">
        <v>8</v>
      </c>
      <c r="I42" s="4" t="s">
        <v>8</v>
      </c>
      <c r="J42" s="4" t="str">
        <f t="shared" si="1"/>
        <v>NA_NA_NA</v>
      </c>
      <c r="K42" s="4"/>
      <c r="L42" s="4"/>
      <c r="M42" s="4"/>
      <c r="N42" s="4"/>
      <c r="O42" s="4"/>
      <c r="P42" s="4"/>
      <c r="Q42" s="4" t="str">
        <f t="shared" si="5"/>
        <v/>
      </c>
      <c r="R42" s="4">
        <f>VLOOKUP(J42,eq!$D$2:$K$42,8,)</f>
        <v>0</v>
      </c>
      <c r="S42" s="4" t="str">
        <f t="shared" si="3"/>
        <v>0</v>
      </c>
      <c r="T42" s="4" cm="1">
        <f t="array" ref="T42">eval_dw/2</f>
        <v>0</v>
      </c>
      <c r="U42" s="1" t="e">
        <f>T42*2/VLOOKUP(J42,eq!$D$2:$G$42,4,)</f>
        <v>#DIV/0!</v>
      </c>
      <c r="V42" s="1">
        <f t="shared" si="4"/>
        <v>0</v>
      </c>
      <c r="W42" s="1" t="e" cm="1">
        <f t="array" ref="W42">IF(LEFT(J42,1)="S",eval_S/2,((3.141593*Q42/32)*((K42/100+L42/100)^2+(M42/100+N42/100)^2))*1000000*VLOOKUP(J42,eq!$D$2:$G$42,4,)/2)</f>
        <v>#VALUE!</v>
      </c>
      <c r="X42" s="1" t="e">
        <f>((3.141593*Q42/32)*((K42+L42)^2+(M42+N42)^2))*1000000*VLOOKUP(J42,eq!$D$2:$G$42,4,)/2</f>
        <v>#VALUE!</v>
      </c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ht="15.75" customHeight="1">
      <c r="A43" s="1" t="s">
        <v>16</v>
      </c>
      <c r="B43" s="4">
        <v>13</v>
      </c>
      <c r="C43" s="6" t="s">
        <v>22</v>
      </c>
      <c r="D43" s="1" t="s">
        <v>15</v>
      </c>
      <c r="E43" s="4" t="s">
        <v>7</v>
      </c>
      <c r="F43" s="4" t="str">
        <f t="shared" si="0"/>
        <v>GM_13_EX_B2</v>
      </c>
      <c r="G43" s="4" t="s">
        <v>8</v>
      </c>
      <c r="H43" s="4" t="s">
        <v>32</v>
      </c>
      <c r="I43" s="4">
        <v>5</v>
      </c>
      <c r="J43" s="4" t="str">
        <f t="shared" si="1"/>
        <v>T_5_NA</v>
      </c>
      <c r="K43" s="4">
        <v>26</v>
      </c>
      <c r="L43" s="4">
        <v>26</v>
      </c>
      <c r="M43" s="4">
        <v>26</v>
      </c>
      <c r="N43" s="4">
        <v>26</v>
      </c>
      <c r="O43" s="4"/>
      <c r="P43" s="4">
        <v>1</v>
      </c>
      <c r="Q43" s="4" t="str">
        <f t="shared" si="5"/>
        <v>1</v>
      </c>
      <c r="R43" s="4" t="str">
        <f>VLOOKUP(J43,eq!$D$2:$K$42,8,)</f>
        <v>((pi*X2*100/32)*((a+b)^2 + (c+d)^2))*0.25</v>
      </c>
      <c r="S43" s="4" t="str">
        <f t="shared" si="3"/>
        <v>((3.141593*1*100/32)*((26+26)^2 + (26+26)^2))*0.25</v>
      </c>
      <c r="T43" s="4" cm="1">
        <f t="array" ref="T43">eval_dw/2</f>
        <v>6636.6152124999999</v>
      </c>
      <c r="U43" s="1">
        <f>T43*2/VLOOKUP(J43,eq!$D$2:$G$42,4,)</f>
        <v>53092.921699999999</v>
      </c>
      <c r="V43" s="1">
        <f t="shared" si="4"/>
        <v>13273.230425</v>
      </c>
      <c r="W43" s="1" cm="1">
        <f t="array" ref="W43">IF(LEFT(J43,1)="S",eval_S/2,((3.141593*Q43/32)*((K43/100+L43/100)^2+(M43/100+N43/100)^2))*1000000*VLOOKUP(J43,eq!$D$2:$G$42,4,)/2)</f>
        <v>6636.6152125000008</v>
      </c>
      <c r="X43" s="1">
        <f>((3.141593*Q43/32)*((K43+L43)^2+(M43+N43)^2))*1000000*VLOOKUP(J43,eq!$D$2:$G$42,4,)/2</f>
        <v>66366152.125</v>
      </c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5.75" customHeight="1">
      <c r="A44" s="1" t="s">
        <v>16</v>
      </c>
      <c r="B44" s="4">
        <v>13</v>
      </c>
      <c r="C44" s="6" t="s">
        <v>22</v>
      </c>
      <c r="D44" s="1" t="s">
        <v>15</v>
      </c>
      <c r="E44" s="4" t="s">
        <v>7</v>
      </c>
      <c r="F44" s="4" t="str">
        <f t="shared" si="0"/>
        <v>GM_13_EX_B2</v>
      </c>
      <c r="G44" s="4" t="s">
        <v>8</v>
      </c>
      <c r="H44" s="4" t="s">
        <v>32</v>
      </c>
      <c r="I44" s="4">
        <v>5</v>
      </c>
      <c r="J44" s="4" t="str">
        <f t="shared" si="1"/>
        <v>T_5_NA</v>
      </c>
      <c r="K44" s="4">
        <v>26</v>
      </c>
      <c r="L44" s="4">
        <v>32</v>
      </c>
      <c r="M44" s="4">
        <v>26</v>
      </c>
      <c r="N44" s="4">
        <v>32</v>
      </c>
      <c r="O44" s="4"/>
      <c r="P44" s="4">
        <v>0.7</v>
      </c>
      <c r="Q44" s="4" t="str">
        <f t="shared" si="5"/>
        <v>0.7</v>
      </c>
      <c r="R44" s="4" t="str">
        <f>VLOOKUP(J44,eq!$D$2:$K$42,8,)</f>
        <v>((pi*X2*100/32)*((a+b)^2 + (c+d)^2))*0.25</v>
      </c>
      <c r="S44" s="4" t="str">
        <f t="shared" si="3"/>
        <v>((3.141593*0.7*100/32)*((26+32)^2 + (26+32)^2))*0.25</v>
      </c>
      <c r="T44" s="4" cm="1">
        <f t="array" ref="T44">eval_dw/2</f>
        <v>5779.5493721874991</v>
      </c>
      <c r="U44" s="1">
        <f>T44*2/VLOOKUP(J44,eq!$D$2:$G$42,4,)</f>
        <v>46236.394977499993</v>
      </c>
      <c r="V44" s="1">
        <f t="shared" si="4"/>
        <v>11559.098744374998</v>
      </c>
      <c r="W44" s="1" cm="1">
        <f t="array" ref="W44">IF(LEFT(J44,1)="S",eval_S/2,((3.141593*Q44/32)*((K44/100+L44/100)^2+(M44/100+N44/100)^2))*1000000*VLOOKUP(J44,eq!$D$2:$G$42,4,)/2)</f>
        <v>5779.5493721875009</v>
      </c>
      <c r="X44" s="1">
        <f>((3.141593*Q44/32)*((K44+L44)^2+(M44+N44)^2))*1000000*VLOOKUP(J44,eq!$D$2:$G$42,4,)/2</f>
        <v>57795493.72187499</v>
      </c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5.75" customHeight="1">
      <c r="A45" s="1" t="s">
        <v>16</v>
      </c>
      <c r="B45" s="4">
        <v>13</v>
      </c>
      <c r="C45" s="6" t="s">
        <v>22</v>
      </c>
      <c r="D45" s="1" t="s">
        <v>15</v>
      </c>
      <c r="E45" s="4" t="s">
        <v>12</v>
      </c>
      <c r="F45" s="4" t="str">
        <f t="shared" si="0"/>
        <v>GM_13_EX_B3</v>
      </c>
      <c r="G45" s="4" t="s">
        <v>8</v>
      </c>
      <c r="H45" s="4" t="s">
        <v>32</v>
      </c>
      <c r="I45" s="4">
        <v>5</v>
      </c>
      <c r="J45" s="4" t="str">
        <f t="shared" si="1"/>
        <v>T_5_NA</v>
      </c>
      <c r="K45" s="4">
        <v>31</v>
      </c>
      <c r="L45" s="4">
        <v>32</v>
      </c>
      <c r="M45" s="4">
        <v>31</v>
      </c>
      <c r="N45" s="4">
        <v>32</v>
      </c>
      <c r="O45" s="4"/>
      <c r="P45" s="4">
        <v>0.55000000000000004</v>
      </c>
      <c r="Q45" s="4" t="str">
        <f t="shared" si="5"/>
        <v>0.55</v>
      </c>
      <c r="R45" s="4" t="str">
        <f>VLOOKUP(J45,eq!$D$2:$K$42,8,)</f>
        <v>((pi*X2*100/32)*((a+b)^2 + (c+d)^2))*0.25</v>
      </c>
      <c r="S45" s="4" t="str">
        <f t="shared" si="3"/>
        <v>((3.141593*0.55*100/32)*((31+32)^2 + (31+32)^2))*0.25</v>
      </c>
      <c r="T45" s="4" cm="1">
        <f t="array" ref="T45">eval_dw/2</f>
        <v>5357.7659682421881</v>
      </c>
      <c r="U45" s="1">
        <f>T45*2/VLOOKUP(J45,eq!$D$2:$G$42,4,)</f>
        <v>42862.127745937505</v>
      </c>
      <c r="V45" s="1">
        <f t="shared" si="4"/>
        <v>10715.531936484376</v>
      </c>
      <c r="W45" s="1" cm="1">
        <f t="array" ref="W45">IF(LEFT(J45,1)="S",eval_S/2,((3.141593*Q45/32)*((K45/100+L45/100)^2+(M45/100+N45/100)^2))*1000000*VLOOKUP(J45,eq!$D$2:$G$42,4,)/2)</f>
        <v>5357.7659682421881</v>
      </c>
      <c r="X45" s="1">
        <f>((3.141593*Q45/32)*((K45+L45)^2+(M45+N45)^2))*1000000*VLOOKUP(J45,eq!$D$2:$G$42,4,)/2</f>
        <v>53577659.682421878</v>
      </c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5.75" customHeight="1">
      <c r="A46" s="1" t="s">
        <v>16</v>
      </c>
      <c r="B46" s="4">
        <v>14</v>
      </c>
      <c r="C46" s="1" t="s">
        <v>8</v>
      </c>
      <c r="D46" s="1" t="s">
        <v>15</v>
      </c>
      <c r="E46" s="4" t="s">
        <v>13</v>
      </c>
      <c r="F46" s="4" t="str">
        <f t="shared" si="0"/>
        <v>GM_14_NA_B1</v>
      </c>
      <c r="G46" s="4" t="s">
        <v>31</v>
      </c>
      <c r="H46" s="4" t="s">
        <v>9</v>
      </c>
      <c r="I46" s="4">
        <v>4</v>
      </c>
      <c r="J46" s="4" t="str">
        <f t="shared" si="1"/>
        <v>F_4_H</v>
      </c>
      <c r="K46" s="4">
        <v>29</v>
      </c>
      <c r="L46" s="4">
        <v>23</v>
      </c>
      <c r="M46" s="4">
        <v>24</v>
      </c>
      <c r="N46" s="4">
        <v>25</v>
      </c>
      <c r="O46" s="4">
        <v>0.84</v>
      </c>
      <c r="P46" s="4"/>
      <c r="Q46" s="4" t="str">
        <f t="shared" si="5"/>
        <v>0.84</v>
      </c>
      <c r="R46" s="4" t="str">
        <f>VLOOKUP(J46,eq!$D$2:$K$42,8,)</f>
        <v>((pi*X2*100/32)*((a+b)^2 + (c+d)^2))*0.13</v>
      </c>
      <c r="S46" s="4" t="str">
        <f t="shared" si="3"/>
        <v>((3.141593*0.84*100/32)*((29+23)^2 + (24+25)^2))*0.13</v>
      </c>
      <c r="T46" s="4" cm="1">
        <f t="array" ref="T46">eval_dw/2</f>
        <v>2736.4551302156246</v>
      </c>
      <c r="U46" s="1">
        <f>T46*2/VLOOKUP(J46,eq!$D$2:$G$42,4,)</f>
        <v>42099.309695624994</v>
      </c>
      <c r="V46" s="1">
        <f t="shared" si="4"/>
        <v>5472.9102604312493</v>
      </c>
      <c r="W46" s="1" cm="1">
        <f t="array" ref="W46">IF(LEFT(J46,1)="S",eval_S/2,((3.141593*Q46/32)*((K46/100+L46/100)^2+(M46/100+N46/100)^2))*1000000*VLOOKUP(J46,eq!$D$2:$G$42,4,)/2)</f>
        <v>2736.4551302156242</v>
      </c>
      <c r="X46" s="1">
        <f>((3.141593*Q46/32)*((K46+L46)^2+(M46+N46)^2))*1000000*VLOOKUP(J46,eq!$D$2:$G$42,4,)/2</f>
        <v>27364551.302156247</v>
      </c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5.75" customHeight="1">
      <c r="A47" s="1" t="s">
        <v>16</v>
      </c>
      <c r="B47" s="4">
        <v>14</v>
      </c>
      <c r="C47" s="1" t="s">
        <v>8</v>
      </c>
      <c r="D47" s="1" t="s">
        <v>15</v>
      </c>
      <c r="E47" s="4" t="s">
        <v>7</v>
      </c>
      <c r="F47" s="4" t="str">
        <f t="shared" si="0"/>
        <v>GM_14_NA_B2</v>
      </c>
      <c r="G47" s="4" t="s">
        <v>8</v>
      </c>
      <c r="H47" s="4" t="s">
        <v>8</v>
      </c>
      <c r="I47" s="4" t="s">
        <v>8</v>
      </c>
      <c r="J47" s="4" t="str">
        <f t="shared" si="1"/>
        <v>NA_NA_NA</v>
      </c>
      <c r="K47" s="4"/>
      <c r="L47" s="4"/>
      <c r="M47" s="4"/>
      <c r="N47" s="4"/>
      <c r="O47" s="4"/>
      <c r="P47" s="4"/>
      <c r="Q47" s="4" t="str">
        <f t="shared" si="5"/>
        <v/>
      </c>
      <c r="R47" s="4">
        <f>VLOOKUP(J47,eq!$D$2:$K$42,8,)</f>
        <v>0</v>
      </c>
      <c r="S47" s="4" t="str">
        <f t="shared" si="3"/>
        <v>0</v>
      </c>
      <c r="T47" s="4" cm="1">
        <f t="array" ref="T47">eval_dw/2</f>
        <v>0</v>
      </c>
      <c r="U47" s="1" t="e">
        <f>T47*2/VLOOKUP(J47,eq!$D$2:$G$42,4,)</f>
        <v>#DIV/0!</v>
      </c>
      <c r="V47" s="1">
        <f t="shared" si="4"/>
        <v>0</v>
      </c>
      <c r="W47" s="1" t="e" cm="1">
        <f t="array" ref="W47">IF(LEFT(J47,1)="S",eval_S/2,((3.141593*Q47/32)*((K47/100+L47/100)^2+(M47/100+N47/100)^2))*1000000*VLOOKUP(J47,eq!$D$2:$G$42,4,)/2)</f>
        <v>#VALUE!</v>
      </c>
      <c r="X47" s="1" t="e">
        <f>((3.141593*Q47/32)*((K47+L47)^2+(M47+N47)^2))*1000000*VLOOKUP(J47,eq!$D$2:$G$42,4,)/2</f>
        <v>#VALUE!</v>
      </c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5.75" customHeight="1">
      <c r="A48" s="1" t="s">
        <v>16</v>
      </c>
      <c r="B48" s="4">
        <v>14</v>
      </c>
      <c r="C48" s="1" t="s">
        <v>8</v>
      </c>
      <c r="D48" s="1" t="s">
        <v>15</v>
      </c>
      <c r="E48" s="4" t="s">
        <v>12</v>
      </c>
      <c r="F48" s="4" t="str">
        <f t="shared" si="0"/>
        <v>GM_14_NA_B3</v>
      </c>
      <c r="G48" s="4" t="s">
        <v>8</v>
      </c>
      <c r="H48" s="4" t="s">
        <v>8</v>
      </c>
      <c r="I48" s="4" t="s">
        <v>8</v>
      </c>
      <c r="J48" s="4" t="str">
        <f t="shared" si="1"/>
        <v>NA_NA_NA</v>
      </c>
      <c r="K48" s="4"/>
      <c r="L48" s="4"/>
      <c r="M48" s="4"/>
      <c r="N48" s="4"/>
      <c r="O48" s="4"/>
      <c r="P48" s="4"/>
      <c r="Q48" s="4" t="str">
        <f t="shared" si="5"/>
        <v/>
      </c>
      <c r="R48" s="4">
        <f>VLOOKUP(J48,eq!$D$2:$K$42,8,)</f>
        <v>0</v>
      </c>
      <c r="S48" s="4" t="str">
        <f t="shared" si="3"/>
        <v>0</v>
      </c>
      <c r="T48" s="4" cm="1">
        <f t="array" ref="T48">eval_dw/2</f>
        <v>0</v>
      </c>
      <c r="U48" s="1" t="e">
        <f>T48*2/VLOOKUP(J48,eq!$D$2:$G$42,4,)</f>
        <v>#DIV/0!</v>
      </c>
      <c r="V48" s="1">
        <f t="shared" si="4"/>
        <v>0</v>
      </c>
      <c r="W48" s="1" t="e" cm="1">
        <f t="array" ref="W48">IF(LEFT(J48,1)="S",eval_S/2,((3.141593*Q48/32)*((K48/100+L48/100)^2+(M48/100+N48/100)^2))*1000000*VLOOKUP(J48,eq!$D$2:$G$42,4,)/2)</f>
        <v>#VALUE!</v>
      </c>
      <c r="X48" s="1" t="e">
        <f>((3.141593*Q48/32)*((K48+L48)^2+(M48+N48)^2))*1000000*VLOOKUP(J48,eq!$D$2:$G$42,4,)/2</f>
        <v>#VALUE!</v>
      </c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5.75" customHeight="1">
      <c r="A49" s="1" t="s">
        <v>16</v>
      </c>
      <c r="B49" s="4">
        <v>14</v>
      </c>
      <c r="C49" s="1" t="s">
        <v>8</v>
      </c>
      <c r="D49" s="1" t="s">
        <v>15</v>
      </c>
      <c r="E49" s="4" t="s">
        <v>10</v>
      </c>
      <c r="F49" s="4" t="str">
        <f t="shared" si="0"/>
        <v>GM_14_NA_B4</v>
      </c>
      <c r="G49" s="4" t="s">
        <v>8</v>
      </c>
      <c r="H49" s="4" t="s">
        <v>8</v>
      </c>
      <c r="I49" s="4" t="s">
        <v>8</v>
      </c>
      <c r="J49" s="4" t="str">
        <f t="shared" si="1"/>
        <v>NA_NA_NA</v>
      </c>
      <c r="K49" s="4"/>
      <c r="L49" s="4"/>
      <c r="M49" s="4"/>
      <c r="N49" s="4"/>
      <c r="O49" s="4"/>
      <c r="P49" s="4"/>
      <c r="Q49" s="4" t="str">
        <f t="shared" si="5"/>
        <v/>
      </c>
      <c r="R49" s="4">
        <f>VLOOKUP(J49,eq!$D$2:$K$42,8,)</f>
        <v>0</v>
      </c>
      <c r="S49" s="4" t="str">
        <f t="shared" si="3"/>
        <v>0</v>
      </c>
      <c r="T49" s="4" cm="1">
        <f t="array" ref="T49">eval_dw/2</f>
        <v>0</v>
      </c>
      <c r="U49" s="1" t="e">
        <f>T49*2/VLOOKUP(J49,eq!$D$2:$G$42,4,)</f>
        <v>#DIV/0!</v>
      </c>
      <c r="V49" s="1">
        <f t="shared" si="4"/>
        <v>0</v>
      </c>
      <c r="W49" s="1" t="e" cm="1">
        <f t="array" ref="W49">IF(LEFT(J49,1)="S",eval_S/2,((3.141593*Q49/32)*((K49/100+L49/100)^2+(M49/100+N49/100)^2))*1000000*VLOOKUP(J49,eq!$D$2:$G$42,4,)/2)</f>
        <v>#VALUE!</v>
      </c>
      <c r="X49" s="1" t="e">
        <f>((3.141593*Q49/32)*((K49+L49)^2+(M49+N49)^2))*1000000*VLOOKUP(J49,eq!$D$2:$G$42,4,)/2</f>
        <v>#VALUE!</v>
      </c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5.75" customHeight="1">
      <c r="A50" s="1" t="s">
        <v>16</v>
      </c>
      <c r="B50" s="4">
        <v>15</v>
      </c>
      <c r="C50" s="1" t="s">
        <v>8</v>
      </c>
      <c r="D50" s="1" t="s">
        <v>15</v>
      </c>
      <c r="E50" s="4" t="s">
        <v>13</v>
      </c>
      <c r="F50" s="4" t="str">
        <f t="shared" si="0"/>
        <v>GM_15_NA_B1</v>
      </c>
      <c r="G50" s="4" t="s">
        <v>31</v>
      </c>
      <c r="H50" s="4" t="s">
        <v>11</v>
      </c>
      <c r="I50" s="4">
        <v>5</v>
      </c>
      <c r="J50" s="4" t="str">
        <f t="shared" si="1"/>
        <v>S_5_H</v>
      </c>
      <c r="K50" s="4">
        <v>26</v>
      </c>
      <c r="L50" s="4"/>
      <c r="M50" s="4"/>
      <c r="N50" s="4"/>
      <c r="O50" s="4"/>
      <c r="P50" s="4">
        <v>6</v>
      </c>
      <c r="Q50" s="4" t="str">
        <f t="shared" si="5"/>
        <v>6</v>
      </c>
      <c r="R50" s="4" t="str">
        <f>VLOOKUP(J50,eq!$D$2:$K$42,8,)</f>
        <v>((0.0000598*((X4^2)*X2)^0.946)*(1.0-0.0019*X4)*1000008)*0.2</v>
      </c>
      <c r="S50" s="4" t="str">
        <f t="shared" si="3"/>
        <v>((0.0000598*((26^2)*6)^0.946)*(1.0-0.0019*26)*1000008)*0.2</v>
      </c>
      <c r="T50" s="4" cm="1">
        <f t="array" ref="T50">eval_dw/2</f>
        <v>14721.87498625405</v>
      </c>
      <c r="U50" s="1">
        <f>T50*2/VLOOKUP(J50,eq!$D$2:$G$42,4,)</f>
        <v>147218.74986254048</v>
      </c>
      <c r="V50" s="1">
        <f t="shared" si="4"/>
        <v>29443.7499725081</v>
      </c>
      <c r="W50" s="1" cm="1">
        <f t="array" ref="W50">IF(LEFT(J50,1)="S",eval_S/2,((3.141593*Q50/32)*((K50/100+L50/100)^2+(M50/100+N50/100)^2))*1000000*VLOOKUP(J50,eq!$D$2:$G$42,4,)/2)</f>
        <v>14721.87498625405</v>
      </c>
      <c r="X50" s="1">
        <f>((3.141593*Q50/32)*((K50+L50)^2+(M50+N50)^2))*1000000*VLOOKUP(J50,eq!$D$2:$G$42,4,)/2</f>
        <v>39819691.274999999</v>
      </c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5.75" customHeight="1">
      <c r="A51" s="1" t="s">
        <v>16</v>
      </c>
      <c r="B51" s="4">
        <v>15</v>
      </c>
      <c r="C51" s="1" t="s">
        <v>8</v>
      </c>
      <c r="D51" s="1" t="s">
        <v>15</v>
      </c>
      <c r="E51" s="4" t="s">
        <v>7</v>
      </c>
      <c r="F51" s="4" t="str">
        <f t="shared" si="0"/>
        <v>GM_15_NA_B2</v>
      </c>
      <c r="G51" s="4" t="s">
        <v>8</v>
      </c>
      <c r="H51" s="4" t="s">
        <v>8</v>
      </c>
      <c r="I51" s="4" t="s">
        <v>8</v>
      </c>
      <c r="J51" s="4" t="str">
        <f t="shared" si="1"/>
        <v>NA_NA_NA</v>
      </c>
      <c r="K51" s="4"/>
      <c r="L51" s="4"/>
      <c r="M51" s="4"/>
      <c r="N51" s="4"/>
      <c r="O51" s="4"/>
      <c r="P51" s="4"/>
      <c r="Q51" s="4"/>
      <c r="R51" s="4">
        <f>VLOOKUP(J51,eq!$D$2:$K$42,8,)</f>
        <v>0</v>
      </c>
      <c r="S51" s="4" t="str">
        <f t="shared" si="3"/>
        <v>0</v>
      </c>
      <c r="T51" s="4" cm="1">
        <f t="array" ref="T51">eval_dw/2</f>
        <v>0</v>
      </c>
      <c r="U51" s="1" t="e">
        <f>T51*2/VLOOKUP(J51,eq!$D$2:$G$42,4,)</f>
        <v>#DIV/0!</v>
      </c>
      <c r="V51" s="1">
        <f t="shared" si="4"/>
        <v>0</v>
      </c>
      <c r="W51" s="1" cm="1">
        <f t="array" ref="W51">IF(LEFT(J51,1)="S",eval_S/2,((3.141593*Q51/32)*((K51/100+L51/100)^2+(M51/100+N51/100)^2))*1000000*VLOOKUP(J51,eq!$D$2:$G$42,4,)/2)</f>
        <v>0</v>
      </c>
      <c r="X51" s="1">
        <f>((3.141593*Q51/32)*((K51+L51)^2+(M51+N51)^2))*1000000*VLOOKUP(J51,eq!$D$2:$G$42,4,)/2</f>
        <v>0</v>
      </c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5.75" customHeight="1">
      <c r="A52" s="1" t="s">
        <v>16</v>
      </c>
      <c r="B52" s="4">
        <v>15</v>
      </c>
      <c r="C52" s="1" t="s">
        <v>8</v>
      </c>
      <c r="D52" s="1" t="s">
        <v>15</v>
      </c>
      <c r="E52" s="4" t="s">
        <v>12</v>
      </c>
      <c r="F52" s="4" t="str">
        <f t="shared" si="0"/>
        <v>GM_15_NA_B3</v>
      </c>
      <c r="G52" s="4" t="s">
        <v>8</v>
      </c>
      <c r="H52" s="4" t="s">
        <v>8</v>
      </c>
      <c r="I52" s="4" t="s">
        <v>8</v>
      </c>
      <c r="J52" s="4" t="str">
        <f t="shared" si="1"/>
        <v>NA_NA_NA</v>
      </c>
      <c r="K52" s="4"/>
      <c r="L52" s="4"/>
      <c r="M52" s="4"/>
      <c r="N52" s="4"/>
      <c r="O52" s="4"/>
      <c r="P52" s="4"/>
      <c r="Q52" s="4" t="str">
        <f t="shared" ref="Q52:Q115" si="6">O52&amp;P52</f>
        <v/>
      </c>
      <c r="R52" s="4">
        <f>VLOOKUP(J52,eq!$D$2:$K$42,8,)</f>
        <v>0</v>
      </c>
      <c r="S52" s="4" t="str">
        <f t="shared" si="3"/>
        <v>0</v>
      </c>
      <c r="T52" s="4" cm="1">
        <f t="array" ref="T52">eval_dw/2</f>
        <v>0</v>
      </c>
      <c r="U52" s="1" t="e">
        <f>T52*2/VLOOKUP(J52,eq!$D$2:$G$42,4,)</f>
        <v>#DIV/0!</v>
      </c>
      <c r="V52" s="1">
        <f t="shared" si="4"/>
        <v>0</v>
      </c>
      <c r="W52" s="1" t="e" cm="1">
        <f t="array" ref="W52">IF(LEFT(J52,1)="S",eval_S/2,((3.141593*Q52/32)*((K52/100+L52/100)^2+(M52/100+N52/100)^2))*1000000*VLOOKUP(J52,eq!$D$2:$G$42,4,)/2)</f>
        <v>#VALUE!</v>
      </c>
      <c r="X52" s="1" t="e">
        <f>((3.141593*Q52/32)*((K52+L52)^2+(M52+N52)^2))*1000000*VLOOKUP(J52,eq!$D$2:$G$42,4,)/2</f>
        <v>#VALUE!</v>
      </c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5.75" customHeight="1">
      <c r="A53" s="1" t="s">
        <v>16</v>
      </c>
      <c r="B53" s="4">
        <v>15</v>
      </c>
      <c r="C53" s="1" t="s">
        <v>8</v>
      </c>
      <c r="D53" s="1" t="s">
        <v>15</v>
      </c>
      <c r="E53" s="4" t="s">
        <v>10</v>
      </c>
      <c r="F53" s="4" t="str">
        <f t="shared" si="0"/>
        <v>GM_15_NA_B4</v>
      </c>
      <c r="G53" s="4" t="s">
        <v>8</v>
      </c>
      <c r="H53" s="4" t="s">
        <v>8</v>
      </c>
      <c r="I53" s="4" t="s">
        <v>8</v>
      </c>
      <c r="J53" s="4" t="str">
        <f t="shared" si="1"/>
        <v>NA_NA_NA</v>
      </c>
      <c r="K53" s="4"/>
      <c r="L53" s="4"/>
      <c r="M53" s="4"/>
      <c r="N53" s="4"/>
      <c r="O53" s="4"/>
      <c r="P53" s="4"/>
      <c r="Q53" s="4" t="str">
        <f t="shared" si="6"/>
        <v/>
      </c>
      <c r="R53" s="4">
        <f>VLOOKUP(J53,eq!$D$2:$K$42,8,)</f>
        <v>0</v>
      </c>
      <c r="S53" s="4" t="str">
        <f t="shared" si="3"/>
        <v>0</v>
      </c>
      <c r="T53" s="4" cm="1">
        <f t="array" ref="T53">eval_dw/2</f>
        <v>0</v>
      </c>
      <c r="U53" s="1" t="e">
        <f>T53*2/VLOOKUP(J53,eq!$D$2:$G$42,4,)</f>
        <v>#DIV/0!</v>
      </c>
      <c r="V53" s="1">
        <f t="shared" si="4"/>
        <v>0</v>
      </c>
      <c r="W53" s="1" t="e" cm="1">
        <f t="array" ref="W53">IF(LEFT(J53,1)="S",eval_S/2,((3.141593*Q53/32)*((K53/100+L53/100)^2+(M53/100+N53/100)^2))*1000000*VLOOKUP(J53,eq!$D$2:$G$42,4,)/2)</f>
        <v>#VALUE!</v>
      </c>
      <c r="X53" s="1" t="e">
        <f>((3.141593*Q53/32)*((K53+L53)^2+(M53+N53)^2))*1000000*VLOOKUP(J53,eq!$D$2:$G$42,4,)/2</f>
        <v>#VALUE!</v>
      </c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5.75" customHeight="1">
      <c r="A54" s="1" t="s">
        <v>16</v>
      </c>
      <c r="B54" s="4">
        <v>16</v>
      </c>
      <c r="C54" s="1" t="s">
        <v>8</v>
      </c>
      <c r="D54" s="1" t="s">
        <v>15</v>
      </c>
      <c r="E54" s="4" t="s">
        <v>13</v>
      </c>
      <c r="F54" s="4" t="str">
        <f t="shared" si="0"/>
        <v>GM_16_NA_B1</v>
      </c>
      <c r="G54" s="4" t="s">
        <v>8</v>
      </c>
      <c r="H54" s="4" t="s">
        <v>11</v>
      </c>
      <c r="I54" s="4">
        <v>2</v>
      </c>
      <c r="J54" s="4" t="str">
        <f t="shared" si="1"/>
        <v>S_2_NA</v>
      </c>
      <c r="K54" s="4">
        <v>30</v>
      </c>
      <c r="L54" s="4"/>
      <c r="M54" s="4"/>
      <c r="N54" s="4"/>
      <c r="O54" s="4"/>
      <c r="P54" s="4">
        <v>6</v>
      </c>
      <c r="Q54" s="4" t="str">
        <f t="shared" si="6"/>
        <v>6</v>
      </c>
      <c r="R54" s="4" t="str">
        <f>VLOOKUP(J54,eq!$D$2:$K$42,8,)</f>
        <v>((0.0000598*((X4^2)*X2)^0.946)*(1.0-0.0019*X4)*1000003)*0.38</v>
      </c>
      <c r="S54" s="4" t="str">
        <f t="shared" si="3"/>
        <v>((0.0000598*((30^2)*6)^0.946)*(1.0-0.0019*30)*1000003)*0.38</v>
      </c>
      <c r="T54" s="4" cm="1">
        <f t="array" ref="T54">eval_dw/2</f>
        <v>36375.776880174453</v>
      </c>
      <c r="U54" s="1">
        <f>T54*2/VLOOKUP(J54,eq!$D$2:$G$42,4,)</f>
        <v>191451.45726407607</v>
      </c>
      <c r="V54" s="1">
        <f t="shared" si="4"/>
        <v>72751.553760348907</v>
      </c>
      <c r="W54" s="1" cm="1">
        <f t="array" ref="W54">IF(LEFT(J54,1)="S",eval_S/2,((3.141593*Q54/32)*((K54/100+L54/100)^2+(M54/100+N54/100)^2))*1000000*VLOOKUP(J54,eq!$D$2:$G$42,4,)/2)</f>
        <v>36375.776880174453</v>
      </c>
      <c r="X54" s="1">
        <f>((3.141593*Q54/32)*((K54+L54)^2+(M54+N54)^2))*1000000*VLOOKUP(J54,eq!$D$2:$G$42,4,)/2</f>
        <v>100727325.56249999</v>
      </c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5.75" customHeight="1">
      <c r="A55" s="1" t="s">
        <v>16</v>
      </c>
      <c r="B55" s="4">
        <v>16</v>
      </c>
      <c r="C55" s="1" t="s">
        <v>8</v>
      </c>
      <c r="D55" s="1" t="s">
        <v>15</v>
      </c>
      <c r="E55" s="4" t="s">
        <v>13</v>
      </c>
      <c r="F55" s="4" t="str">
        <f t="shared" si="0"/>
        <v>GM_16_NA_B1</v>
      </c>
      <c r="G55" s="4" t="s">
        <v>8</v>
      </c>
      <c r="H55" s="4" t="s">
        <v>9</v>
      </c>
      <c r="I55" s="4">
        <v>3</v>
      </c>
      <c r="J55" s="4" t="str">
        <f t="shared" si="1"/>
        <v>F_3_NA</v>
      </c>
      <c r="K55" s="4">
        <v>14</v>
      </c>
      <c r="L55" s="4">
        <v>14</v>
      </c>
      <c r="M55" s="4">
        <v>12</v>
      </c>
      <c r="N55" s="4">
        <v>11</v>
      </c>
      <c r="O55" s="4">
        <v>1.1100000000000001</v>
      </c>
      <c r="P55" s="4"/>
      <c r="Q55" s="4" t="str">
        <f t="shared" si="6"/>
        <v>1.11</v>
      </c>
      <c r="R55" s="4" t="str">
        <f>VLOOKUP(J55,eq!$D$2:$K$42,8,)</f>
        <v>((pi*X2*100/32)*((a+b)^2 + (c+d)^2))*0.26</v>
      </c>
      <c r="S55" s="4" t="str">
        <f t="shared" si="3"/>
        <v>((3.141593*1.11*100/32)*((14+14)^2 + (12+11)^2))*0.26</v>
      </c>
      <c r="T55" s="4" cm="1">
        <f t="array" ref="T55">eval_dw/2</f>
        <v>1860.0773286834376</v>
      </c>
      <c r="U55" s="1">
        <f>T55*2/VLOOKUP(J55,eq!$D$2:$G$42,4,)</f>
        <v>14308.28714371875</v>
      </c>
      <c r="V55" s="1">
        <f t="shared" si="4"/>
        <v>3720.1546573668752</v>
      </c>
      <c r="W55" s="1" cm="1">
        <f t="array" ref="W55">IF(LEFT(J55,1)="S",eval_S/2,((3.141593*Q55/32)*((K55/100+L55/100)^2+(M55/100+N55/100)^2))*1000000*VLOOKUP(J55,eq!$D$2:$G$42,4,)/2)</f>
        <v>1860.0773286834376</v>
      </c>
      <c r="X55" s="1">
        <f>((3.141593*Q55/32)*((K55+L55)^2+(M55+N55)^2))*1000000*VLOOKUP(J55,eq!$D$2:$G$42,4,)/2</f>
        <v>18600773.286834374</v>
      </c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5.75" customHeight="1">
      <c r="A56" s="1" t="s">
        <v>16</v>
      </c>
      <c r="B56" s="4">
        <v>16</v>
      </c>
      <c r="C56" s="1" t="s">
        <v>8</v>
      </c>
      <c r="D56" s="1" t="s">
        <v>15</v>
      </c>
      <c r="E56" s="4" t="s">
        <v>13</v>
      </c>
      <c r="F56" s="4" t="str">
        <f t="shared" si="0"/>
        <v>GM_16_NA_B1</v>
      </c>
      <c r="G56" s="4" t="s">
        <v>11</v>
      </c>
      <c r="H56" s="4" t="s">
        <v>9</v>
      </c>
      <c r="I56" s="4">
        <v>4</v>
      </c>
      <c r="J56" s="4" t="str">
        <f t="shared" si="1"/>
        <v>F_4_S</v>
      </c>
      <c r="K56" s="4">
        <v>16</v>
      </c>
      <c r="L56" s="4">
        <v>13</v>
      </c>
      <c r="M56" s="4">
        <v>16</v>
      </c>
      <c r="N56" s="4">
        <v>13</v>
      </c>
      <c r="O56" s="4">
        <v>1.02</v>
      </c>
      <c r="P56" s="4"/>
      <c r="Q56" s="4" t="str">
        <f t="shared" si="6"/>
        <v>1.02</v>
      </c>
      <c r="R56" s="4" t="str">
        <f>VLOOKUP(J56,eq!$D$2:$K$42,8,)</f>
        <v>((pi*X2*100/32)*((a+b)^2 + (c+d)^2))*0.15</v>
      </c>
      <c r="S56" s="4" t="str">
        <f t="shared" si="3"/>
        <v>((3.141593*1.02*100/32)*((16+13)^2 + (16+13)^2))*0.15</v>
      </c>
      <c r="T56" s="4" cm="1">
        <f t="array" ref="T56">eval_dw/2</f>
        <v>1263.2443627781249</v>
      </c>
      <c r="U56" s="1">
        <f>T56*2/VLOOKUP(J56,eq!$D$2:$G$42,4,)</f>
        <v>16843.258170375</v>
      </c>
      <c r="V56" s="1">
        <f t="shared" si="4"/>
        <v>2526.4887255562498</v>
      </c>
      <c r="W56" s="1" cm="1">
        <f t="array" ref="W56">IF(LEFT(J56,1)="S",eval_S/2,((3.141593*Q56/32)*((K56/100+L56/100)^2+(M56/100+N56/100)^2))*1000000*VLOOKUP(J56,eq!$D$2:$G$42,4,)/2)</f>
        <v>1263.2443627781252</v>
      </c>
      <c r="X56" s="1">
        <f>((3.141593*Q56/32)*((K56+L56)^2+(M56+N56)^2))*1000000*VLOOKUP(J56,eq!$D$2:$G$42,4,)/2</f>
        <v>12632443.627781251</v>
      </c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5.75" customHeight="1">
      <c r="A57" s="1" t="s">
        <v>16</v>
      </c>
      <c r="B57" s="4">
        <v>16</v>
      </c>
      <c r="C57" s="1" t="s">
        <v>8</v>
      </c>
      <c r="D57" s="1" t="s">
        <v>15</v>
      </c>
      <c r="E57" s="4" t="s">
        <v>7</v>
      </c>
      <c r="F57" s="4" t="str">
        <f t="shared" si="0"/>
        <v>GM_16_NA_B2</v>
      </c>
      <c r="G57" s="4" t="s">
        <v>8</v>
      </c>
      <c r="H57" s="4" t="s">
        <v>9</v>
      </c>
      <c r="I57" s="4">
        <v>2</v>
      </c>
      <c r="J57" s="4" t="str">
        <f t="shared" si="1"/>
        <v>F_2_NA</v>
      </c>
      <c r="K57" s="4">
        <v>14</v>
      </c>
      <c r="L57" s="4">
        <v>16</v>
      </c>
      <c r="M57" s="4">
        <v>13</v>
      </c>
      <c r="N57" s="4">
        <v>12</v>
      </c>
      <c r="O57" s="4">
        <v>1.1399999999999999</v>
      </c>
      <c r="P57" s="4"/>
      <c r="Q57" s="4" t="str">
        <f t="shared" si="6"/>
        <v>1.14</v>
      </c>
      <c r="R57" s="4" t="str">
        <f>VLOOKUP(J57,eq!$D$2:$K$42,8,)</f>
        <v>((pi*X2*100/32)*((a+b)^2 + (c+d)^2))*0.33</v>
      </c>
      <c r="S57" s="4" t="str">
        <f t="shared" si="3"/>
        <v>((3.141593*1.14*100/32)*((14+16)^2 + (13+12)^2))*0.33</v>
      </c>
      <c r="T57" s="4" cm="1">
        <f t="array" ref="T57">eval_dw/2</f>
        <v>2816.168143851562</v>
      </c>
      <c r="U57" s="1">
        <f>T57*2/VLOOKUP(J57,eq!$D$2:$G$42,4,)</f>
        <v>17067.685720312496</v>
      </c>
      <c r="V57" s="1">
        <f t="shared" si="4"/>
        <v>5632.3362877031241</v>
      </c>
      <c r="W57" s="1" cm="1">
        <f t="array" ref="W57">IF(LEFT(J57,1)="S",eval_S/2,((3.141593*Q57/32)*((K57/100+L57/100)^2+(M57/100+N57/100)^2))*1000000*VLOOKUP(J57,eq!$D$2:$G$42,4,)/2)</f>
        <v>2816.1681438515625</v>
      </c>
      <c r="X57" s="1">
        <f>((3.141593*Q57/32)*((K57+L57)^2+(M57+N57)^2))*1000000*VLOOKUP(J57,eq!$D$2:$G$42,4,)/2</f>
        <v>28161681.438515622</v>
      </c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5.75" customHeight="1">
      <c r="A58" s="1" t="s">
        <v>16</v>
      </c>
      <c r="B58" s="4">
        <v>16</v>
      </c>
      <c r="C58" s="1" t="s">
        <v>8</v>
      </c>
      <c r="D58" s="1" t="s">
        <v>15</v>
      </c>
      <c r="E58" s="4" t="s">
        <v>7</v>
      </c>
      <c r="F58" s="4" t="str">
        <f t="shared" si="0"/>
        <v>GM_16_NA_B2</v>
      </c>
      <c r="G58" s="4" t="s">
        <v>8</v>
      </c>
      <c r="H58" s="4" t="s">
        <v>32</v>
      </c>
      <c r="I58" s="4">
        <v>5</v>
      </c>
      <c r="J58" s="4" t="str">
        <f t="shared" si="1"/>
        <v>T_5_NA</v>
      </c>
      <c r="K58" s="4">
        <v>16</v>
      </c>
      <c r="L58" s="4">
        <v>14</v>
      </c>
      <c r="M58" s="4">
        <v>16</v>
      </c>
      <c r="N58" s="4">
        <v>14</v>
      </c>
      <c r="O58" s="4"/>
      <c r="P58" s="4">
        <v>0.59</v>
      </c>
      <c r="Q58" s="4" t="str">
        <f t="shared" si="6"/>
        <v>0.59</v>
      </c>
      <c r="R58" s="4" t="str">
        <f>VLOOKUP(J58,eq!$D$2:$K$42,8,)</f>
        <v>((pi*X2*100/32)*((a+b)^2 + (c+d)^2))*0.25</v>
      </c>
      <c r="S58" s="4" t="str">
        <f t="shared" si="3"/>
        <v>((3.141593*0.59*100/32)*((16+14)^2 + (16+14)^2))*0.25</v>
      </c>
      <c r="T58" s="4" cm="1">
        <f t="array" ref="T58">eval_dw/2</f>
        <v>1303.27022109375</v>
      </c>
      <c r="U58" s="1">
        <f>T58*2/VLOOKUP(J58,eq!$D$2:$G$42,4,)</f>
        <v>10426.16176875</v>
      </c>
      <c r="V58" s="1">
        <f t="shared" si="4"/>
        <v>2606.5404421875</v>
      </c>
      <c r="W58" s="1" cm="1">
        <f t="array" ref="W58">IF(LEFT(J58,1)="S",eval_S/2,((3.141593*Q58/32)*((K58/100+L58/100)^2+(M58/100+N58/100)^2))*1000000*VLOOKUP(J58,eq!$D$2:$G$42,4,)/2)</f>
        <v>1303.2702210937503</v>
      </c>
      <c r="X58" s="1">
        <f>((3.141593*Q58/32)*((K58+L58)^2+(M58+N58)^2))*1000000*VLOOKUP(J58,eq!$D$2:$G$42,4,)/2</f>
        <v>13032702.210937498</v>
      </c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5.75" customHeight="1">
      <c r="A59" s="1" t="s">
        <v>16</v>
      </c>
      <c r="B59" s="4">
        <v>16</v>
      </c>
      <c r="C59" s="1" t="s">
        <v>8</v>
      </c>
      <c r="D59" s="1" t="s">
        <v>15</v>
      </c>
      <c r="E59" s="4" t="s">
        <v>12</v>
      </c>
      <c r="F59" s="4" t="str">
        <f t="shared" si="0"/>
        <v>GM_16_NA_B3</v>
      </c>
      <c r="G59" s="4" t="s">
        <v>8</v>
      </c>
      <c r="H59" s="4" t="s">
        <v>9</v>
      </c>
      <c r="I59" s="4">
        <v>4</v>
      </c>
      <c r="J59" s="4" t="str">
        <f t="shared" si="1"/>
        <v>F_4_NA</v>
      </c>
      <c r="K59" s="4">
        <v>15</v>
      </c>
      <c r="L59" s="4">
        <v>17</v>
      </c>
      <c r="M59" s="4">
        <v>15</v>
      </c>
      <c r="N59" s="4">
        <v>17</v>
      </c>
      <c r="O59" s="4">
        <v>1.71</v>
      </c>
      <c r="P59" s="4"/>
      <c r="Q59" s="4" t="str">
        <f t="shared" si="6"/>
        <v>1.71</v>
      </c>
      <c r="R59" s="4" t="str">
        <f>VLOOKUP(J59,eq!$D$2:$K$42,8,)</f>
        <v>((pi*X2*100/32)*((a+b)^2 + (c+d)^2))*0.15</v>
      </c>
      <c r="S59" s="4" t="str">
        <f t="shared" si="3"/>
        <v>((3.141593*1.71*100/32)*((15+17)^2 + (15+17)^2))*0.15</v>
      </c>
      <c r="T59" s="4" cm="1">
        <f t="array" ref="T59">eval_dw/2</f>
        <v>2578.6195343999993</v>
      </c>
      <c r="U59" s="1">
        <f>T59*2/VLOOKUP(J59,eq!$D$2:$G$42,4,)</f>
        <v>34381.593791999992</v>
      </c>
      <c r="V59" s="1">
        <f t="shared" si="4"/>
        <v>5157.2390687999987</v>
      </c>
      <c r="W59" s="1" cm="1">
        <f t="array" ref="W59">IF(LEFT(J59,1)="S",eval_S/2,((3.141593*Q59/32)*((K59/100+L59/100)^2+(M59/100+N59/100)^2))*1000000*VLOOKUP(J59,eq!$D$2:$G$42,4,)/2)</f>
        <v>2578.6195343999993</v>
      </c>
      <c r="X59" s="1">
        <f>((3.141593*Q59/32)*((K59+L59)^2+(M59+N59)^2))*1000000*VLOOKUP(J59,eq!$D$2:$G$42,4,)/2</f>
        <v>25786195.343999997</v>
      </c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5.75" customHeight="1">
      <c r="A60" s="1" t="s">
        <v>16</v>
      </c>
      <c r="B60" s="4">
        <v>16</v>
      </c>
      <c r="C60" s="1" t="s">
        <v>8</v>
      </c>
      <c r="D60" s="1" t="s">
        <v>15</v>
      </c>
      <c r="E60" s="4" t="s">
        <v>12</v>
      </c>
      <c r="F60" s="4" t="str">
        <f t="shared" si="0"/>
        <v>GM_16_NA_B3</v>
      </c>
      <c r="G60" s="4" t="s">
        <v>8</v>
      </c>
      <c r="H60" s="4" t="s">
        <v>32</v>
      </c>
      <c r="I60" s="4">
        <v>5</v>
      </c>
      <c r="J60" s="4" t="str">
        <f t="shared" si="1"/>
        <v>T_5_NA</v>
      </c>
      <c r="K60" s="4">
        <v>19</v>
      </c>
      <c r="L60" s="4">
        <v>15</v>
      </c>
      <c r="M60" s="4">
        <v>19</v>
      </c>
      <c r="N60" s="4">
        <v>15</v>
      </c>
      <c r="O60" s="4"/>
      <c r="P60" s="4">
        <v>0.5</v>
      </c>
      <c r="Q60" s="4" t="str">
        <f t="shared" si="6"/>
        <v>0.5</v>
      </c>
      <c r="R60" s="4" t="str">
        <f>VLOOKUP(J60,eq!$D$2:$K$42,8,)</f>
        <v>((pi*X2*100/32)*((a+b)^2 + (c+d)^2))*0.25</v>
      </c>
      <c r="S60" s="4" t="str">
        <f t="shared" si="3"/>
        <v>((3.141593*0.5*100/32)*((19+15)^2 + (19+15)^2))*0.25</v>
      </c>
      <c r="T60" s="4" cm="1">
        <f t="array" ref="T60">eval_dw/2</f>
        <v>1418.6255890624998</v>
      </c>
      <c r="U60" s="1">
        <f>T60*2/VLOOKUP(J60,eq!$D$2:$G$42,4,)</f>
        <v>11349.004712499998</v>
      </c>
      <c r="V60" s="1">
        <f t="shared" si="4"/>
        <v>2837.2511781249996</v>
      </c>
      <c r="W60" s="1" cm="1">
        <f t="array" ref="W60">IF(LEFT(J60,1)="S",eval_S/2,((3.141593*Q60/32)*((K60/100+L60/100)^2+(M60/100+N60/100)^2))*1000000*VLOOKUP(J60,eq!$D$2:$G$42,4,)/2)</f>
        <v>1418.6255890624998</v>
      </c>
      <c r="X60" s="1">
        <f>((3.141593*Q60/32)*((K60+L60)^2+(M60+N60)^2))*1000000*VLOOKUP(J60,eq!$D$2:$G$42,4,)/2</f>
        <v>14186255.890624998</v>
      </c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5.75" customHeight="1">
      <c r="A61" s="1" t="s">
        <v>16</v>
      </c>
      <c r="B61" s="4">
        <v>16</v>
      </c>
      <c r="C61" s="1" t="s">
        <v>8</v>
      </c>
      <c r="D61" s="1" t="s">
        <v>15</v>
      </c>
      <c r="E61" s="4" t="s">
        <v>10</v>
      </c>
      <c r="F61" s="4" t="str">
        <f t="shared" si="0"/>
        <v>GM_16_NA_B4</v>
      </c>
      <c r="G61" s="4" t="s">
        <v>11</v>
      </c>
      <c r="H61" s="4" t="s">
        <v>11</v>
      </c>
      <c r="I61" s="4">
        <v>4</v>
      </c>
      <c r="J61" s="4" t="str">
        <f t="shared" si="1"/>
        <v>S_4_S</v>
      </c>
      <c r="K61" s="4">
        <v>10.5</v>
      </c>
      <c r="L61" s="4"/>
      <c r="M61" s="4"/>
      <c r="N61" s="4"/>
      <c r="O61" s="4"/>
      <c r="P61" s="4">
        <v>3.5</v>
      </c>
      <c r="Q61" s="4" t="str">
        <f t="shared" si="6"/>
        <v>3.5</v>
      </c>
      <c r="R61" s="4" t="str">
        <f>VLOOKUP(J61,eq!$D$2:$K$42,8,)</f>
        <v>((0.0000598*((X4^2)*X2)^0.946)*(1.0-0.0019*X4)*1000005)*0.26</v>
      </c>
      <c r="S61" s="4" t="str">
        <f t="shared" si="3"/>
        <v>((0.0000598*((10.5^2)*3.5)^0.946)*(1.0-0.0019*10.5)*1000005)*0.26</v>
      </c>
      <c r="T61" s="4" cm="1">
        <f t="array" ref="T61">eval_dw/2</f>
        <v>2131.4417314509164</v>
      </c>
      <c r="U61" s="1">
        <f>T61*2/VLOOKUP(J61,eq!$D$2:$G$42,4,)</f>
        <v>16395.70562654551</v>
      </c>
      <c r="V61" s="1">
        <f t="shared" si="4"/>
        <v>4262.8834629018329</v>
      </c>
      <c r="W61" s="1" cm="1">
        <f t="array" ref="W61">IF(LEFT(J61,1)="S",eval_S/2,((3.141593*Q61/32)*((K61/100+L61/100)^2+(M61/100+N61/100)^2))*1000000*VLOOKUP(J61,eq!$D$2:$G$42,4,)/2)</f>
        <v>2131.4417314509164</v>
      </c>
      <c r="X61" s="1">
        <f>((3.141593*Q61/32)*((K61+L61)^2+(M61+N61)^2))*1000000*VLOOKUP(J61,eq!$D$2:$G$42,4,)/2</f>
        <v>4924815.1829296881</v>
      </c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5.75" customHeight="1">
      <c r="A62" s="1" t="s">
        <v>16</v>
      </c>
      <c r="B62" s="4">
        <v>16</v>
      </c>
      <c r="C62" s="1" t="s">
        <v>8</v>
      </c>
      <c r="D62" s="1" t="s">
        <v>15</v>
      </c>
      <c r="E62" s="4" t="s">
        <v>10</v>
      </c>
      <c r="F62" s="4" t="str">
        <f t="shared" si="0"/>
        <v>GM_16_NA_B4</v>
      </c>
      <c r="G62" s="4" t="s">
        <v>8</v>
      </c>
      <c r="H62" s="4" t="s">
        <v>32</v>
      </c>
      <c r="I62" s="4">
        <v>5</v>
      </c>
      <c r="J62" s="4" t="str">
        <f t="shared" si="1"/>
        <v>T_5_NA</v>
      </c>
      <c r="K62" s="4">
        <v>19</v>
      </c>
      <c r="L62" s="4">
        <v>21</v>
      </c>
      <c r="M62" s="4">
        <v>19</v>
      </c>
      <c r="N62" s="4">
        <v>21</v>
      </c>
      <c r="O62" s="4"/>
      <c r="P62" s="4">
        <v>0.55000000000000004</v>
      </c>
      <c r="Q62" s="4" t="str">
        <f t="shared" si="6"/>
        <v>0.55</v>
      </c>
      <c r="R62" s="4" t="str">
        <f>VLOOKUP(J62,eq!$D$2:$K$42,8,)</f>
        <v>((pi*X2*100/32)*((a+b)^2 + (c+d)^2))*0.25</v>
      </c>
      <c r="S62" s="4" t="str">
        <f t="shared" si="3"/>
        <v>((3.141593*0.55*100/32)*((19+21)^2 + (19+21)^2))*0.25</v>
      </c>
      <c r="T62" s="4" cm="1">
        <f t="array" ref="T62">eval_dw/2</f>
        <v>2159.8451875000001</v>
      </c>
      <c r="U62" s="1">
        <f>T62*2/VLOOKUP(J62,eq!$D$2:$G$42,4,)</f>
        <v>17278.761500000001</v>
      </c>
      <c r="V62" s="1">
        <f t="shared" si="4"/>
        <v>4319.6903750000001</v>
      </c>
      <c r="W62" s="1" cm="1">
        <f t="array" ref="W62">IF(LEFT(J62,1)="S",eval_S/2,((3.141593*Q62/32)*((K62/100+L62/100)^2+(M62/100+N62/100)^2))*1000000*VLOOKUP(J62,eq!$D$2:$G$42,4,)/2)</f>
        <v>2159.8451875000005</v>
      </c>
      <c r="X62" s="1">
        <f>((3.141593*Q62/32)*((K62+L62)^2+(M62+N62)^2))*1000000*VLOOKUP(J62,eq!$D$2:$G$42,4,)/2</f>
        <v>21598451.875000004</v>
      </c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5.75" customHeight="1">
      <c r="A63" s="1" t="s">
        <v>16</v>
      </c>
      <c r="B63" s="4">
        <v>16</v>
      </c>
      <c r="C63" s="1" t="s">
        <v>8</v>
      </c>
      <c r="D63" s="1" t="s">
        <v>15</v>
      </c>
      <c r="E63" s="4" t="s">
        <v>10</v>
      </c>
      <c r="F63" s="4" t="str">
        <f t="shared" si="0"/>
        <v>GM_16_NA_B4</v>
      </c>
      <c r="G63" s="4" t="s">
        <v>8</v>
      </c>
      <c r="H63" s="4" t="s">
        <v>32</v>
      </c>
      <c r="I63" s="4">
        <v>5</v>
      </c>
      <c r="J63" s="4" t="str">
        <f t="shared" si="1"/>
        <v>T_5_NA</v>
      </c>
      <c r="K63" s="4">
        <v>13</v>
      </c>
      <c r="L63" s="4">
        <v>16</v>
      </c>
      <c r="M63" s="4">
        <v>13</v>
      </c>
      <c r="N63" s="4">
        <v>16</v>
      </c>
      <c r="O63" s="4"/>
      <c r="P63" s="4">
        <v>0.56000000000000005</v>
      </c>
      <c r="Q63" s="4" t="str">
        <f t="shared" si="6"/>
        <v>0.56</v>
      </c>
      <c r="R63" s="4" t="str">
        <f>VLOOKUP(J63,eq!$D$2:$K$42,8,)</f>
        <v>((pi*X2*100/32)*((a+b)^2 + (c+d)^2))*0.25</v>
      </c>
      <c r="S63" s="4" t="str">
        <f t="shared" si="3"/>
        <v>((3.141593*0.56*100/32)*((13+16)^2 + (13+16)^2))*0.25</v>
      </c>
      <c r="T63" s="4" cm="1">
        <f t="array" ref="T63">eval_dw/2</f>
        <v>1155.9098744375001</v>
      </c>
      <c r="U63" s="1">
        <f>T63*2/VLOOKUP(J63,eq!$D$2:$G$42,4,)</f>
        <v>9247.2789955000007</v>
      </c>
      <c r="V63" s="1">
        <f t="shared" si="4"/>
        <v>2311.8197488750002</v>
      </c>
      <c r="W63" s="1" cm="1">
        <f t="array" ref="W63">IF(LEFT(J63,1)="S",eval_S/2,((3.141593*Q63/32)*((K63/100+L63/100)^2+(M63/100+N63/100)^2))*1000000*VLOOKUP(J63,eq!$D$2:$G$42,4,)/2)</f>
        <v>1155.9098744375003</v>
      </c>
      <c r="X63" s="1">
        <f>((3.141593*Q63/32)*((K63+L63)^2+(M63+N63)^2))*1000000*VLOOKUP(J63,eq!$D$2:$G$42,4,)/2</f>
        <v>11559098.744375</v>
      </c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5.75" customHeight="1">
      <c r="A64" s="1" t="s">
        <v>16</v>
      </c>
      <c r="B64" s="4">
        <v>17</v>
      </c>
      <c r="C64" s="1" t="s">
        <v>8</v>
      </c>
      <c r="D64" s="1" t="s">
        <v>15</v>
      </c>
      <c r="E64" s="4" t="s">
        <v>13</v>
      </c>
      <c r="F64" s="4" t="str">
        <f t="shared" si="0"/>
        <v>GM_17_NA_B1</v>
      </c>
      <c r="G64" s="4" t="s">
        <v>8</v>
      </c>
      <c r="H64" s="7" t="s">
        <v>8</v>
      </c>
      <c r="I64" s="7" t="s">
        <v>8</v>
      </c>
      <c r="J64" s="4" t="str">
        <f t="shared" si="1"/>
        <v>NA_NA_NA</v>
      </c>
      <c r="K64" s="7"/>
      <c r="L64" s="7"/>
      <c r="M64" s="7"/>
      <c r="N64" s="7"/>
      <c r="O64" s="7"/>
      <c r="P64" s="4"/>
      <c r="Q64" s="4" t="str">
        <f t="shared" si="6"/>
        <v/>
      </c>
      <c r="R64" s="4">
        <f>VLOOKUP(J64,eq!$D$2:$K$42,8,)</f>
        <v>0</v>
      </c>
      <c r="S64" s="4" t="str">
        <f t="shared" si="3"/>
        <v>0</v>
      </c>
      <c r="T64" s="4" cm="1">
        <f t="array" ref="T64">eval_dw/2</f>
        <v>0</v>
      </c>
      <c r="U64" s="1" t="e">
        <f>T64*2/VLOOKUP(J64,eq!$D$2:$G$42,4,)</f>
        <v>#DIV/0!</v>
      </c>
      <c r="V64" s="1">
        <f t="shared" si="4"/>
        <v>0</v>
      </c>
      <c r="W64" s="1" t="e" cm="1">
        <f t="array" ref="W64">IF(LEFT(J64,1)="S",eval_S/2,((3.141593*Q64/32)*((K64/100+L64/100)^2+(M64/100+N64/100)^2))*1000000*VLOOKUP(J64,eq!$D$2:$G$42,4,)/2)</f>
        <v>#VALUE!</v>
      </c>
      <c r="X64" s="1" t="e">
        <f>((3.141593*Q64/32)*((K64+L64)^2+(M64+N64)^2))*1000000*VLOOKUP(J64,eq!$D$2:$G$42,4,)/2</f>
        <v>#VALUE!</v>
      </c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5.75" customHeight="1">
      <c r="A65" s="1" t="s">
        <v>16</v>
      </c>
      <c r="B65" s="4">
        <v>17</v>
      </c>
      <c r="C65" s="1" t="s">
        <v>8</v>
      </c>
      <c r="D65" s="1" t="s">
        <v>15</v>
      </c>
      <c r="E65" s="4" t="s">
        <v>7</v>
      </c>
      <c r="F65" s="4" t="str">
        <f t="shared" si="0"/>
        <v>GM_17_NA_B2</v>
      </c>
      <c r="G65" s="4" t="s">
        <v>8</v>
      </c>
      <c r="H65" s="4" t="s">
        <v>8</v>
      </c>
      <c r="I65" s="4" t="s">
        <v>8</v>
      </c>
      <c r="J65" s="4" t="str">
        <f t="shared" si="1"/>
        <v>NA_NA_NA</v>
      </c>
      <c r="K65" s="4"/>
      <c r="L65" s="4"/>
      <c r="M65" s="4"/>
      <c r="N65" s="4"/>
      <c r="O65" s="4"/>
      <c r="P65" s="4"/>
      <c r="Q65" s="4" t="str">
        <f t="shared" si="6"/>
        <v/>
      </c>
      <c r="R65" s="4">
        <f>VLOOKUP(J65,eq!$D$2:$K$42,8,)</f>
        <v>0</v>
      </c>
      <c r="S65" s="4" t="str">
        <f t="shared" si="3"/>
        <v>0</v>
      </c>
      <c r="T65" s="4" cm="1">
        <f t="array" ref="T65">eval_dw/2</f>
        <v>0</v>
      </c>
      <c r="U65" s="1" t="e">
        <f>T65*2/VLOOKUP(J65,eq!$D$2:$G$42,4,)</f>
        <v>#DIV/0!</v>
      </c>
      <c r="V65" s="1">
        <f t="shared" si="4"/>
        <v>0</v>
      </c>
      <c r="W65" s="1" t="e" cm="1">
        <f t="array" ref="W65">IF(LEFT(J65,1)="S",eval_S/2,((3.141593*Q65/32)*((K65/100+L65/100)^2+(M65/100+N65/100)^2))*1000000*VLOOKUP(J65,eq!$D$2:$G$42,4,)/2)</f>
        <v>#VALUE!</v>
      </c>
      <c r="X65" s="1" t="e">
        <f>((3.141593*Q65/32)*((K65+L65)^2+(M65+N65)^2))*1000000*VLOOKUP(J65,eq!$D$2:$G$42,4,)/2</f>
        <v>#VALUE!</v>
      </c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5.75" customHeight="1">
      <c r="A66" s="1" t="s">
        <v>16</v>
      </c>
      <c r="B66" s="4">
        <v>17</v>
      </c>
      <c r="C66" s="1" t="s">
        <v>8</v>
      </c>
      <c r="D66" s="1" t="s">
        <v>15</v>
      </c>
      <c r="E66" s="4" t="s">
        <v>12</v>
      </c>
      <c r="F66" s="4" t="str">
        <f t="shared" ref="F66:F129" si="7">A66&amp;"_"&amp;B66&amp;"_"&amp;C66&amp;"_"&amp;E66</f>
        <v>GM_17_NA_B3</v>
      </c>
      <c r="G66" s="4" t="s">
        <v>8</v>
      </c>
      <c r="H66" s="4" t="s">
        <v>9</v>
      </c>
      <c r="I66" s="4">
        <v>4</v>
      </c>
      <c r="J66" s="4" t="str">
        <f t="shared" ref="J66:J129" si="8">H66&amp;"_"&amp;I66&amp;"_"&amp;G66</f>
        <v>F_4_NA</v>
      </c>
      <c r="K66" s="4">
        <v>15</v>
      </c>
      <c r="L66" s="4">
        <v>16</v>
      </c>
      <c r="M66" s="4">
        <v>15</v>
      </c>
      <c r="N66" s="4">
        <v>16</v>
      </c>
      <c r="O66" s="4">
        <v>0.76</v>
      </c>
      <c r="P66" s="4"/>
      <c r="Q66" s="4" t="str">
        <f t="shared" si="6"/>
        <v>0.76</v>
      </c>
      <c r="R66" s="4" t="str">
        <f>VLOOKUP(J66,eq!$D$2:$K$42,8,)</f>
        <v>((pi*X2*100/32)*((a+b)^2 + (c+d)^2))*0.15</v>
      </c>
      <c r="S66" s="4" t="str">
        <f t="shared" si="3"/>
        <v>((3.141593*0.76*100/32)*((15+16)^2 + (15+16)^2))*0.15</v>
      </c>
      <c r="T66" s="4" cm="1">
        <f t="array" ref="T66">eval_dw/2</f>
        <v>1075.5439985062499</v>
      </c>
      <c r="U66" s="1">
        <f>T66*2/VLOOKUP(J66,eq!$D$2:$G$42,4,)</f>
        <v>14340.586646749998</v>
      </c>
      <c r="V66" s="1">
        <f t="shared" si="4"/>
        <v>2151.0879970124997</v>
      </c>
      <c r="W66" s="1" cm="1">
        <f t="array" ref="W66">IF(LEFT(J66,1)="S",eval_S/2,((3.141593*Q66/32)*((K66/100+L66/100)^2+(M66/100+N66/100)^2))*1000000*VLOOKUP(J66,eq!$D$2:$G$42,4,)/2)</f>
        <v>1075.5439985062499</v>
      </c>
      <c r="X66" s="1">
        <f>((3.141593*Q66/32)*((K66+L66)^2+(M66+N66)^2))*1000000*VLOOKUP(J66,eq!$D$2:$G$42,4,)/2</f>
        <v>10755439.9850625</v>
      </c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5.75" customHeight="1">
      <c r="A67" s="1" t="s">
        <v>16</v>
      </c>
      <c r="B67" s="4">
        <v>17</v>
      </c>
      <c r="C67" s="1" t="s">
        <v>8</v>
      </c>
      <c r="D67" s="1" t="s">
        <v>15</v>
      </c>
      <c r="E67" s="4" t="s">
        <v>10</v>
      </c>
      <c r="F67" s="4" t="str">
        <f t="shared" si="7"/>
        <v>GM_17_NA_B4</v>
      </c>
      <c r="G67" s="4" t="s">
        <v>8</v>
      </c>
      <c r="H67" s="4" t="s">
        <v>8</v>
      </c>
      <c r="I67" s="4" t="s">
        <v>8</v>
      </c>
      <c r="J67" s="4" t="str">
        <f t="shared" si="8"/>
        <v>NA_NA_NA</v>
      </c>
      <c r="K67" s="4"/>
      <c r="L67" s="4"/>
      <c r="M67" s="4"/>
      <c r="N67" s="4"/>
      <c r="O67" s="4"/>
      <c r="P67" s="4"/>
      <c r="Q67" s="4" t="str">
        <f t="shared" si="6"/>
        <v/>
      </c>
      <c r="R67" s="4">
        <f>VLOOKUP(J67,eq!$D$2:$K$42,8,)</f>
        <v>0</v>
      </c>
      <c r="S67" s="4" t="str">
        <f t="shared" ref="S67:S130" si="9">SUBSTITUTE(SUBSTITUTE(SUBSTITUTE(SUBSTITUTE(SUBSTITUTE(SUBSTITUTE(SUBSTITUTE(R67,"X2",Q67),"X4",K67),"a",K67),"b",L67),"c",M67),"d",N67),"pi",3.141593)</f>
        <v>0</v>
      </c>
      <c r="T67" s="4" cm="1">
        <f t="array" ref="T67">eval_dw/2</f>
        <v>0</v>
      </c>
      <c r="U67" s="1" t="e">
        <f>T67*2/VLOOKUP(J67,eq!$D$2:$G$42,4,)</f>
        <v>#DIV/0!</v>
      </c>
      <c r="V67" s="1">
        <f t="shared" ref="V67:V130" si="10">T67*2</f>
        <v>0</v>
      </c>
      <c r="W67" s="1" t="e" cm="1">
        <f t="array" ref="W67">IF(LEFT(J67,1)="S",eval_S/2,((3.141593*Q67/32)*((K67/100+L67/100)^2+(M67/100+N67/100)^2))*1000000*VLOOKUP(J67,eq!$D$2:$G$42,4,)/2)</f>
        <v>#VALUE!</v>
      </c>
      <c r="X67" s="1" t="e">
        <f>((3.141593*Q67/32)*((K67+L67)^2+(M67+N67)^2))*1000000*VLOOKUP(J67,eq!$D$2:$G$42,4,)/2</f>
        <v>#VALUE!</v>
      </c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5.75" customHeight="1">
      <c r="A68" s="1" t="s">
        <v>16</v>
      </c>
      <c r="B68" s="4">
        <v>18</v>
      </c>
      <c r="C68" s="1" t="s">
        <v>8</v>
      </c>
      <c r="D68" s="1" t="s">
        <v>15</v>
      </c>
      <c r="E68" s="4" t="s">
        <v>13</v>
      </c>
      <c r="F68" s="4" t="str">
        <f t="shared" si="7"/>
        <v>GM_18_NA_B1</v>
      </c>
      <c r="G68" s="4" t="s">
        <v>8</v>
      </c>
      <c r="H68" s="4" t="s">
        <v>8</v>
      </c>
      <c r="I68" s="4" t="s">
        <v>8</v>
      </c>
      <c r="J68" s="4" t="str">
        <f t="shared" si="8"/>
        <v>NA_NA_NA</v>
      </c>
      <c r="K68" s="4"/>
      <c r="L68" s="4"/>
      <c r="M68" s="4"/>
      <c r="N68" s="4"/>
      <c r="O68" s="4"/>
      <c r="P68" s="4"/>
      <c r="Q68" s="4" t="str">
        <f t="shared" si="6"/>
        <v/>
      </c>
      <c r="R68" s="4">
        <f>VLOOKUP(J68,eq!$D$2:$K$42,8,)</f>
        <v>0</v>
      </c>
      <c r="S68" s="4" t="str">
        <f t="shared" si="9"/>
        <v>0</v>
      </c>
      <c r="T68" s="4" cm="1">
        <f t="array" ref="T68">eval_dw/2</f>
        <v>0</v>
      </c>
      <c r="U68" s="1" t="e">
        <f>T68*2/VLOOKUP(J68,eq!$D$2:$G$42,4,)</f>
        <v>#DIV/0!</v>
      </c>
      <c r="V68" s="1">
        <f t="shared" si="10"/>
        <v>0</v>
      </c>
      <c r="W68" s="1" t="e" cm="1">
        <f t="array" ref="W68">IF(LEFT(J68,1)="S",eval_S/2,((3.141593*Q68/32)*((K68/100+L68/100)^2+(M68/100+N68/100)^2))*1000000*VLOOKUP(J68,eq!$D$2:$G$42,4,)/2)</f>
        <v>#VALUE!</v>
      </c>
      <c r="X68" s="1" t="e">
        <f>((3.141593*Q68/32)*((K68+L68)^2+(M68+N68)^2))*1000000*VLOOKUP(J68,eq!$D$2:$G$42,4,)/2</f>
        <v>#VALUE!</v>
      </c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5.75" customHeight="1">
      <c r="A69" s="1" t="s">
        <v>16</v>
      </c>
      <c r="B69" s="4">
        <v>18</v>
      </c>
      <c r="C69" s="1" t="s">
        <v>8</v>
      </c>
      <c r="D69" s="1" t="s">
        <v>15</v>
      </c>
      <c r="E69" s="4" t="s">
        <v>7</v>
      </c>
      <c r="F69" s="4" t="str">
        <f t="shared" si="7"/>
        <v>GM_18_NA_B2</v>
      </c>
      <c r="G69" s="4" t="s">
        <v>8</v>
      </c>
      <c r="H69" s="4" t="s">
        <v>8</v>
      </c>
      <c r="I69" s="4" t="s">
        <v>8</v>
      </c>
      <c r="J69" s="4" t="str">
        <f t="shared" si="8"/>
        <v>NA_NA_NA</v>
      </c>
      <c r="K69" s="4"/>
      <c r="L69" s="4"/>
      <c r="M69" s="4"/>
      <c r="N69" s="4"/>
      <c r="O69" s="4"/>
      <c r="P69" s="4"/>
      <c r="Q69" s="4" t="str">
        <f t="shared" si="6"/>
        <v/>
      </c>
      <c r="R69" s="4">
        <f>VLOOKUP(J69,eq!$D$2:$K$42,8,)</f>
        <v>0</v>
      </c>
      <c r="S69" s="4" t="str">
        <f t="shared" si="9"/>
        <v>0</v>
      </c>
      <c r="T69" s="4" cm="1">
        <f t="array" ref="T69">eval_dw/2</f>
        <v>0</v>
      </c>
      <c r="U69" s="1" t="e">
        <f>T69*2/VLOOKUP(J69,eq!$D$2:$G$42,4,)</f>
        <v>#DIV/0!</v>
      </c>
      <c r="V69" s="1">
        <f t="shared" si="10"/>
        <v>0</v>
      </c>
      <c r="W69" s="1" t="e" cm="1">
        <f t="array" ref="W69">IF(LEFT(J69,1)="S",eval_S/2,((3.141593*Q69/32)*((K69/100+L69/100)^2+(M69/100+N69/100)^2))*1000000*VLOOKUP(J69,eq!$D$2:$G$42,4,)/2)</f>
        <v>#VALUE!</v>
      </c>
      <c r="X69" s="1" t="e">
        <f>((3.141593*Q69/32)*((K69+L69)^2+(M69+N69)^2))*1000000*VLOOKUP(J69,eq!$D$2:$G$42,4,)/2</f>
        <v>#VALUE!</v>
      </c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5.75" customHeight="1">
      <c r="A70" s="1" t="s">
        <v>16</v>
      </c>
      <c r="B70" s="4">
        <v>18</v>
      </c>
      <c r="C70" s="1" t="s">
        <v>8</v>
      </c>
      <c r="D70" s="1" t="s">
        <v>15</v>
      </c>
      <c r="E70" s="4" t="s">
        <v>12</v>
      </c>
      <c r="F70" s="4" t="str">
        <f t="shared" si="7"/>
        <v>GM_18_NA_B3</v>
      </c>
      <c r="G70" s="4" t="s">
        <v>8</v>
      </c>
      <c r="H70" s="4" t="s">
        <v>8</v>
      </c>
      <c r="I70" s="4" t="s">
        <v>8</v>
      </c>
      <c r="J70" s="4" t="str">
        <f t="shared" si="8"/>
        <v>NA_NA_NA</v>
      </c>
      <c r="K70" s="4"/>
      <c r="L70" s="4"/>
      <c r="M70" s="4"/>
      <c r="N70" s="4"/>
      <c r="O70" s="4"/>
      <c r="P70" s="4"/>
      <c r="Q70" s="4" t="str">
        <f t="shared" si="6"/>
        <v/>
      </c>
      <c r="R70" s="4">
        <f>VLOOKUP(J70,eq!$D$2:$K$42,8,)</f>
        <v>0</v>
      </c>
      <c r="S70" s="4" t="str">
        <f t="shared" si="9"/>
        <v>0</v>
      </c>
      <c r="T70" s="4" cm="1">
        <f t="array" ref="T70">eval_dw/2</f>
        <v>0</v>
      </c>
      <c r="U70" s="1" t="e">
        <f>T70*2/VLOOKUP(J70,eq!$D$2:$G$42,4,)</f>
        <v>#DIV/0!</v>
      </c>
      <c r="V70" s="1">
        <f t="shared" si="10"/>
        <v>0</v>
      </c>
      <c r="W70" s="1" t="e" cm="1">
        <f t="array" ref="W70">IF(LEFT(J70,1)="S",eval_S/2,((3.141593*Q70/32)*((K70/100+L70/100)^2+(M70/100+N70/100)^2))*1000000*VLOOKUP(J70,eq!$D$2:$G$42,4,)/2)</f>
        <v>#VALUE!</v>
      </c>
      <c r="X70" s="1" t="e">
        <f>((3.141593*Q70/32)*((K70+L70)^2+(M70+N70)^2))*1000000*VLOOKUP(J70,eq!$D$2:$G$42,4,)/2</f>
        <v>#VALUE!</v>
      </c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5.75" customHeight="1">
      <c r="A71" s="1" t="s">
        <v>16</v>
      </c>
      <c r="B71" s="4">
        <v>18</v>
      </c>
      <c r="C71" s="1" t="s">
        <v>8</v>
      </c>
      <c r="D71" s="1" t="s">
        <v>15</v>
      </c>
      <c r="E71" s="4" t="s">
        <v>10</v>
      </c>
      <c r="F71" s="4" t="str">
        <f t="shared" si="7"/>
        <v>GM_18_NA_B4</v>
      </c>
      <c r="G71" s="4" t="s">
        <v>8</v>
      </c>
      <c r="H71" s="4" t="s">
        <v>9</v>
      </c>
      <c r="I71" s="4">
        <v>3</v>
      </c>
      <c r="J71" s="4" t="str">
        <f t="shared" si="8"/>
        <v>F_3_NA</v>
      </c>
      <c r="K71" s="4">
        <v>20</v>
      </c>
      <c r="L71" s="4">
        <v>24</v>
      </c>
      <c r="M71" s="4">
        <v>20</v>
      </c>
      <c r="N71" s="4">
        <v>24</v>
      </c>
      <c r="O71" s="4">
        <v>2.0299999999999998</v>
      </c>
      <c r="P71" s="4"/>
      <c r="Q71" s="4" t="str">
        <f t="shared" si="6"/>
        <v>2.03</v>
      </c>
      <c r="R71" s="4" t="str">
        <f>VLOOKUP(J71,eq!$D$2:$K$42,8,)</f>
        <v>((pi*X2*100/32)*((a+b)^2 + (c+d)^2))*0.26</v>
      </c>
      <c r="S71" s="4" t="str">
        <f t="shared" si="9"/>
        <v>((3.141593*2.03*100/32)*((20+24)^2 + (20+24)^2))*0.26</v>
      </c>
      <c r="T71" s="4" cm="1">
        <f t="array" ref="T71">eval_dw/2</f>
        <v>10031.703351669998</v>
      </c>
      <c r="U71" s="1">
        <f>T71*2/VLOOKUP(J71,eq!$D$2:$G$42,4,)</f>
        <v>77166.948858999982</v>
      </c>
      <c r="V71" s="1">
        <f t="shared" si="10"/>
        <v>20063.406703339995</v>
      </c>
      <c r="W71" s="1" cm="1">
        <f t="array" ref="W71">IF(LEFT(J71,1)="S",eval_S/2,((3.141593*Q71/32)*((K71/100+L71/100)^2+(M71/100+N71/100)^2))*1000000*VLOOKUP(J71,eq!$D$2:$G$42,4,)/2)</f>
        <v>10031.703351669998</v>
      </c>
      <c r="X71" s="1">
        <f>((3.141593*Q71/32)*((K71+L71)^2+(M71+N71)^2))*1000000*VLOOKUP(J71,eq!$D$2:$G$42,4,)/2</f>
        <v>100317033.51669997</v>
      </c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5.75" customHeight="1">
      <c r="A72" s="1" t="s">
        <v>16</v>
      </c>
      <c r="B72" s="4">
        <v>18</v>
      </c>
      <c r="C72" s="1" t="s">
        <v>8</v>
      </c>
      <c r="D72" s="1" t="s">
        <v>15</v>
      </c>
      <c r="E72" s="4" t="s">
        <v>10</v>
      </c>
      <c r="F72" s="4" t="str">
        <f t="shared" si="7"/>
        <v>GM_18_NA_B4</v>
      </c>
      <c r="G72" s="4" t="s">
        <v>8</v>
      </c>
      <c r="H72" s="4" t="s">
        <v>32</v>
      </c>
      <c r="I72" s="4">
        <v>5</v>
      </c>
      <c r="J72" s="4" t="str">
        <f t="shared" si="8"/>
        <v>T_5_NA</v>
      </c>
      <c r="K72" s="4">
        <v>17</v>
      </c>
      <c r="L72" s="4">
        <v>17</v>
      </c>
      <c r="M72" s="4">
        <v>17</v>
      </c>
      <c r="N72" s="4">
        <v>17</v>
      </c>
      <c r="O72" s="4"/>
      <c r="P72" s="4">
        <v>0.85</v>
      </c>
      <c r="Q72" s="4" t="str">
        <f t="shared" si="6"/>
        <v>0.85</v>
      </c>
      <c r="R72" s="4" t="str">
        <f>VLOOKUP(J72,eq!$D$2:$K$42,8,)</f>
        <v>((pi*X2*100/32)*((a+b)^2 + (c+d)^2))*0.25</v>
      </c>
      <c r="S72" s="4" t="str">
        <f t="shared" si="9"/>
        <v>((3.141593*0.85*100/32)*((17+17)^2 + (17+17)^2))*0.25</v>
      </c>
      <c r="T72" s="4" cm="1">
        <f t="array" ref="T72">eval_dw/2</f>
        <v>2411.6635014062499</v>
      </c>
      <c r="U72" s="1">
        <f>T72*2/VLOOKUP(J72,eq!$D$2:$G$42,4,)</f>
        <v>19293.308011249999</v>
      </c>
      <c r="V72" s="1">
        <f t="shared" si="10"/>
        <v>4823.3270028124998</v>
      </c>
      <c r="W72" s="1" cm="1">
        <f t="array" ref="W72">IF(LEFT(J72,1)="S",eval_S/2,((3.141593*Q72/32)*((K72/100+L72/100)^2+(M72/100+N72/100)^2))*1000000*VLOOKUP(J72,eq!$D$2:$G$42,4,)/2)</f>
        <v>2411.6635014062504</v>
      </c>
      <c r="X72" s="1">
        <f>((3.141593*Q72/32)*((K72+L72)^2+(M72+N72)^2))*1000000*VLOOKUP(J72,eq!$D$2:$G$42,4,)/2</f>
        <v>24116635.014062498</v>
      </c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5.75" customHeight="1">
      <c r="A73" s="1" t="s">
        <v>16</v>
      </c>
      <c r="B73" s="4">
        <v>2</v>
      </c>
      <c r="C73" s="1" t="s">
        <v>8</v>
      </c>
      <c r="D73" s="1" t="s">
        <v>17</v>
      </c>
      <c r="E73" s="4" t="s">
        <v>13</v>
      </c>
      <c r="F73" s="4" t="str">
        <f t="shared" si="7"/>
        <v>GM_2_NA_B1</v>
      </c>
      <c r="G73" s="4" t="s">
        <v>8</v>
      </c>
      <c r="H73" s="4" t="s">
        <v>8</v>
      </c>
      <c r="I73" s="4" t="s">
        <v>8</v>
      </c>
      <c r="J73" s="4" t="str">
        <f t="shared" si="8"/>
        <v>NA_NA_NA</v>
      </c>
      <c r="K73" s="4"/>
      <c r="L73" s="4"/>
      <c r="M73" s="4"/>
      <c r="N73" s="4"/>
      <c r="O73" s="4"/>
      <c r="P73" s="4"/>
      <c r="Q73" s="4" t="str">
        <f t="shared" si="6"/>
        <v/>
      </c>
      <c r="R73" s="4">
        <f>VLOOKUP(J73,eq!$D$2:$K$42,8,)</f>
        <v>0</v>
      </c>
      <c r="S73" s="4" t="str">
        <f t="shared" si="9"/>
        <v>0</v>
      </c>
      <c r="T73" s="4" cm="1">
        <f t="array" ref="T73">eval_dw/2</f>
        <v>0</v>
      </c>
      <c r="U73" s="1" t="e">
        <f>T73*2/VLOOKUP(J73,eq!$D$2:$G$42,4,)</f>
        <v>#DIV/0!</v>
      </c>
      <c r="V73" s="1">
        <f t="shared" si="10"/>
        <v>0</v>
      </c>
      <c r="W73" s="1" t="e" cm="1">
        <f t="array" ref="W73">IF(LEFT(J73,1)="S",eval_S/2,((3.141593*Q73/32)*((K73/100+L73/100)^2+(M73/100+N73/100)^2))*1000000*VLOOKUP(J73,eq!$D$2:$G$42,4,)/2)</f>
        <v>#VALUE!</v>
      </c>
      <c r="X73" s="1" t="e">
        <f>((3.141593*Q73/32)*((K73+L73)^2+(M73+N73)^2))*1000000*VLOOKUP(J73,eq!$D$2:$G$42,4,)/2</f>
        <v>#VALUE!</v>
      </c>
      <c r="Y73" s="21"/>
      <c r="Z73" s="21"/>
      <c r="AA73" s="21"/>
      <c r="AB73" s="21"/>
      <c r="AC73" s="21"/>
      <c r="AD73" s="21"/>
      <c r="AE73" s="21"/>
      <c r="AF73" s="21"/>
      <c r="AG73" s="21"/>
      <c r="AH73" s="21"/>
    </row>
    <row r="74" spans="1:34" ht="15.75" customHeight="1">
      <c r="A74" s="1" t="s">
        <v>16</v>
      </c>
      <c r="B74" s="4">
        <v>2</v>
      </c>
      <c r="C74" s="1" t="s">
        <v>8</v>
      </c>
      <c r="D74" s="1" t="s">
        <v>17</v>
      </c>
      <c r="E74" s="4" t="s">
        <v>7</v>
      </c>
      <c r="F74" s="4" t="str">
        <f t="shared" si="7"/>
        <v>GM_2_NA_B2</v>
      </c>
      <c r="G74" s="4" t="s">
        <v>8</v>
      </c>
      <c r="H74" s="4" t="s">
        <v>9</v>
      </c>
      <c r="I74" s="4">
        <v>3</v>
      </c>
      <c r="J74" s="4" t="str">
        <f t="shared" si="8"/>
        <v>F_3_NA</v>
      </c>
      <c r="K74" s="4">
        <v>10</v>
      </c>
      <c r="L74" s="4">
        <v>10</v>
      </c>
      <c r="M74" s="4">
        <v>13</v>
      </c>
      <c r="N74" s="4">
        <v>15</v>
      </c>
      <c r="O74" s="4">
        <v>3.95</v>
      </c>
      <c r="P74" s="4"/>
      <c r="Q74" s="4" t="str">
        <f t="shared" si="6"/>
        <v>3.95</v>
      </c>
      <c r="R74" s="4" t="str">
        <f>VLOOKUP(J74,eq!$D$2:$K$42,8,)</f>
        <v>((pi*X2*100/32)*((a+b)^2 + (c+d)^2))*0.26</v>
      </c>
      <c r="S74" s="4" t="str">
        <f t="shared" si="9"/>
        <v>((3.141593*3.95*100/32)*((10+10)^2 + (13+15)^2))*0.26</v>
      </c>
      <c r="T74" s="4" cm="1">
        <f t="array" ref="T74">eval_dw/2</f>
        <v>5968.8696203499994</v>
      </c>
      <c r="U74" s="1">
        <f>T74*2/VLOOKUP(J74,eq!$D$2:$G$42,4,)</f>
        <v>45914.381694999996</v>
      </c>
      <c r="V74" s="1">
        <f t="shared" si="10"/>
        <v>11937.739240699999</v>
      </c>
      <c r="W74" s="1" cm="1">
        <f t="array" ref="W74">IF(LEFT(J74,1)="S",eval_S/2,((3.141593*Q74/32)*((K74/100+L74/100)^2+(M74/100+N74/100)^2))*1000000*VLOOKUP(J74,eq!$D$2:$G$42,4,)/2)</f>
        <v>5968.8696203500003</v>
      </c>
      <c r="X74" s="1">
        <f>((3.141593*Q74/32)*((K74+L74)^2+(M74+N74)^2))*1000000*VLOOKUP(J74,eq!$D$2:$G$42,4,)/2</f>
        <v>59688696.203500003</v>
      </c>
      <c r="Y74" s="21"/>
      <c r="Z74" s="21"/>
      <c r="AA74" s="21"/>
      <c r="AB74" s="21"/>
      <c r="AC74" s="21"/>
      <c r="AD74" s="21"/>
      <c r="AE74" s="21"/>
      <c r="AF74" s="21"/>
      <c r="AG74" s="21"/>
      <c r="AH74" s="21"/>
    </row>
    <row r="75" spans="1:34" ht="15.75" customHeight="1">
      <c r="A75" s="1" t="s">
        <v>16</v>
      </c>
      <c r="B75" s="4">
        <v>2</v>
      </c>
      <c r="C75" s="1" t="s">
        <v>8</v>
      </c>
      <c r="D75" s="1" t="s">
        <v>17</v>
      </c>
      <c r="E75" s="4" t="s">
        <v>12</v>
      </c>
      <c r="F75" s="4" t="str">
        <f t="shared" si="7"/>
        <v>GM_2_NA_B3</v>
      </c>
      <c r="G75" s="4" t="s">
        <v>8</v>
      </c>
      <c r="H75" s="4" t="s">
        <v>9</v>
      </c>
      <c r="I75" s="4">
        <v>2</v>
      </c>
      <c r="J75" s="4" t="str">
        <f t="shared" si="8"/>
        <v>F_2_NA</v>
      </c>
      <c r="K75" s="4">
        <v>13</v>
      </c>
      <c r="L75" s="4">
        <v>13</v>
      </c>
      <c r="M75" s="4">
        <v>15</v>
      </c>
      <c r="N75" s="4">
        <v>16</v>
      </c>
      <c r="O75" s="4">
        <v>0.7</v>
      </c>
      <c r="P75" s="4"/>
      <c r="Q75" s="4" t="str">
        <f t="shared" si="6"/>
        <v>0.7</v>
      </c>
      <c r="R75" s="4" t="str">
        <f>VLOOKUP(J75,eq!$D$2:$K$42,8,)</f>
        <v>((pi*X2*100/32)*((a+b)^2 + (c+d)^2))*0.33</v>
      </c>
      <c r="S75" s="4" t="str">
        <f t="shared" si="9"/>
        <v>((3.141593*0.7*100/32)*((13+13)^2 + (15+16)^2))*0.33</v>
      </c>
      <c r="T75" s="4" cm="1">
        <f t="array" ref="T75">eval_dw/2</f>
        <v>1856.2249502671873</v>
      </c>
      <c r="U75" s="1">
        <f>T75*2/VLOOKUP(J75,eq!$D$2:$G$42,4,)</f>
        <v>11249.848183437498</v>
      </c>
      <c r="V75" s="1">
        <f t="shared" si="10"/>
        <v>3712.4499005343746</v>
      </c>
      <c r="W75" s="1" cm="1">
        <f t="array" ref="W75">IF(LEFT(J75,1)="S",eval_S/2,((3.141593*Q75/32)*((K75/100+L75/100)^2+(M75/100+N75/100)^2))*1000000*VLOOKUP(J75,eq!$D$2:$G$42,4,)/2)</f>
        <v>1856.2249502671875</v>
      </c>
      <c r="X75" s="1">
        <f>((3.141593*Q75/32)*((K75+L75)^2+(M75+N75)^2))*1000000*VLOOKUP(J75,eq!$D$2:$G$42,4,)/2</f>
        <v>18562249.502671871</v>
      </c>
      <c r="Y75" s="21"/>
      <c r="Z75" s="21"/>
      <c r="AA75" s="21"/>
      <c r="AB75" s="21"/>
      <c r="AC75" s="21"/>
      <c r="AD75" s="21"/>
      <c r="AE75" s="21"/>
      <c r="AF75" s="21"/>
      <c r="AG75" s="21"/>
      <c r="AH75" s="21"/>
    </row>
    <row r="76" spans="1:34" ht="15.75" customHeight="1">
      <c r="A76" s="1" t="s">
        <v>16</v>
      </c>
      <c r="B76" s="4">
        <v>2</v>
      </c>
      <c r="C76" s="1" t="s">
        <v>8</v>
      </c>
      <c r="D76" s="1" t="s">
        <v>17</v>
      </c>
      <c r="E76" s="4" t="s">
        <v>10</v>
      </c>
      <c r="F76" s="4" t="str">
        <f t="shared" si="7"/>
        <v>GM_2_NA_B4</v>
      </c>
      <c r="G76" s="4" t="s">
        <v>8</v>
      </c>
      <c r="H76" s="4" t="s">
        <v>8</v>
      </c>
      <c r="I76" s="4" t="s">
        <v>8</v>
      </c>
      <c r="J76" s="4" t="str">
        <f t="shared" si="8"/>
        <v>NA_NA_NA</v>
      </c>
      <c r="K76" s="4"/>
      <c r="L76" s="4"/>
      <c r="M76" s="4"/>
      <c r="N76" s="4"/>
      <c r="O76" s="4"/>
      <c r="P76" s="4"/>
      <c r="Q76" s="4" t="str">
        <f t="shared" si="6"/>
        <v/>
      </c>
      <c r="R76" s="4">
        <f>VLOOKUP(J76,eq!$D$2:$K$42,8,)</f>
        <v>0</v>
      </c>
      <c r="S76" s="4" t="str">
        <f t="shared" si="9"/>
        <v>0</v>
      </c>
      <c r="T76" s="4" cm="1">
        <f t="array" ref="T76">eval_dw/2</f>
        <v>0</v>
      </c>
      <c r="U76" s="1" t="e">
        <f>T76*2/VLOOKUP(J76,eq!$D$2:$G$42,4,)</f>
        <v>#DIV/0!</v>
      </c>
      <c r="V76" s="1">
        <f t="shared" si="10"/>
        <v>0</v>
      </c>
      <c r="W76" s="1" t="e" cm="1">
        <f t="array" ref="W76">IF(LEFT(J76,1)="S",eval_S/2,((3.141593*Q76/32)*((K76/100+L76/100)^2+(M76/100+N76/100)^2))*1000000*VLOOKUP(J76,eq!$D$2:$G$42,4,)/2)</f>
        <v>#VALUE!</v>
      </c>
      <c r="X76" s="1" t="e">
        <f>((3.141593*Q76/32)*((K76+L76)^2+(M76+N76)^2))*1000000*VLOOKUP(J76,eq!$D$2:$G$42,4,)/2</f>
        <v>#VALUE!</v>
      </c>
      <c r="Y76" s="21"/>
      <c r="Z76" s="21"/>
      <c r="AA76" s="21"/>
      <c r="AB76" s="21"/>
      <c r="AC76" s="21"/>
      <c r="AD76" s="21"/>
      <c r="AE76" s="21"/>
      <c r="AF76" s="21"/>
      <c r="AG76" s="21"/>
      <c r="AH76" s="21"/>
    </row>
    <row r="77" spans="1:34" ht="15.75" customHeight="1">
      <c r="A77" s="1" t="s">
        <v>16</v>
      </c>
      <c r="B77" s="4">
        <v>3</v>
      </c>
      <c r="C77" s="1" t="s">
        <v>8</v>
      </c>
      <c r="D77" s="1" t="s">
        <v>17</v>
      </c>
      <c r="E77" s="4" t="s">
        <v>13</v>
      </c>
      <c r="F77" s="4" t="str">
        <f t="shared" si="7"/>
        <v>GM_3_NA_B1</v>
      </c>
      <c r="G77" s="4" t="s">
        <v>8</v>
      </c>
      <c r="H77" s="4" t="s">
        <v>8</v>
      </c>
      <c r="I77" s="4" t="s">
        <v>8</v>
      </c>
      <c r="J77" s="4" t="str">
        <f t="shared" si="8"/>
        <v>NA_NA_NA</v>
      </c>
      <c r="K77" s="4"/>
      <c r="L77" s="4"/>
      <c r="M77" s="4"/>
      <c r="N77" s="4"/>
      <c r="O77" s="4"/>
      <c r="P77" s="4"/>
      <c r="Q77" s="4" t="str">
        <f t="shared" si="6"/>
        <v/>
      </c>
      <c r="R77" s="4">
        <f>VLOOKUP(J77,eq!$D$2:$K$42,8,)</f>
        <v>0</v>
      </c>
      <c r="S77" s="4" t="str">
        <f t="shared" si="9"/>
        <v>0</v>
      </c>
      <c r="T77" s="4" cm="1">
        <f t="array" ref="T77">eval_dw/2</f>
        <v>0</v>
      </c>
      <c r="U77" s="1" t="e">
        <f>T77*2/VLOOKUP(J77,eq!$D$2:$G$42,4,)</f>
        <v>#DIV/0!</v>
      </c>
      <c r="V77" s="1">
        <f t="shared" si="10"/>
        <v>0</v>
      </c>
      <c r="W77" s="1" t="e" cm="1">
        <f t="array" ref="W77">IF(LEFT(J77,1)="S",eval_S/2,((3.141593*Q77/32)*((K77/100+L77/100)^2+(M77/100+N77/100)^2))*1000000*VLOOKUP(J77,eq!$D$2:$G$42,4,)/2)</f>
        <v>#VALUE!</v>
      </c>
      <c r="X77" s="1" t="e">
        <f>((3.141593*Q77/32)*((K77+L77)^2+(M77+N77)^2))*1000000*VLOOKUP(J77,eq!$D$2:$G$42,4,)/2</f>
        <v>#VALUE!</v>
      </c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5.75" customHeight="1">
      <c r="A78" s="1" t="s">
        <v>16</v>
      </c>
      <c r="B78" s="4">
        <v>3</v>
      </c>
      <c r="C78" s="1" t="s">
        <v>8</v>
      </c>
      <c r="D78" s="1" t="s">
        <v>17</v>
      </c>
      <c r="E78" s="4" t="s">
        <v>7</v>
      </c>
      <c r="F78" s="4" t="str">
        <f t="shared" si="7"/>
        <v>GM_3_NA_B2</v>
      </c>
      <c r="G78" s="4" t="s">
        <v>8</v>
      </c>
      <c r="H78" s="4" t="s">
        <v>8</v>
      </c>
      <c r="I78" s="4" t="s">
        <v>8</v>
      </c>
      <c r="J78" s="4" t="str">
        <f t="shared" si="8"/>
        <v>NA_NA_NA</v>
      </c>
      <c r="K78" s="4"/>
      <c r="L78" s="4"/>
      <c r="M78" s="4"/>
      <c r="N78" s="4"/>
      <c r="O78" s="4"/>
      <c r="P78" s="4"/>
      <c r="Q78" s="4" t="str">
        <f t="shared" si="6"/>
        <v/>
      </c>
      <c r="R78" s="4">
        <f>VLOOKUP(J78,eq!$D$2:$K$42,8,)</f>
        <v>0</v>
      </c>
      <c r="S78" s="4" t="str">
        <f t="shared" si="9"/>
        <v>0</v>
      </c>
      <c r="T78" s="4" cm="1">
        <f t="array" ref="T78">eval_dw/2</f>
        <v>0</v>
      </c>
      <c r="U78" s="1" t="e">
        <f>T78*2/VLOOKUP(J78,eq!$D$2:$G$42,4,)</f>
        <v>#DIV/0!</v>
      </c>
      <c r="V78" s="1">
        <f t="shared" si="10"/>
        <v>0</v>
      </c>
      <c r="W78" s="1" t="e" cm="1">
        <f t="array" ref="W78">IF(LEFT(J78,1)="S",eval_S/2,((3.141593*Q78/32)*((K78/100+L78/100)^2+(M78/100+N78/100)^2))*1000000*VLOOKUP(J78,eq!$D$2:$G$42,4,)/2)</f>
        <v>#VALUE!</v>
      </c>
      <c r="X78" s="1" t="e">
        <f>((3.141593*Q78/32)*((K78+L78)^2+(M78+N78)^2))*1000000*VLOOKUP(J78,eq!$D$2:$G$42,4,)/2</f>
        <v>#VALUE!</v>
      </c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5.75" customHeight="1">
      <c r="A79" s="1" t="s">
        <v>16</v>
      </c>
      <c r="B79" s="4">
        <v>3</v>
      </c>
      <c r="C79" s="1" t="s">
        <v>8</v>
      </c>
      <c r="D79" s="1" t="s">
        <v>17</v>
      </c>
      <c r="E79" s="4" t="s">
        <v>12</v>
      </c>
      <c r="F79" s="4" t="str">
        <f t="shared" si="7"/>
        <v>GM_3_NA_B3</v>
      </c>
      <c r="G79" s="4" t="s">
        <v>8</v>
      </c>
      <c r="H79" s="4" t="s">
        <v>32</v>
      </c>
      <c r="I79" s="4">
        <v>2</v>
      </c>
      <c r="J79" s="4" t="str">
        <f t="shared" si="8"/>
        <v>T_2_NA</v>
      </c>
      <c r="K79" s="4">
        <v>10</v>
      </c>
      <c r="L79" s="4">
        <v>11</v>
      </c>
      <c r="M79" s="4">
        <v>10</v>
      </c>
      <c r="N79" s="4">
        <v>11</v>
      </c>
      <c r="O79" s="4"/>
      <c r="P79" s="4">
        <v>0.85</v>
      </c>
      <c r="Q79" s="4" t="str">
        <f t="shared" si="6"/>
        <v>0.85</v>
      </c>
      <c r="R79" s="4" t="str">
        <f>VLOOKUP(J79,eq!$D$2:$K$42,8,)</f>
        <v>((pi*X2*100/32)*((a+b)^2 + (c+d)^2))*0.38</v>
      </c>
      <c r="S79" s="4" t="str">
        <f t="shared" si="9"/>
        <v>((3.141593*0.85*100/32)*((10+11)^2 + (10+11)^2))*0.38</v>
      </c>
      <c r="T79" s="4" cm="1">
        <f t="array" ref="T79">eval_dw/2</f>
        <v>1398.4310365593749</v>
      </c>
      <c r="U79" s="1">
        <f>T79*2/VLOOKUP(J79,eq!$D$2:$G$42,4,)</f>
        <v>7360.1633503124995</v>
      </c>
      <c r="V79" s="1">
        <f t="shared" si="10"/>
        <v>2796.8620731187498</v>
      </c>
      <c r="W79" s="1" cm="1">
        <f t="array" ref="W79">IF(LEFT(J79,1)="S",eval_S/2,((3.141593*Q79/32)*((K79/100+L79/100)^2+(M79/100+N79/100)^2))*1000000*VLOOKUP(J79,eq!$D$2:$G$42,4,)/2)</f>
        <v>1398.4310365593751</v>
      </c>
      <c r="X79" s="1">
        <f>((3.141593*Q79/32)*((K79+L79)^2+(M79+N79)^2))*1000000*VLOOKUP(J79,eq!$D$2:$G$42,4,)/2</f>
        <v>13984310.36559375</v>
      </c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5.75" customHeight="1">
      <c r="A80" s="1" t="s">
        <v>16</v>
      </c>
      <c r="B80" s="4">
        <v>3</v>
      </c>
      <c r="C80" s="1" t="s">
        <v>8</v>
      </c>
      <c r="D80" s="1" t="s">
        <v>17</v>
      </c>
      <c r="E80" s="4" t="s">
        <v>10</v>
      </c>
      <c r="F80" s="4" t="str">
        <f t="shared" si="7"/>
        <v>GM_3_NA_B4</v>
      </c>
      <c r="G80" s="4" t="s">
        <v>8</v>
      </c>
      <c r="H80" s="4" t="s">
        <v>9</v>
      </c>
      <c r="I80" s="4">
        <v>2</v>
      </c>
      <c r="J80" s="4" t="str">
        <f t="shared" si="8"/>
        <v>F_2_NA</v>
      </c>
      <c r="K80" s="4">
        <v>11</v>
      </c>
      <c r="L80" s="4">
        <v>12</v>
      </c>
      <c r="M80" s="4">
        <v>13</v>
      </c>
      <c r="N80" s="4">
        <v>13</v>
      </c>
      <c r="O80" s="4">
        <v>1.2</v>
      </c>
      <c r="P80" s="4"/>
      <c r="Q80" s="4" t="str">
        <f t="shared" si="6"/>
        <v>1.2</v>
      </c>
      <c r="R80" s="4" t="str">
        <f>VLOOKUP(J80,eq!$D$2:$K$42,8,)</f>
        <v>((pi*X2*100/32)*((a+b)^2 + (c+d)^2))*0.33</v>
      </c>
      <c r="S80" s="4" t="str">
        <f t="shared" si="9"/>
        <v>((3.141593*1.2*100/32)*((11+12)^2 + (13+13)^2))*0.33</v>
      </c>
      <c r="T80" s="4" cm="1">
        <f t="array" ref="T80">eval_dw/2</f>
        <v>2342.3521058437495</v>
      </c>
      <c r="U80" s="1">
        <f>T80*2/VLOOKUP(J80,eq!$D$2:$G$42,4,)</f>
        <v>14196.073368749996</v>
      </c>
      <c r="V80" s="1">
        <f t="shared" si="10"/>
        <v>4684.7042116874991</v>
      </c>
      <c r="W80" s="1" cm="1">
        <f t="array" ref="W80">IF(LEFT(J80,1)="S",eval_S/2,((3.141593*Q80/32)*((K80/100+L80/100)^2+(M80/100+N80/100)^2))*1000000*VLOOKUP(J80,eq!$D$2:$G$42,4,)/2)</f>
        <v>2342.3521058437495</v>
      </c>
      <c r="X80" s="1">
        <f>((3.141593*Q80/32)*((K80+L80)^2+(M80+N80)^2))*1000000*VLOOKUP(J80,eq!$D$2:$G$42,4,)/2</f>
        <v>23423521.058437496</v>
      </c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5.75" customHeight="1">
      <c r="A81" s="1" t="s">
        <v>16</v>
      </c>
      <c r="B81" s="4">
        <v>35</v>
      </c>
      <c r="C81" s="1" t="s">
        <v>8</v>
      </c>
      <c r="D81" s="1" t="s">
        <v>15</v>
      </c>
      <c r="E81" s="4" t="s">
        <v>13</v>
      </c>
      <c r="F81" s="4" t="str">
        <f t="shared" si="7"/>
        <v>GM_35_NA_B1</v>
      </c>
      <c r="G81" s="4" t="s">
        <v>8</v>
      </c>
      <c r="H81" s="4" t="s">
        <v>8</v>
      </c>
      <c r="I81" s="4" t="s">
        <v>8</v>
      </c>
      <c r="J81" s="4" t="str">
        <f t="shared" si="8"/>
        <v>NA_NA_NA</v>
      </c>
      <c r="K81" s="4"/>
      <c r="L81" s="4"/>
      <c r="M81" s="4"/>
      <c r="N81" s="4"/>
      <c r="O81" s="4"/>
      <c r="P81" s="4"/>
      <c r="Q81" s="4" t="str">
        <f t="shared" si="6"/>
        <v/>
      </c>
      <c r="R81" s="4">
        <f>VLOOKUP(J81,eq!$D$2:$K$42,8,)</f>
        <v>0</v>
      </c>
      <c r="S81" s="4" t="str">
        <f t="shared" si="9"/>
        <v>0</v>
      </c>
      <c r="T81" s="4" cm="1">
        <f t="array" ref="T81">eval_dw/2</f>
        <v>0</v>
      </c>
      <c r="U81" s="1" t="e">
        <f>T81*2/VLOOKUP(J81,eq!$D$2:$G$42,4,)</f>
        <v>#DIV/0!</v>
      </c>
      <c r="V81" s="1">
        <f t="shared" si="10"/>
        <v>0</v>
      </c>
      <c r="W81" s="1" t="e" cm="1">
        <f t="array" ref="W81">IF(LEFT(J81,1)="S",eval_S/2,((3.141593*Q81/32)*((K81/100+L81/100)^2+(M81/100+N81/100)^2))*1000000*VLOOKUP(J81,eq!$D$2:$G$42,4,)/2)</f>
        <v>#VALUE!</v>
      </c>
      <c r="X81" s="1" t="e">
        <f>((3.141593*Q81/32)*((K81+L81)^2+(M81+N81)^2))*1000000*VLOOKUP(J81,eq!$D$2:$G$42,4,)/2</f>
        <v>#VALUE!</v>
      </c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5.75" customHeight="1">
      <c r="A82" s="1" t="s">
        <v>16</v>
      </c>
      <c r="B82" s="4">
        <v>35</v>
      </c>
      <c r="C82" s="1" t="s">
        <v>8</v>
      </c>
      <c r="D82" s="1" t="s">
        <v>15</v>
      </c>
      <c r="E82" s="4" t="s">
        <v>7</v>
      </c>
      <c r="F82" s="4" t="str">
        <f t="shared" si="7"/>
        <v>GM_35_NA_B2</v>
      </c>
      <c r="G82" s="7" t="s">
        <v>8</v>
      </c>
      <c r="H82" s="7" t="s">
        <v>32</v>
      </c>
      <c r="I82" s="4">
        <v>4</v>
      </c>
      <c r="J82" s="4" t="str">
        <f t="shared" si="8"/>
        <v>T_4_NA</v>
      </c>
      <c r="K82" s="4">
        <v>15</v>
      </c>
      <c r="L82" s="4">
        <v>13</v>
      </c>
      <c r="M82" s="4">
        <v>15</v>
      </c>
      <c r="N82" s="4">
        <v>13</v>
      </c>
      <c r="O82" s="7"/>
      <c r="P82" s="4">
        <v>0.49</v>
      </c>
      <c r="Q82" s="4" t="str">
        <f t="shared" si="6"/>
        <v>0.49</v>
      </c>
      <c r="R82" s="4" t="str">
        <f>VLOOKUP(J82,eq!$D$2:$K$42,8,)</f>
        <v>((pi*X2*100/32)*((a+b)^2 + (c+d)^2))*0.25</v>
      </c>
      <c r="S82" s="4" t="str">
        <f t="shared" si="9"/>
        <v>((3.141593*0.49*100/32)*((15+13)^2 + (15+13)^2))*0.25</v>
      </c>
      <c r="T82" s="4" cm="1">
        <f t="array" ref="T82">eval_dw/2</f>
        <v>942.8705991249999</v>
      </c>
      <c r="U82" s="1">
        <f>T82*2/VLOOKUP(J82,eq!$D$2:$G$42,4,)</f>
        <v>7542.9647929999992</v>
      </c>
      <c r="V82" s="1">
        <f t="shared" si="10"/>
        <v>1885.7411982499998</v>
      </c>
      <c r="W82" s="1" cm="1">
        <f t="array" ref="W82">IF(LEFT(J82,1)="S",eval_S/2,((3.141593*Q82/32)*((K82/100+L82/100)^2+(M82/100+N82/100)^2))*1000000*VLOOKUP(J82,eq!$D$2:$G$42,4,)/2)</f>
        <v>942.87059912500001</v>
      </c>
      <c r="X82" s="1">
        <f>((3.141593*Q82/32)*((K82+L82)^2+(M82+N82)^2))*1000000*VLOOKUP(J82,eq!$D$2:$G$42,4,)/2</f>
        <v>9428705.991249999</v>
      </c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5.75" customHeight="1">
      <c r="A83" s="1" t="s">
        <v>16</v>
      </c>
      <c r="B83" s="4">
        <v>35</v>
      </c>
      <c r="C83" s="1" t="s">
        <v>8</v>
      </c>
      <c r="D83" s="1" t="s">
        <v>15</v>
      </c>
      <c r="E83" s="7" t="s">
        <v>12</v>
      </c>
      <c r="F83" s="4" t="str">
        <f t="shared" si="7"/>
        <v>GM_35_NA_B3</v>
      </c>
      <c r="G83" s="7" t="s">
        <v>8</v>
      </c>
      <c r="H83" s="7" t="s">
        <v>32</v>
      </c>
      <c r="I83" s="4">
        <v>4</v>
      </c>
      <c r="J83" s="4" t="str">
        <f t="shared" si="8"/>
        <v>T_4_NA</v>
      </c>
      <c r="K83" s="4">
        <v>17</v>
      </c>
      <c r="L83" s="4">
        <v>17</v>
      </c>
      <c r="M83" s="4">
        <v>17</v>
      </c>
      <c r="N83" s="4">
        <v>17</v>
      </c>
      <c r="O83" s="7"/>
      <c r="P83" s="4">
        <v>0.42</v>
      </c>
      <c r="Q83" s="4" t="str">
        <f t="shared" si="6"/>
        <v>0.42</v>
      </c>
      <c r="R83" s="4" t="str">
        <f>VLOOKUP(J83,eq!$D$2:$K$42,8,)</f>
        <v>((pi*X2*100/32)*((a+b)^2 + (c+d)^2))*0.25</v>
      </c>
      <c r="S83" s="4" t="str">
        <f t="shared" si="9"/>
        <v>((3.141593*0.42*100/32)*((17+17)^2 + (17+17)^2))*0.25</v>
      </c>
      <c r="T83" s="4" cm="1">
        <f t="array" ref="T83">eval_dw/2</f>
        <v>1191.6454948124999</v>
      </c>
      <c r="U83" s="1">
        <f>T83*2/VLOOKUP(J83,eq!$D$2:$G$42,4,)</f>
        <v>9533.1639584999994</v>
      </c>
      <c r="V83" s="1">
        <f t="shared" si="10"/>
        <v>2383.2909896249998</v>
      </c>
      <c r="W83" s="1" cm="1">
        <f t="array" ref="W83">IF(LEFT(J83,1)="S",eval_S/2,((3.141593*Q83/32)*((K83/100+L83/100)^2+(M83/100+N83/100)^2))*1000000*VLOOKUP(J83,eq!$D$2:$G$42,4,)/2)</f>
        <v>1191.6454948125001</v>
      </c>
      <c r="X83" s="1">
        <f>((3.141593*Q83/32)*((K83+L83)^2+(M83+N83)^2))*1000000*VLOOKUP(J83,eq!$D$2:$G$42,4,)/2</f>
        <v>11916454.948124999</v>
      </c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5.75" customHeight="1">
      <c r="A84" s="1" t="s">
        <v>16</v>
      </c>
      <c r="B84" s="4">
        <v>35</v>
      </c>
      <c r="C84" s="1" t="s">
        <v>8</v>
      </c>
      <c r="D84" s="1" t="s">
        <v>15</v>
      </c>
      <c r="E84" s="7" t="s">
        <v>12</v>
      </c>
      <c r="F84" s="4" t="str">
        <f t="shared" si="7"/>
        <v>GM_35_NA_B3</v>
      </c>
      <c r="G84" s="7" t="s">
        <v>8</v>
      </c>
      <c r="H84" s="7" t="s">
        <v>32</v>
      </c>
      <c r="I84" s="4">
        <v>4</v>
      </c>
      <c r="J84" s="4" t="str">
        <f t="shared" si="8"/>
        <v>T_4_NA</v>
      </c>
      <c r="K84" s="4">
        <v>17</v>
      </c>
      <c r="L84" s="4">
        <v>16</v>
      </c>
      <c r="M84" s="4">
        <v>17</v>
      </c>
      <c r="N84" s="4">
        <v>16</v>
      </c>
      <c r="O84" s="7"/>
      <c r="P84" s="4">
        <v>0.35</v>
      </c>
      <c r="Q84" s="4" t="str">
        <f t="shared" si="6"/>
        <v>0.35</v>
      </c>
      <c r="R84" s="4" t="str">
        <f>VLOOKUP(J84,eq!$D$2:$K$42,8,)</f>
        <v>((pi*X2*100/32)*((a+b)^2 + (c+d)^2))*0.25</v>
      </c>
      <c r="S84" s="4" t="str">
        <f t="shared" si="9"/>
        <v>((3.141593*0.35*100/32)*((17+16)^2 + (17+16)^2))*0.25</v>
      </c>
      <c r="T84" s="4" cm="1">
        <f t="array" ref="T84">eval_dw/2</f>
        <v>935.48294683593735</v>
      </c>
      <c r="U84" s="1">
        <f>T84*2/VLOOKUP(J84,eq!$D$2:$G$42,4,)</f>
        <v>7483.8635746874988</v>
      </c>
      <c r="V84" s="1">
        <f t="shared" si="10"/>
        <v>1870.9658936718747</v>
      </c>
      <c r="W84" s="1" cm="1">
        <f t="array" ref="W84">IF(LEFT(J84,1)="S",eval_S/2,((3.141593*Q84/32)*((K84/100+L84/100)^2+(M84/100+N84/100)^2))*1000000*VLOOKUP(J84,eq!$D$2:$G$42,4,)/2)</f>
        <v>935.48294683593747</v>
      </c>
      <c r="X84" s="1">
        <f>((3.141593*Q84/32)*((K84+L84)^2+(M84+N84)^2))*1000000*VLOOKUP(J84,eq!$D$2:$G$42,4,)/2</f>
        <v>9354829.4683593735</v>
      </c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5.75" customHeight="1">
      <c r="A85" s="1" t="s">
        <v>16</v>
      </c>
      <c r="B85" s="4">
        <v>35</v>
      </c>
      <c r="C85" s="1" t="s">
        <v>8</v>
      </c>
      <c r="D85" s="1" t="s">
        <v>15</v>
      </c>
      <c r="E85" s="4" t="s">
        <v>12</v>
      </c>
      <c r="F85" s="4" t="str">
        <f t="shared" si="7"/>
        <v>GM_35_NA_B3</v>
      </c>
      <c r="G85" s="7" t="s">
        <v>8</v>
      </c>
      <c r="H85" s="7" t="s">
        <v>32</v>
      </c>
      <c r="I85" s="4">
        <v>4</v>
      </c>
      <c r="J85" s="4" t="str">
        <f t="shared" si="8"/>
        <v>T_4_NA</v>
      </c>
      <c r="K85" s="4">
        <v>13</v>
      </c>
      <c r="L85" s="4">
        <v>15</v>
      </c>
      <c r="M85" s="4">
        <v>13</v>
      </c>
      <c r="N85" s="4">
        <v>15</v>
      </c>
      <c r="O85" s="7"/>
      <c r="P85" s="4">
        <v>0.31</v>
      </c>
      <c r="Q85" s="4" t="str">
        <f t="shared" si="6"/>
        <v>0.31</v>
      </c>
      <c r="R85" s="4" t="str">
        <f>VLOOKUP(J85,eq!$D$2:$K$42,8,)</f>
        <v>((pi*X2*100/32)*((a+b)^2 + (c+d)^2))*0.25</v>
      </c>
      <c r="S85" s="4" t="str">
        <f t="shared" si="9"/>
        <v>((3.141593*0.31*100/32)*((13+15)^2 + (13+15)^2))*0.25</v>
      </c>
      <c r="T85" s="4" cm="1">
        <f t="array" ref="T85">eval_dw/2</f>
        <v>596.50997087500002</v>
      </c>
      <c r="U85" s="1">
        <f>T85*2/VLOOKUP(J85,eq!$D$2:$G$42,4,)</f>
        <v>4772.0797670000002</v>
      </c>
      <c r="V85" s="1">
        <f t="shared" si="10"/>
        <v>1193.01994175</v>
      </c>
      <c r="W85" s="1" cm="1">
        <f t="array" ref="W85">IF(LEFT(J85,1)="S",eval_S/2,((3.141593*Q85/32)*((K85/100+L85/100)^2+(M85/100+N85/100)^2))*1000000*VLOOKUP(J85,eq!$D$2:$G$42,4,)/2)</f>
        <v>596.50997087500002</v>
      </c>
      <c r="X85" s="1">
        <f>((3.141593*Q85/32)*((K85+L85)^2+(M85+N85)^2))*1000000*VLOOKUP(J85,eq!$D$2:$G$42,4,)/2</f>
        <v>5965099.7087499993</v>
      </c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5.75" customHeight="1">
      <c r="A86" s="1" t="s">
        <v>16</v>
      </c>
      <c r="B86" s="4">
        <v>35</v>
      </c>
      <c r="C86" s="1" t="s">
        <v>8</v>
      </c>
      <c r="D86" s="1" t="s">
        <v>15</v>
      </c>
      <c r="E86" s="4" t="s">
        <v>10</v>
      </c>
      <c r="F86" s="4" t="str">
        <f t="shared" si="7"/>
        <v>GM_35_NA_B4</v>
      </c>
      <c r="G86" s="7" t="s">
        <v>8</v>
      </c>
      <c r="H86" s="7" t="s">
        <v>32</v>
      </c>
      <c r="I86" s="4">
        <v>4</v>
      </c>
      <c r="J86" s="4" t="str">
        <f t="shared" si="8"/>
        <v>T_4_NA</v>
      </c>
      <c r="K86" s="4">
        <v>16</v>
      </c>
      <c r="L86" s="7">
        <v>13</v>
      </c>
      <c r="M86" s="4">
        <v>16</v>
      </c>
      <c r="N86" s="7">
        <v>13</v>
      </c>
      <c r="O86" s="7"/>
      <c r="P86" s="4">
        <v>0.55000000000000004</v>
      </c>
      <c r="Q86" s="4" t="str">
        <f t="shared" si="6"/>
        <v>0.55</v>
      </c>
      <c r="R86" s="4" t="str">
        <f>VLOOKUP(J86,eq!$D$2:$K$42,8,)</f>
        <v>((pi*X2*100/32)*((a+b)^2 + (c+d)^2))*0.25</v>
      </c>
      <c r="S86" s="4" t="str">
        <f t="shared" si="9"/>
        <v>((3.141593*0.55*100/32)*((16+13)^2 + (16+13)^2))*0.25</v>
      </c>
      <c r="T86" s="4" cm="1">
        <f t="array" ref="T86">eval_dw/2</f>
        <v>1135.2686266796877</v>
      </c>
      <c r="U86" s="1">
        <f>T86*2/VLOOKUP(J86,eq!$D$2:$G$42,4,)</f>
        <v>9082.1490134375017</v>
      </c>
      <c r="V86" s="1">
        <f t="shared" si="10"/>
        <v>2270.5372533593754</v>
      </c>
      <c r="W86" s="1" cm="1">
        <f t="array" ref="W86">IF(LEFT(J86,1)="S",eval_S/2,((3.141593*Q86/32)*((K86/100+L86/100)^2+(M86/100+N86/100)^2))*1000000*VLOOKUP(J86,eq!$D$2:$G$42,4,)/2)</f>
        <v>1135.2686266796879</v>
      </c>
      <c r="X86" s="1">
        <f>((3.141593*Q86/32)*((K86+L86)^2+(M86+N86)^2))*1000000*VLOOKUP(J86,eq!$D$2:$G$42,4,)/2</f>
        <v>11352686.266796876</v>
      </c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customHeight="1">
      <c r="A87" s="1" t="s">
        <v>16</v>
      </c>
      <c r="B87" s="4">
        <v>36</v>
      </c>
      <c r="C87" s="1" t="s">
        <v>8</v>
      </c>
      <c r="D87" s="1" t="s">
        <v>15</v>
      </c>
      <c r="E87" s="4" t="s">
        <v>13</v>
      </c>
      <c r="F87" s="4" t="str">
        <f t="shared" si="7"/>
        <v>GM_36_NA_B1</v>
      </c>
      <c r="G87" s="4" t="s">
        <v>8</v>
      </c>
      <c r="H87" s="4" t="s">
        <v>9</v>
      </c>
      <c r="I87" s="4">
        <v>4</v>
      </c>
      <c r="J87" s="4" t="str">
        <f t="shared" si="8"/>
        <v>F_4_NA</v>
      </c>
      <c r="K87" s="4">
        <v>23</v>
      </c>
      <c r="L87" s="4">
        <v>24</v>
      </c>
      <c r="M87" s="4">
        <v>23</v>
      </c>
      <c r="N87" s="4">
        <v>24</v>
      </c>
      <c r="O87" s="4">
        <v>2.6</v>
      </c>
      <c r="P87" s="4"/>
      <c r="Q87" s="4" t="str">
        <f t="shared" si="6"/>
        <v>2.6</v>
      </c>
      <c r="R87" s="4" t="str">
        <f>VLOOKUP(J87,eq!$D$2:$K$42,8,)</f>
        <v>((pi*X2*100/32)*((a+b)^2 + (c+d)^2))*0.15</v>
      </c>
      <c r="S87" s="4" t="str">
        <f t="shared" si="9"/>
        <v>((3.141593*2.6*100/32)*((23+24)^2 + (23+24)^2))*0.15</v>
      </c>
      <c r="T87" s="4" cm="1">
        <f t="array" ref="T87">eval_dw/2</f>
        <v>8457.8555794687509</v>
      </c>
      <c r="U87" s="1">
        <f>T87*2/VLOOKUP(J87,eq!$D$2:$G$42,4,)</f>
        <v>112771.40772625002</v>
      </c>
      <c r="V87" s="1">
        <f t="shared" si="10"/>
        <v>16915.711158937502</v>
      </c>
      <c r="W87" s="1" cm="1">
        <f t="array" ref="W87">IF(LEFT(J87,1)="S",eval_S/2,((3.141593*Q87/32)*((K87/100+L87/100)^2+(M87/100+N87/100)^2))*1000000*VLOOKUP(J87,eq!$D$2:$G$42,4,)/2)</f>
        <v>8457.8555794687509</v>
      </c>
      <c r="X87" s="1">
        <f>((3.141593*Q87/32)*((K87+L87)^2+(M87+N87)^2))*1000000*VLOOKUP(J87,eq!$D$2:$G$42,4,)/2</f>
        <v>84578555.794687495</v>
      </c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customHeight="1">
      <c r="A88" s="1" t="s">
        <v>16</v>
      </c>
      <c r="B88" s="4">
        <v>36</v>
      </c>
      <c r="C88" s="1" t="s">
        <v>8</v>
      </c>
      <c r="D88" s="1" t="s">
        <v>15</v>
      </c>
      <c r="E88" s="4" t="s">
        <v>13</v>
      </c>
      <c r="F88" s="4" t="str">
        <f t="shared" si="7"/>
        <v>GM_36_NA_B1</v>
      </c>
      <c r="G88" s="4" t="s">
        <v>8</v>
      </c>
      <c r="H88" s="4" t="s">
        <v>9</v>
      </c>
      <c r="I88" s="4">
        <v>3</v>
      </c>
      <c r="J88" s="4" t="str">
        <f t="shared" si="8"/>
        <v>F_3_NA</v>
      </c>
      <c r="K88" s="4">
        <v>15</v>
      </c>
      <c r="L88" s="4">
        <v>14</v>
      </c>
      <c r="M88" s="4">
        <v>12</v>
      </c>
      <c r="N88" s="4">
        <v>13</v>
      </c>
      <c r="O88" s="4">
        <v>0.89</v>
      </c>
      <c r="P88" s="4"/>
      <c r="Q88" s="4" t="str">
        <f t="shared" si="6"/>
        <v>0.89</v>
      </c>
      <c r="R88" s="4" t="str">
        <f>VLOOKUP(J88,eq!$D$2:$K$42,8,)</f>
        <v>((pi*X2*100/32)*((a+b)^2 + (c+d)^2))*0.26</v>
      </c>
      <c r="S88" s="4" t="str">
        <f t="shared" si="9"/>
        <v>((3.141593*0.89*100/32)*((15+14)^2 + (12+13)^2))*0.26</v>
      </c>
      <c r="T88" s="4" cm="1">
        <f t="array" ref="T88">eval_dw/2</f>
        <v>1665.2033331456248</v>
      </c>
      <c r="U88" s="1">
        <f>T88*2/VLOOKUP(J88,eq!$D$2:$G$42,4,)</f>
        <v>12809.256408812498</v>
      </c>
      <c r="V88" s="1">
        <f t="shared" si="10"/>
        <v>3330.4066662912496</v>
      </c>
      <c r="W88" s="1" cm="1">
        <f t="array" ref="W88">IF(LEFT(J88,1)="S",eval_S/2,((3.141593*Q88/32)*((K88/100+L88/100)^2+(M88/100+N88/100)^2))*1000000*VLOOKUP(J88,eq!$D$2:$G$42,4,)/2)</f>
        <v>1665.203333145625</v>
      </c>
      <c r="X88" s="1">
        <f>((3.141593*Q88/32)*((K88+L88)^2+(M88+N88)^2))*1000000*VLOOKUP(J88,eq!$D$2:$G$42,4,)/2</f>
        <v>16652033.33145625</v>
      </c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customHeight="1">
      <c r="A89" s="1" t="s">
        <v>16</v>
      </c>
      <c r="B89" s="4">
        <v>36</v>
      </c>
      <c r="C89" s="1" t="s">
        <v>8</v>
      </c>
      <c r="D89" s="1" t="s">
        <v>15</v>
      </c>
      <c r="E89" s="4" t="s">
        <v>13</v>
      </c>
      <c r="F89" s="4" t="str">
        <f t="shared" si="7"/>
        <v>GM_36_NA_B1</v>
      </c>
      <c r="G89" s="4" t="s">
        <v>8</v>
      </c>
      <c r="H89" s="4" t="s">
        <v>9</v>
      </c>
      <c r="I89" s="4">
        <v>3</v>
      </c>
      <c r="J89" s="4" t="str">
        <f t="shared" si="8"/>
        <v>F_3_NA</v>
      </c>
      <c r="K89" s="4">
        <v>12</v>
      </c>
      <c r="L89" s="4">
        <v>12</v>
      </c>
      <c r="M89" s="4">
        <v>13</v>
      </c>
      <c r="N89" s="4">
        <v>14</v>
      </c>
      <c r="O89" s="4">
        <v>0.95</v>
      </c>
      <c r="P89" s="4"/>
      <c r="Q89" s="4" t="str">
        <f t="shared" si="6"/>
        <v>0.95</v>
      </c>
      <c r="R89" s="4" t="str">
        <f>VLOOKUP(J89,eq!$D$2:$K$42,8,)</f>
        <v>((pi*X2*100/32)*((a+b)^2 + (c+d)^2))*0.26</v>
      </c>
      <c r="S89" s="4" t="str">
        <f t="shared" si="9"/>
        <v>((3.141593*0.95*100/32)*((12+12)^2 + (13+14)^2))*0.26</v>
      </c>
      <c r="T89" s="4" cm="1">
        <f t="array" ref="T89">eval_dw/2</f>
        <v>1582.2584057109375</v>
      </c>
      <c r="U89" s="1">
        <f>T89*2/VLOOKUP(J89,eq!$D$2:$G$42,4,)</f>
        <v>12171.218505468749</v>
      </c>
      <c r="V89" s="1">
        <f t="shared" si="10"/>
        <v>3164.516811421875</v>
      </c>
      <c r="W89" s="1" cm="1">
        <f t="array" ref="W89">IF(LEFT(J89,1)="S",eval_S/2,((3.141593*Q89/32)*((K89/100+L89/100)^2+(M89/100+N89/100)^2))*1000000*VLOOKUP(J89,eq!$D$2:$G$42,4,)/2)</f>
        <v>1582.2584057109375</v>
      </c>
      <c r="X89" s="1">
        <f>((3.141593*Q89/32)*((K89+L89)^2+(M89+N89)^2))*1000000*VLOOKUP(J89,eq!$D$2:$G$42,4,)/2</f>
        <v>15822584.057109376</v>
      </c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customHeight="1">
      <c r="A90" s="1" t="s">
        <v>16</v>
      </c>
      <c r="B90" s="4">
        <v>36</v>
      </c>
      <c r="C90" s="1" t="s">
        <v>8</v>
      </c>
      <c r="D90" s="1" t="s">
        <v>15</v>
      </c>
      <c r="E90" s="4" t="s">
        <v>7</v>
      </c>
      <c r="F90" s="4" t="str">
        <f t="shared" si="7"/>
        <v>GM_36_NA_B2</v>
      </c>
      <c r="G90" s="4" t="s">
        <v>8</v>
      </c>
      <c r="H90" s="4" t="s">
        <v>9</v>
      </c>
      <c r="I90" s="4">
        <v>4</v>
      </c>
      <c r="J90" s="4" t="str">
        <f t="shared" si="8"/>
        <v>F_4_NA</v>
      </c>
      <c r="K90" s="4">
        <v>18</v>
      </c>
      <c r="L90" s="4">
        <v>17</v>
      </c>
      <c r="M90" s="4">
        <v>18</v>
      </c>
      <c r="N90" s="4">
        <v>17</v>
      </c>
      <c r="O90" s="4">
        <v>1.07</v>
      </c>
      <c r="P90" s="4"/>
      <c r="Q90" s="4" t="str">
        <f t="shared" si="6"/>
        <v>1.07</v>
      </c>
      <c r="R90" s="4" t="str">
        <f>VLOOKUP(J90,eq!$D$2:$K$42,8,)</f>
        <v>((pi*X2*100/32)*((a+b)^2 + (c+d)^2))*0.15</v>
      </c>
      <c r="S90" s="4" t="str">
        <f t="shared" si="9"/>
        <v>((3.141593*1.07*100/32)*((18+17)^2 + (18+17)^2))*0.15</v>
      </c>
      <c r="T90" s="4" cm="1">
        <f t="array" ref="T90">eval_dw/2</f>
        <v>1930.2389178515625</v>
      </c>
      <c r="U90" s="1">
        <f>T90*2/VLOOKUP(J90,eq!$D$2:$G$42,4,)</f>
        <v>25736.518904687502</v>
      </c>
      <c r="V90" s="1">
        <f t="shared" si="10"/>
        <v>3860.477835703125</v>
      </c>
      <c r="W90" s="1" cm="1">
        <f t="array" ref="W90">IF(LEFT(J90,1)="S",eval_S/2,((3.141593*Q90/32)*((K90/100+L90/100)^2+(M90/100+N90/100)^2))*1000000*VLOOKUP(J90,eq!$D$2:$G$42,4,)/2)</f>
        <v>1930.2389178515623</v>
      </c>
      <c r="X90" s="1">
        <f>((3.141593*Q90/32)*((K90+L90)^2+(M90+N90)^2))*1000000*VLOOKUP(J90,eq!$D$2:$G$42,4,)/2</f>
        <v>19302389.178515624</v>
      </c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customHeight="1">
      <c r="A91" s="1" t="s">
        <v>16</v>
      </c>
      <c r="B91" s="4">
        <v>36</v>
      </c>
      <c r="C91" s="1" t="s">
        <v>8</v>
      </c>
      <c r="D91" s="1" t="s">
        <v>15</v>
      </c>
      <c r="E91" s="4" t="s">
        <v>7</v>
      </c>
      <c r="F91" s="4" t="str">
        <f t="shared" si="7"/>
        <v>GM_36_NA_B2</v>
      </c>
      <c r="G91" s="4" t="s">
        <v>8</v>
      </c>
      <c r="H91" s="4" t="s">
        <v>9</v>
      </c>
      <c r="I91" s="4">
        <v>4</v>
      </c>
      <c r="J91" s="4" t="str">
        <f t="shared" si="8"/>
        <v>F_4_NA</v>
      </c>
      <c r="K91" s="4">
        <v>17</v>
      </c>
      <c r="L91" s="4">
        <v>15</v>
      </c>
      <c r="M91" s="4">
        <v>15</v>
      </c>
      <c r="N91" s="4">
        <v>15</v>
      </c>
      <c r="O91" s="4">
        <v>2.23</v>
      </c>
      <c r="P91" s="4"/>
      <c r="Q91" s="4" t="str">
        <f t="shared" si="6"/>
        <v>2.23</v>
      </c>
      <c r="R91" s="4" t="str">
        <f>VLOOKUP(J91,eq!$D$2:$K$42,8,)</f>
        <v>((pi*X2*100/32)*((a+b)^2 + (c+d)^2))*0.15</v>
      </c>
      <c r="S91" s="4" t="str">
        <f t="shared" si="9"/>
        <v>((3.141593*2.23*100/32)*((17+15)^2 + (15+15)^2))*0.15</v>
      </c>
      <c r="T91" s="4" cm="1">
        <f t="array" ref="T91">eval_dw/2</f>
        <v>3159.1564683656247</v>
      </c>
      <c r="U91" s="1">
        <f>T91*2/VLOOKUP(J91,eq!$D$2:$G$42,4,)</f>
        <v>42122.086244874998</v>
      </c>
      <c r="V91" s="1">
        <f t="shared" si="10"/>
        <v>6318.3129367312495</v>
      </c>
      <c r="W91" s="1" cm="1">
        <f t="array" ref="W91">IF(LEFT(J91,1)="S",eval_S/2,((3.141593*Q91/32)*((K91/100+L91/100)^2+(M91/100+N91/100)^2))*1000000*VLOOKUP(J91,eq!$D$2:$G$42,4,)/2)</f>
        <v>3159.1564683656247</v>
      </c>
      <c r="X91" s="1">
        <f>((3.141593*Q91/32)*((K91+L91)^2+(M91+N91)^2))*1000000*VLOOKUP(J91,eq!$D$2:$G$42,4,)/2</f>
        <v>31591564.683656245</v>
      </c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customHeight="1">
      <c r="A92" s="1" t="s">
        <v>16</v>
      </c>
      <c r="B92" s="4">
        <v>36</v>
      </c>
      <c r="C92" s="1" t="s">
        <v>8</v>
      </c>
      <c r="D92" s="1" t="s">
        <v>15</v>
      </c>
      <c r="E92" s="4" t="s">
        <v>7</v>
      </c>
      <c r="F92" s="4" t="str">
        <f t="shared" si="7"/>
        <v>GM_36_NA_B2</v>
      </c>
      <c r="G92" s="4" t="s">
        <v>8</v>
      </c>
      <c r="H92" s="4" t="s">
        <v>9</v>
      </c>
      <c r="I92" s="4">
        <v>4</v>
      </c>
      <c r="J92" s="4" t="str">
        <f t="shared" si="8"/>
        <v>F_4_NA</v>
      </c>
      <c r="K92" s="4">
        <v>18</v>
      </c>
      <c r="L92" s="4">
        <v>19</v>
      </c>
      <c r="M92" s="4">
        <v>18</v>
      </c>
      <c r="N92" s="4">
        <v>19</v>
      </c>
      <c r="O92" s="4">
        <v>1.56</v>
      </c>
      <c r="P92" s="4"/>
      <c r="Q92" s="4" t="str">
        <f t="shared" si="6"/>
        <v>1.56</v>
      </c>
      <c r="R92" s="4" t="str">
        <f>VLOOKUP(J92,eq!$D$2:$K$42,8,)</f>
        <v>((pi*X2*100/32)*((a+b)^2 + (c+d)^2))*0.15</v>
      </c>
      <c r="S92" s="4" t="str">
        <f t="shared" si="9"/>
        <v>((3.141593*1.56*100/32)*((18+19)^2 + (18+19)^2))*0.15</v>
      </c>
      <c r="T92" s="4" cm="1">
        <f t="array" ref="T92">eval_dw/2</f>
        <v>3144.9898474312499</v>
      </c>
      <c r="U92" s="1">
        <f>T92*2/VLOOKUP(J92,eq!$D$2:$G$42,4,)</f>
        <v>41933.197965749998</v>
      </c>
      <c r="V92" s="1">
        <f t="shared" si="10"/>
        <v>6289.9796948624999</v>
      </c>
      <c r="W92" s="1" cm="1">
        <f t="array" ref="W92">IF(LEFT(J92,1)="S",eval_S/2,((3.141593*Q92/32)*((K92/100+L92/100)^2+(M92/100+N92/100)^2))*1000000*VLOOKUP(J92,eq!$D$2:$G$42,4,)/2)</f>
        <v>3144.9898474312499</v>
      </c>
      <c r="X92" s="1">
        <f>((3.141593*Q92/32)*((K92+L92)^2+(M92+N92)^2))*1000000*VLOOKUP(J92,eq!$D$2:$G$42,4,)/2</f>
        <v>31449898.474312499</v>
      </c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customHeight="1">
      <c r="A93" s="1" t="s">
        <v>16</v>
      </c>
      <c r="B93" s="4">
        <v>36</v>
      </c>
      <c r="C93" s="1" t="s">
        <v>8</v>
      </c>
      <c r="D93" s="1" t="s">
        <v>15</v>
      </c>
      <c r="E93" s="4" t="s">
        <v>12</v>
      </c>
      <c r="F93" s="4" t="str">
        <f t="shared" si="7"/>
        <v>GM_36_NA_B3</v>
      </c>
      <c r="G93" s="4" t="s">
        <v>8</v>
      </c>
      <c r="H93" s="4" t="s">
        <v>9</v>
      </c>
      <c r="I93" s="4">
        <v>3</v>
      </c>
      <c r="J93" s="4" t="str">
        <f t="shared" si="8"/>
        <v>F_3_NA</v>
      </c>
      <c r="K93" s="4">
        <v>26</v>
      </c>
      <c r="L93" s="4">
        <v>28</v>
      </c>
      <c r="M93" s="4">
        <v>26</v>
      </c>
      <c r="N93" s="4">
        <v>29</v>
      </c>
      <c r="O93" s="4">
        <v>1.9</v>
      </c>
      <c r="P93" s="4"/>
      <c r="Q93" s="4" t="str">
        <f t="shared" si="6"/>
        <v>1.9</v>
      </c>
      <c r="R93" s="4" t="str">
        <f>VLOOKUP(J93,eq!$D$2:$K$42,8,)</f>
        <v>((pi*X2*100/32)*((a+b)^2 + (c+d)^2))*0.26</v>
      </c>
      <c r="S93" s="4" t="str">
        <f t="shared" si="9"/>
        <v>((3.141593*1.9*100/32)*((26+28)^2 + (26+29)^2))*0.26</v>
      </c>
      <c r="T93" s="4" cm="1">
        <f t="array" ref="T93">eval_dw/2</f>
        <v>14406.432472534374</v>
      </c>
      <c r="U93" s="1">
        <f>T93*2/VLOOKUP(J93,eq!$D$2:$G$42,4,)</f>
        <v>110818.71132718748</v>
      </c>
      <c r="V93" s="1">
        <f t="shared" si="10"/>
        <v>28812.864945068748</v>
      </c>
      <c r="W93" s="1" cm="1">
        <f t="array" ref="W93">IF(LEFT(J93,1)="S",eval_S/2,((3.141593*Q93/32)*((K93/100+L93/100)^2+(M93/100+N93/100)^2))*1000000*VLOOKUP(J93,eq!$D$2:$G$42,4,)/2)</f>
        <v>14406.432472534378</v>
      </c>
      <c r="X93" s="1">
        <f>((3.141593*Q93/32)*((K93+L93)^2+(M93+N93)^2))*1000000*VLOOKUP(J93,eq!$D$2:$G$42,4,)/2</f>
        <v>144064324.72534373</v>
      </c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customHeight="1">
      <c r="A94" s="1" t="s">
        <v>16</v>
      </c>
      <c r="B94" s="4">
        <v>36</v>
      </c>
      <c r="C94" s="1" t="s">
        <v>8</v>
      </c>
      <c r="D94" s="1" t="s">
        <v>15</v>
      </c>
      <c r="E94" s="4" t="s">
        <v>12</v>
      </c>
      <c r="F94" s="4" t="str">
        <f t="shared" si="7"/>
        <v>GM_36_NA_B3</v>
      </c>
      <c r="G94" s="4" t="s">
        <v>8</v>
      </c>
      <c r="H94" s="4" t="s">
        <v>32</v>
      </c>
      <c r="I94" s="4">
        <v>5</v>
      </c>
      <c r="J94" s="4" t="str">
        <f t="shared" si="8"/>
        <v>T_5_NA</v>
      </c>
      <c r="K94" s="4">
        <v>16</v>
      </c>
      <c r="L94" s="4">
        <v>15</v>
      </c>
      <c r="M94" s="4">
        <v>16</v>
      </c>
      <c r="N94" s="4">
        <v>15</v>
      </c>
      <c r="O94" s="4"/>
      <c r="P94" s="4">
        <v>0.7</v>
      </c>
      <c r="Q94" s="4" t="str">
        <f t="shared" si="6"/>
        <v>0.7</v>
      </c>
      <c r="R94" s="4" t="str">
        <f>VLOOKUP(J94,eq!$D$2:$K$42,8,)</f>
        <v>((pi*X2*100/32)*((a+b)^2 + (c+d)^2))*0.25</v>
      </c>
      <c r="S94" s="4" t="str">
        <f t="shared" si="9"/>
        <v>((3.141593*0.7*100/32)*((16+15)^2 + (16+15)^2))*0.25</v>
      </c>
      <c r="T94" s="4" cm="1">
        <f t="array" ref="T94">eval_dw/2</f>
        <v>1651.0543836718748</v>
      </c>
      <c r="U94" s="1">
        <f>T94*2/VLOOKUP(J94,eq!$D$2:$G$42,4,)</f>
        <v>13208.435069374998</v>
      </c>
      <c r="V94" s="1">
        <f t="shared" si="10"/>
        <v>3302.1087673437496</v>
      </c>
      <c r="W94" s="1" cm="1">
        <f t="array" ref="W94">IF(LEFT(J94,1)="S",eval_S/2,((3.141593*Q94/32)*((K94/100+L94/100)^2+(M94/100+N94/100)^2))*1000000*VLOOKUP(J94,eq!$D$2:$G$42,4,)/2)</f>
        <v>1651.054383671875</v>
      </c>
      <c r="X94" s="1">
        <f>((3.141593*Q94/32)*((K94+L94)^2+(M94+N94)^2))*1000000*VLOOKUP(J94,eq!$D$2:$G$42,4,)/2</f>
        <v>16510543.836718749</v>
      </c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customHeight="1">
      <c r="A95" s="1" t="s">
        <v>16</v>
      </c>
      <c r="B95" s="4">
        <v>36</v>
      </c>
      <c r="C95" s="1" t="s">
        <v>8</v>
      </c>
      <c r="D95" s="1" t="s">
        <v>15</v>
      </c>
      <c r="E95" s="4" t="s">
        <v>10</v>
      </c>
      <c r="F95" s="4" t="str">
        <f t="shared" si="7"/>
        <v>GM_36_NA_B4</v>
      </c>
      <c r="G95" s="4" t="s">
        <v>8</v>
      </c>
      <c r="H95" s="4" t="s">
        <v>9</v>
      </c>
      <c r="I95" s="4">
        <v>4</v>
      </c>
      <c r="J95" s="4" t="str">
        <f t="shared" si="8"/>
        <v>F_4_NA</v>
      </c>
      <c r="K95" s="4">
        <v>17</v>
      </c>
      <c r="L95" s="4">
        <v>15</v>
      </c>
      <c r="M95" s="4">
        <v>17</v>
      </c>
      <c r="N95" s="4">
        <v>15</v>
      </c>
      <c r="O95" s="4">
        <v>1.68</v>
      </c>
      <c r="P95" s="4"/>
      <c r="Q95" s="4" t="str">
        <f t="shared" si="6"/>
        <v>1.68</v>
      </c>
      <c r="R95" s="4" t="str">
        <f>VLOOKUP(J95,eq!$D$2:$K$42,8,)</f>
        <v>((pi*X2*100/32)*((a+b)^2 + (c+d)^2))*0.15</v>
      </c>
      <c r="S95" s="4" t="str">
        <f t="shared" si="9"/>
        <v>((3.141593*1.68*100/32)*((17+15)^2 + (17+15)^2))*0.15</v>
      </c>
      <c r="T95" s="4" cm="1">
        <f t="array" ref="T95">eval_dw/2</f>
        <v>2533.3805951999998</v>
      </c>
      <c r="U95" s="1">
        <f>T95*2/VLOOKUP(J95,eq!$D$2:$G$42,4,)</f>
        <v>33778.407935999996</v>
      </c>
      <c r="V95" s="1">
        <f t="shared" si="10"/>
        <v>5066.7611903999996</v>
      </c>
      <c r="W95" s="1" cm="1">
        <f t="array" ref="W95">IF(LEFT(J95,1)="S",eval_S/2,((3.141593*Q95/32)*((K95/100+L95/100)^2+(M95/100+N95/100)^2))*1000000*VLOOKUP(J95,eq!$D$2:$G$42,4,)/2)</f>
        <v>2533.3805951999998</v>
      </c>
      <c r="X95" s="1">
        <f>((3.141593*Q95/32)*((K95+L95)^2+(M95+N95)^2))*1000000*VLOOKUP(J95,eq!$D$2:$G$42,4,)/2</f>
        <v>25333805.951999996</v>
      </c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customHeight="1">
      <c r="A96" s="1" t="s">
        <v>16</v>
      </c>
      <c r="B96" s="4">
        <v>36</v>
      </c>
      <c r="C96" s="1" t="s">
        <v>8</v>
      </c>
      <c r="D96" s="1" t="s">
        <v>15</v>
      </c>
      <c r="E96" s="4" t="s">
        <v>10</v>
      </c>
      <c r="F96" s="4" t="str">
        <f t="shared" si="7"/>
        <v>GM_36_NA_B4</v>
      </c>
      <c r="G96" s="4" t="s">
        <v>8</v>
      </c>
      <c r="H96" s="4" t="s">
        <v>32</v>
      </c>
      <c r="I96" s="4">
        <v>5</v>
      </c>
      <c r="J96" s="4" t="str">
        <f t="shared" si="8"/>
        <v>T_5_NA</v>
      </c>
      <c r="K96" s="4">
        <v>15</v>
      </c>
      <c r="L96" s="4">
        <v>16</v>
      </c>
      <c r="M96" s="4">
        <v>15</v>
      </c>
      <c r="N96" s="4">
        <v>16</v>
      </c>
      <c r="O96" s="4"/>
      <c r="P96" s="4">
        <v>0.64</v>
      </c>
      <c r="Q96" s="4" t="str">
        <f t="shared" si="6"/>
        <v>0.64</v>
      </c>
      <c r="R96" s="4" t="str">
        <f>VLOOKUP(J96,eq!$D$2:$K$42,8,)</f>
        <v>((pi*X2*100/32)*((a+b)^2 + (c+d)^2))*0.25</v>
      </c>
      <c r="S96" s="4" t="str">
        <f t="shared" si="9"/>
        <v>((3.141593*0.64*100/32)*((15+16)^2 + (15+16)^2))*0.25</v>
      </c>
      <c r="T96" s="4" cm="1">
        <f t="array" ref="T96">eval_dw/2</f>
        <v>1509.5354365000001</v>
      </c>
      <c r="U96" s="1">
        <f>T96*2/VLOOKUP(J96,eq!$D$2:$G$42,4,)</f>
        <v>12076.283492</v>
      </c>
      <c r="V96" s="1">
        <f t="shared" si="10"/>
        <v>3019.0708730000001</v>
      </c>
      <c r="W96" s="1" cm="1">
        <f t="array" ref="W96">IF(LEFT(J96,1)="S",eval_S/2,((3.141593*Q96/32)*((K96/100+L96/100)^2+(M96/100+N96/100)^2))*1000000*VLOOKUP(J96,eq!$D$2:$G$42,4,)/2)</f>
        <v>1509.5354365000003</v>
      </c>
      <c r="X96" s="1">
        <f>((3.141593*Q96/32)*((K96+L96)^2+(M96+N96)^2))*1000000*VLOOKUP(J96,eq!$D$2:$G$42,4,)/2</f>
        <v>15095354.365</v>
      </c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customHeight="1">
      <c r="A97" s="1" t="s">
        <v>16</v>
      </c>
      <c r="B97" s="4">
        <v>36</v>
      </c>
      <c r="C97" s="1" t="s">
        <v>8</v>
      </c>
      <c r="D97" s="1" t="s">
        <v>15</v>
      </c>
      <c r="E97" s="4" t="s">
        <v>10</v>
      </c>
      <c r="F97" s="4" t="str">
        <f t="shared" si="7"/>
        <v>GM_36_NA_B4</v>
      </c>
      <c r="G97" s="4" t="s">
        <v>8</v>
      </c>
      <c r="H97" s="4" t="s">
        <v>9</v>
      </c>
      <c r="I97" s="4">
        <v>3</v>
      </c>
      <c r="J97" s="4" t="str">
        <f t="shared" si="8"/>
        <v>F_3_NA</v>
      </c>
      <c r="K97" s="4">
        <v>13</v>
      </c>
      <c r="L97" s="4">
        <v>14</v>
      </c>
      <c r="M97" s="4">
        <v>13</v>
      </c>
      <c r="N97" s="4">
        <v>14</v>
      </c>
      <c r="O97" s="4">
        <v>0.81</v>
      </c>
      <c r="P97" s="4"/>
      <c r="Q97" s="4" t="str">
        <f t="shared" si="6"/>
        <v>0.81</v>
      </c>
      <c r="R97" s="4" t="str">
        <f>VLOOKUP(J97,eq!$D$2:$K$42,8,)</f>
        <v>((pi*X2*100/32)*((a+b)^2 + (c+d)^2))*0.26</v>
      </c>
      <c r="S97" s="4" t="str">
        <f t="shared" si="9"/>
        <v>((3.141593*0.81*100/32)*((13+14)^2 + (13+14)^2))*0.26</v>
      </c>
      <c r="T97" s="4" cm="1">
        <f t="array" ref="T97">eval_dw/2</f>
        <v>1507.2518910881249</v>
      </c>
      <c r="U97" s="1">
        <f>T97*2/VLOOKUP(J97,eq!$D$2:$G$42,4,)</f>
        <v>11594.245316062499</v>
      </c>
      <c r="V97" s="1">
        <f t="shared" si="10"/>
        <v>3014.5037821762498</v>
      </c>
      <c r="W97" s="1" cm="1">
        <f t="array" ref="W97">IF(LEFT(J97,1)="S",eval_S/2,((3.141593*Q97/32)*((K97/100+L97/100)^2+(M97/100+N97/100)^2))*1000000*VLOOKUP(J97,eq!$D$2:$G$42,4,)/2)</f>
        <v>1507.2518910881251</v>
      </c>
      <c r="X97" s="1">
        <f>((3.141593*Q97/32)*((K97+L97)^2+(M97+N97)^2))*1000000*VLOOKUP(J97,eq!$D$2:$G$42,4,)/2</f>
        <v>15072518.910881249</v>
      </c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customHeight="1">
      <c r="A98" s="1" t="s">
        <v>16</v>
      </c>
      <c r="B98" s="4">
        <v>36</v>
      </c>
      <c r="C98" s="1" t="s">
        <v>8</v>
      </c>
      <c r="D98" s="1" t="s">
        <v>15</v>
      </c>
      <c r="E98" s="4" t="s">
        <v>10</v>
      </c>
      <c r="F98" s="4" t="str">
        <f t="shared" si="7"/>
        <v>GM_36_NA_B4</v>
      </c>
      <c r="G98" s="4" t="s">
        <v>8</v>
      </c>
      <c r="H98" s="4" t="s">
        <v>32</v>
      </c>
      <c r="I98" s="4">
        <v>5</v>
      </c>
      <c r="J98" s="4" t="str">
        <f t="shared" si="8"/>
        <v>T_5_NA</v>
      </c>
      <c r="K98" s="4">
        <v>13</v>
      </c>
      <c r="L98" s="4">
        <v>12</v>
      </c>
      <c r="M98" s="4">
        <v>13</v>
      </c>
      <c r="N98" s="4">
        <v>12</v>
      </c>
      <c r="O98" s="4"/>
      <c r="P98" s="4">
        <v>0.64</v>
      </c>
      <c r="Q98" s="4" t="str">
        <f t="shared" si="6"/>
        <v>0.64</v>
      </c>
      <c r="R98" s="4" t="str">
        <f>VLOOKUP(J98,eq!$D$2:$K$42,8,)</f>
        <v>((pi*X2*100/32)*((a+b)^2 + (c+d)^2))*0.25</v>
      </c>
      <c r="S98" s="4" t="str">
        <f t="shared" si="9"/>
        <v>((3.141593*0.64*100/32)*((13+12)^2 + (13+12)^2))*0.25</v>
      </c>
      <c r="T98" s="4" cm="1">
        <f t="array" ref="T98">eval_dw/2</f>
        <v>981.74781250000012</v>
      </c>
      <c r="U98" s="1">
        <f>T98*2/VLOOKUP(J98,eq!$D$2:$G$42,4,)</f>
        <v>7853.982500000001</v>
      </c>
      <c r="V98" s="1">
        <f t="shared" si="10"/>
        <v>1963.4956250000002</v>
      </c>
      <c r="W98" s="1" cm="1">
        <f t="array" ref="W98">IF(LEFT(J98,1)="S",eval_S/2,((3.141593*Q98/32)*((K98/100+L98/100)^2+(M98/100+N98/100)^2))*1000000*VLOOKUP(J98,eq!$D$2:$G$42,4,)/2)</f>
        <v>981.74781250000001</v>
      </c>
      <c r="X98" s="1">
        <f>((3.141593*Q98/32)*((K98+L98)^2+(M98+N98)^2))*1000000*VLOOKUP(J98,eq!$D$2:$G$42,4,)/2</f>
        <v>9817478.1250000019</v>
      </c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customHeight="1">
      <c r="A99" s="1" t="s">
        <v>16</v>
      </c>
      <c r="B99" s="4">
        <v>36</v>
      </c>
      <c r="C99" s="1" t="s">
        <v>8</v>
      </c>
      <c r="D99" s="1" t="s">
        <v>15</v>
      </c>
      <c r="E99" s="4" t="s">
        <v>10</v>
      </c>
      <c r="F99" s="4" t="str">
        <f t="shared" si="7"/>
        <v>GM_36_NA_B4</v>
      </c>
      <c r="G99" s="4" t="s">
        <v>8</v>
      </c>
      <c r="H99" s="4" t="s">
        <v>32</v>
      </c>
      <c r="I99" s="4">
        <v>5</v>
      </c>
      <c r="J99" s="4" t="str">
        <f t="shared" si="8"/>
        <v>T_5_NA</v>
      </c>
      <c r="K99" s="4">
        <v>11</v>
      </c>
      <c r="L99" s="4">
        <v>12</v>
      </c>
      <c r="M99" s="4">
        <v>11</v>
      </c>
      <c r="N99" s="4">
        <v>12</v>
      </c>
      <c r="O99" s="4"/>
      <c r="P99" s="4">
        <v>0.65</v>
      </c>
      <c r="Q99" s="4" t="str">
        <f t="shared" si="6"/>
        <v>0.65</v>
      </c>
      <c r="R99" s="4" t="str">
        <f>VLOOKUP(J99,eq!$D$2:$K$42,8,)</f>
        <v>((pi*X2*100/32)*((a+b)^2 + (c+d)^2))*0.25</v>
      </c>
      <c r="S99" s="4" t="str">
        <f t="shared" si="9"/>
        <v>((3.141593*0.65*100/32)*((11+12)^2 + (11+12)^2))*0.25</v>
      </c>
      <c r="T99" s="4" cm="1">
        <f t="array" ref="T99">eval_dw/2</f>
        <v>843.93496332031259</v>
      </c>
      <c r="U99" s="1">
        <f>T99*2/VLOOKUP(J99,eq!$D$2:$G$42,4,)</f>
        <v>6751.4797065625007</v>
      </c>
      <c r="V99" s="1">
        <f t="shared" si="10"/>
        <v>1687.8699266406252</v>
      </c>
      <c r="W99" s="1" cm="1">
        <f t="array" ref="W99">IF(LEFT(J99,1)="S",eval_S/2,((3.141593*Q99/32)*((K99/100+L99/100)^2+(M99/100+N99/100)^2))*1000000*VLOOKUP(J99,eq!$D$2:$G$42,4,)/2)</f>
        <v>843.93496332031236</v>
      </c>
      <c r="X99" s="1">
        <f>((3.141593*Q99/32)*((K99+L99)^2+(M99+N99)^2))*1000000*VLOOKUP(J99,eq!$D$2:$G$42,4,)/2</f>
        <v>8439349.6332031246</v>
      </c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customHeight="1">
      <c r="A100" s="1" t="s">
        <v>16</v>
      </c>
      <c r="B100" s="4">
        <v>36</v>
      </c>
      <c r="C100" s="1" t="s">
        <v>8</v>
      </c>
      <c r="D100" s="1" t="s">
        <v>15</v>
      </c>
      <c r="E100" s="4" t="s">
        <v>10</v>
      </c>
      <c r="F100" s="4" t="str">
        <f t="shared" si="7"/>
        <v>GM_36_NA_B4</v>
      </c>
      <c r="G100" s="4" t="s">
        <v>8</v>
      </c>
      <c r="H100" s="4" t="s">
        <v>9</v>
      </c>
      <c r="I100" s="4">
        <v>4</v>
      </c>
      <c r="J100" s="4" t="str">
        <f t="shared" si="8"/>
        <v>F_4_NA</v>
      </c>
      <c r="K100" s="4">
        <v>18</v>
      </c>
      <c r="L100" s="4">
        <v>17</v>
      </c>
      <c r="M100" s="4">
        <v>17</v>
      </c>
      <c r="N100" s="4">
        <v>19</v>
      </c>
      <c r="O100" s="4">
        <v>0.41</v>
      </c>
      <c r="P100" s="4"/>
      <c r="Q100" s="4" t="str">
        <f t="shared" si="6"/>
        <v>0.41</v>
      </c>
      <c r="R100" s="4" t="str">
        <f>VLOOKUP(J100,eq!$D$2:$K$42,8,)</f>
        <v>((pi*X2*100/32)*((a+b)^2 + (c+d)^2))*0.15</v>
      </c>
      <c r="S100" s="4" t="str">
        <f t="shared" si="9"/>
        <v>((3.141593*0.41*100/32)*((18+17)^2 + (17+19)^2))*0.15</v>
      </c>
      <c r="T100" s="4" cm="1">
        <f t="array" ref="T100">eval_dw/2</f>
        <v>761.05826735859353</v>
      </c>
      <c r="U100" s="1">
        <f>T100*2/VLOOKUP(J100,eq!$D$2:$G$42,4,)</f>
        <v>10147.443564781248</v>
      </c>
      <c r="V100" s="1">
        <f t="shared" si="10"/>
        <v>1522.1165347171871</v>
      </c>
      <c r="W100" s="1" cm="1">
        <f t="array" ref="W100">IF(LEFT(J100,1)="S",eval_S/2,((3.141593*Q100/32)*((K100/100+L100/100)^2+(M100/100+N100/100)^2))*1000000*VLOOKUP(J100,eq!$D$2:$G$42,4,)/2)</f>
        <v>761.05826735859353</v>
      </c>
      <c r="X100" s="1">
        <f>((3.141593*Q100/32)*((K100+L100)^2+(M100+N100)^2))*1000000*VLOOKUP(J100,eq!$D$2:$G$42,4,)/2</f>
        <v>7610582.6735859364</v>
      </c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customHeight="1">
      <c r="A101" s="1" t="s">
        <v>16</v>
      </c>
      <c r="B101" s="4">
        <v>4</v>
      </c>
      <c r="C101" s="1" t="s">
        <v>8</v>
      </c>
      <c r="D101" s="1" t="s">
        <v>17</v>
      </c>
      <c r="E101" s="4" t="s">
        <v>13</v>
      </c>
      <c r="F101" s="4" t="str">
        <f t="shared" si="7"/>
        <v>GM_4_NA_B1</v>
      </c>
      <c r="G101" s="4" t="s">
        <v>8</v>
      </c>
      <c r="H101" s="4" t="s">
        <v>9</v>
      </c>
      <c r="I101" s="4">
        <v>3</v>
      </c>
      <c r="J101" s="4" t="str">
        <f t="shared" si="8"/>
        <v>F_3_NA</v>
      </c>
      <c r="K101" s="4">
        <v>10</v>
      </c>
      <c r="L101" s="4">
        <v>10</v>
      </c>
      <c r="M101" s="4">
        <v>13</v>
      </c>
      <c r="N101" s="4">
        <v>13</v>
      </c>
      <c r="O101" s="4">
        <v>3</v>
      </c>
      <c r="P101" s="4"/>
      <c r="Q101" s="4" t="str">
        <f t="shared" si="6"/>
        <v>3</v>
      </c>
      <c r="R101" s="4" t="str">
        <f>VLOOKUP(J101,eq!$D$2:$K$42,8,)</f>
        <v>((pi*X2*100/32)*((a+b)^2 + (c+d)^2))*0.26</v>
      </c>
      <c r="S101" s="4" t="str">
        <f t="shared" si="9"/>
        <v>((3.141593*3*100/32)*((10+10)^2 + (13+13)^2))*0.26</v>
      </c>
      <c r="T101" s="4" cm="1">
        <f t="array" ref="T101">eval_dw/2</f>
        <v>4119.8065203749993</v>
      </c>
      <c r="U101" s="1">
        <f>T101*2/VLOOKUP(J101,eq!$D$2:$G$42,4,)</f>
        <v>31690.819387499992</v>
      </c>
      <c r="V101" s="1">
        <f t="shared" si="10"/>
        <v>8239.6130407499986</v>
      </c>
      <c r="W101" s="1" cm="1">
        <f t="array" ref="W101">IF(LEFT(J101,1)="S",eval_S/2,((3.141593*Q101/32)*((K101/100+L101/100)^2+(M101/100+N101/100)^2))*1000000*VLOOKUP(J101,eq!$D$2:$G$42,4,)/2)</f>
        <v>4119.8065203750002</v>
      </c>
      <c r="X101" s="1">
        <f>((3.141593*Q101/32)*((K101+L101)^2+(M101+N101)^2))*1000000*VLOOKUP(J101,eq!$D$2:$G$42,4,)/2</f>
        <v>41198065.203749999</v>
      </c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customHeight="1">
      <c r="A102" s="1" t="s">
        <v>16</v>
      </c>
      <c r="B102" s="4">
        <v>4</v>
      </c>
      <c r="C102" s="1" t="s">
        <v>8</v>
      </c>
      <c r="D102" s="1" t="s">
        <v>17</v>
      </c>
      <c r="E102" s="4" t="s">
        <v>7</v>
      </c>
      <c r="F102" s="4" t="str">
        <f t="shared" si="7"/>
        <v>GM_4_NA_B2</v>
      </c>
      <c r="G102" s="4" t="s">
        <v>8</v>
      </c>
      <c r="H102" s="4" t="s">
        <v>9</v>
      </c>
      <c r="I102" s="4">
        <v>3</v>
      </c>
      <c r="J102" s="4" t="str">
        <f t="shared" si="8"/>
        <v>F_3_NA</v>
      </c>
      <c r="K102" s="4">
        <v>13</v>
      </c>
      <c r="L102" s="4">
        <v>14</v>
      </c>
      <c r="M102" s="4">
        <v>13</v>
      </c>
      <c r="N102" s="4">
        <v>14</v>
      </c>
      <c r="O102" s="4">
        <v>0.77</v>
      </c>
      <c r="P102" s="4"/>
      <c r="Q102" s="4" t="str">
        <f t="shared" si="6"/>
        <v>0.77</v>
      </c>
      <c r="R102" s="4" t="str">
        <f>VLOOKUP(J102,eq!$D$2:$K$42,8,)</f>
        <v>((pi*X2*100/32)*((a+b)^2 + (c+d)^2))*0.26</v>
      </c>
      <c r="S102" s="4" t="str">
        <f t="shared" si="9"/>
        <v>((3.141593*0.77*100/32)*((13+14)^2 + (13+14)^2))*0.26</v>
      </c>
      <c r="T102" s="4" cm="1">
        <f t="array" ref="T102">eval_dw/2</f>
        <v>1432.819698935625</v>
      </c>
      <c r="U102" s="1">
        <f>T102*2/VLOOKUP(J102,eq!$D$2:$G$42,4,)</f>
        <v>11021.6899918125</v>
      </c>
      <c r="V102" s="1">
        <f t="shared" si="10"/>
        <v>2865.6393978712499</v>
      </c>
      <c r="W102" s="1" cm="1">
        <f t="array" ref="W102">IF(LEFT(J102,1)="S",eval_S/2,((3.141593*Q102/32)*((K102/100+L102/100)^2+(M102/100+N102/100)^2))*1000000*VLOOKUP(J102,eq!$D$2:$G$42,4,)/2)</f>
        <v>1432.8196989356252</v>
      </c>
      <c r="X102" s="1">
        <f>((3.141593*Q102/32)*((K102+L102)^2+(M102+N102)^2))*1000000*VLOOKUP(J102,eq!$D$2:$G$42,4,)/2</f>
        <v>14328196.98935625</v>
      </c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customHeight="1">
      <c r="A103" s="1" t="s">
        <v>16</v>
      </c>
      <c r="B103" s="4">
        <v>4</v>
      </c>
      <c r="C103" s="1" t="s">
        <v>8</v>
      </c>
      <c r="D103" s="1" t="s">
        <v>17</v>
      </c>
      <c r="E103" s="4" t="s">
        <v>12</v>
      </c>
      <c r="F103" s="4" t="str">
        <f t="shared" si="7"/>
        <v>GM_4_NA_B3</v>
      </c>
      <c r="G103" s="4" t="s">
        <v>8</v>
      </c>
      <c r="H103" s="4" t="s">
        <v>8</v>
      </c>
      <c r="I103" s="4" t="s">
        <v>8</v>
      </c>
      <c r="J103" s="4" t="str">
        <f t="shared" si="8"/>
        <v>NA_NA_NA</v>
      </c>
      <c r="K103" s="4"/>
      <c r="L103" s="4"/>
      <c r="M103" s="4"/>
      <c r="N103" s="4"/>
      <c r="O103" s="4"/>
      <c r="P103" s="4"/>
      <c r="Q103" s="4" t="str">
        <f t="shared" si="6"/>
        <v/>
      </c>
      <c r="R103" s="4">
        <f>VLOOKUP(J103,eq!$D$2:$K$42,8,)</f>
        <v>0</v>
      </c>
      <c r="S103" s="4" t="str">
        <f t="shared" si="9"/>
        <v>0</v>
      </c>
      <c r="T103" s="4" cm="1">
        <f t="array" ref="T103">eval_dw/2</f>
        <v>0</v>
      </c>
      <c r="U103" s="1" t="e">
        <f>T103*2/VLOOKUP(J103,eq!$D$2:$G$42,4,)</f>
        <v>#DIV/0!</v>
      </c>
      <c r="V103" s="1">
        <f t="shared" si="10"/>
        <v>0</v>
      </c>
      <c r="W103" s="1" t="e" cm="1">
        <f t="array" ref="W103">IF(LEFT(J103,1)="S",eval_S/2,((3.141593*Q103/32)*((K103/100+L103/100)^2+(M103/100+N103/100)^2))*1000000*VLOOKUP(J103,eq!$D$2:$G$42,4,)/2)</f>
        <v>#VALUE!</v>
      </c>
      <c r="X103" s="1" t="e">
        <f>((3.141593*Q103/32)*((K103+L103)^2+(M103+N103)^2))*1000000*VLOOKUP(J103,eq!$D$2:$G$42,4,)/2</f>
        <v>#VALUE!</v>
      </c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customHeight="1">
      <c r="A104" s="1" t="s">
        <v>16</v>
      </c>
      <c r="B104" s="4">
        <v>4</v>
      </c>
      <c r="C104" s="1" t="s">
        <v>8</v>
      </c>
      <c r="D104" s="1" t="s">
        <v>17</v>
      </c>
      <c r="E104" s="4" t="s">
        <v>10</v>
      </c>
      <c r="F104" s="4" t="str">
        <f t="shared" si="7"/>
        <v>GM_4_NA_B4</v>
      </c>
      <c r="G104" s="4" t="s">
        <v>8</v>
      </c>
      <c r="H104" s="4" t="s">
        <v>9</v>
      </c>
      <c r="I104" s="4">
        <v>3</v>
      </c>
      <c r="J104" s="4" t="str">
        <f t="shared" si="8"/>
        <v>F_3_NA</v>
      </c>
      <c r="K104" s="4">
        <v>11</v>
      </c>
      <c r="L104" s="4">
        <v>10</v>
      </c>
      <c r="M104" s="4">
        <v>11</v>
      </c>
      <c r="N104" s="4">
        <v>11</v>
      </c>
      <c r="O104" s="4">
        <v>1.1000000000000001</v>
      </c>
      <c r="P104" s="4"/>
      <c r="Q104" s="4" t="str">
        <f t="shared" si="6"/>
        <v>1.1</v>
      </c>
      <c r="R104" s="4" t="str">
        <f>VLOOKUP(J104,eq!$D$2:$K$42,8,)</f>
        <v>((pi*X2*100/32)*((a+b)^2 + (c+d)^2))*0.26</v>
      </c>
      <c r="S104" s="4" t="str">
        <f t="shared" si="9"/>
        <v>((3.141593*1.1*100/32)*((11+10)^2 + (11+11)^2))*0.26</v>
      </c>
      <c r="T104" s="4" cm="1">
        <f t="array" ref="T104">eval_dw/2</f>
        <v>1298.6069189843752</v>
      </c>
      <c r="U104" s="1">
        <f>T104*2/VLOOKUP(J104,eq!$D$2:$G$42,4,)</f>
        <v>9989.2839921875002</v>
      </c>
      <c r="V104" s="1">
        <f t="shared" si="10"/>
        <v>2597.2138379687503</v>
      </c>
      <c r="W104" s="1" cm="1">
        <f t="array" ref="W104">IF(LEFT(J104,1)="S",eval_S/2,((3.141593*Q104/32)*((K104/100+L104/100)^2+(M104/100+N104/100)^2))*1000000*VLOOKUP(J104,eq!$D$2:$G$42,4,)/2)</f>
        <v>1298.6069189843752</v>
      </c>
      <c r="X104" s="1">
        <f>((3.141593*Q104/32)*((K104+L104)^2+(M104+N104)^2))*1000000*VLOOKUP(J104,eq!$D$2:$G$42,4,)/2</f>
        <v>12986069.189843751</v>
      </c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customHeight="1">
      <c r="A105" s="1" t="s">
        <v>16</v>
      </c>
      <c r="B105" s="4">
        <v>5</v>
      </c>
      <c r="C105" s="6" t="s">
        <v>23</v>
      </c>
      <c r="D105" s="1" t="s">
        <v>17</v>
      </c>
      <c r="E105" s="4" t="s">
        <v>13</v>
      </c>
      <c r="F105" s="4" t="str">
        <f t="shared" si="7"/>
        <v>GM_5_CTRL_B1</v>
      </c>
      <c r="G105" s="4" t="s">
        <v>8</v>
      </c>
      <c r="H105" s="4" t="s">
        <v>8</v>
      </c>
      <c r="I105" s="4" t="s">
        <v>8</v>
      </c>
      <c r="J105" s="4" t="str">
        <f t="shared" si="8"/>
        <v>NA_NA_NA</v>
      </c>
      <c r="K105" s="4"/>
      <c r="L105" s="4"/>
      <c r="M105" s="4"/>
      <c r="N105" s="4"/>
      <c r="O105" s="4"/>
      <c r="P105" s="4"/>
      <c r="Q105" s="4" t="str">
        <f t="shared" si="6"/>
        <v/>
      </c>
      <c r="R105" s="4">
        <f>VLOOKUP(J105,eq!$D$2:$K$42,8,)</f>
        <v>0</v>
      </c>
      <c r="S105" s="4" t="str">
        <f t="shared" si="9"/>
        <v>0</v>
      </c>
      <c r="T105" s="4" cm="1">
        <f t="array" ref="T105">eval_dw/2</f>
        <v>0</v>
      </c>
      <c r="U105" s="1" t="e">
        <f>T105*2/VLOOKUP(J105,eq!$D$2:$G$42,4,)</f>
        <v>#DIV/0!</v>
      </c>
      <c r="V105" s="1">
        <f t="shared" si="10"/>
        <v>0</v>
      </c>
      <c r="W105" s="1" t="e" cm="1">
        <f t="array" ref="W105">IF(LEFT(J105,1)="S",eval_S/2,((3.141593*Q105/32)*((K105/100+L105/100)^2+(M105/100+N105/100)^2))*1000000*VLOOKUP(J105,eq!$D$2:$G$42,4,)/2)</f>
        <v>#VALUE!</v>
      </c>
      <c r="X105" s="1" t="e">
        <f>((3.141593*Q105/32)*((K105+L105)^2+(M105+N105)^2))*1000000*VLOOKUP(J105,eq!$D$2:$G$42,4,)/2</f>
        <v>#VALUE!</v>
      </c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customHeight="1">
      <c r="A106" s="1" t="s">
        <v>16</v>
      </c>
      <c r="B106" s="4">
        <v>5</v>
      </c>
      <c r="C106" s="2" t="s">
        <v>23</v>
      </c>
      <c r="D106" s="1" t="s">
        <v>17</v>
      </c>
      <c r="E106" s="4" t="s">
        <v>7</v>
      </c>
      <c r="F106" s="4" t="str">
        <f t="shared" si="7"/>
        <v>GM_5_CTRL_B2</v>
      </c>
      <c r="G106" s="4" t="s">
        <v>8</v>
      </c>
      <c r="H106" s="4" t="s">
        <v>32</v>
      </c>
      <c r="I106" s="4">
        <v>5</v>
      </c>
      <c r="J106" s="4" t="str">
        <f t="shared" si="8"/>
        <v>T_5_NA</v>
      </c>
      <c r="K106" s="4">
        <v>16</v>
      </c>
      <c r="L106" s="4">
        <v>17</v>
      </c>
      <c r="M106" s="4">
        <v>16</v>
      </c>
      <c r="N106" s="4">
        <v>17</v>
      </c>
      <c r="O106" s="4"/>
      <c r="P106" s="4">
        <v>0.26</v>
      </c>
      <c r="Q106" s="4" t="str">
        <f t="shared" si="6"/>
        <v>0.26</v>
      </c>
      <c r="R106" s="4" t="str">
        <f>VLOOKUP(J106,eq!$D$2:$K$42,8,)</f>
        <v>((pi*X2*100/32)*((a+b)^2 + (c+d)^2))*0.25</v>
      </c>
      <c r="S106" s="4" t="str">
        <f t="shared" si="9"/>
        <v>((3.141593*0.26*100/32)*((16+17)^2 + (16+17)^2))*0.25</v>
      </c>
      <c r="T106" s="4" cm="1">
        <f t="array" ref="T106">eval_dw/2</f>
        <v>694.93018907812495</v>
      </c>
      <c r="U106" s="1">
        <f>T106*2/VLOOKUP(J106,eq!$D$2:$G$42,4,)</f>
        <v>5559.4415126249996</v>
      </c>
      <c r="V106" s="1">
        <f t="shared" si="10"/>
        <v>1389.8603781562499</v>
      </c>
      <c r="W106" s="1" cm="1">
        <f t="array" ref="W106">IF(LEFT(J106,1)="S",eval_S/2,((3.141593*Q106/32)*((K106/100+L106/100)^2+(M106/100+N106/100)^2))*1000000*VLOOKUP(J106,eq!$D$2:$G$42,4,)/2)</f>
        <v>694.93018907812495</v>
      </c>
      <c r="X106" s="1">
        <f>((3.141593*Q106/32)*((K106+L106)^2+(M106+N106)^2))*1000000*VLOOKUP(J106,eq!$D$2:$G$42,4,)/2</f>
        <v>6949301.8907812499</v>
      </c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customHeight="1">
      <c r="A107" s="1" t="s">
        <v>16</v>
      </c>
      <c r="B107" s="4">
        <v>5</v>
      </c>
      <c r="C107" s="2" t="s">
        <v>23</v>
      </c>
      <c r="D107" s="1" t="s">
        <v>17</v>
      </c>
      <c r="E107" s="4" t="s">
        <v>12</v>
      </c>
      <c r="F107" s="4" t="str">
        <f t="shared" si="7"/>
        <v>GM_5_CTRL_B3</v>
      </c>
      <c r="G107" s="4" t="s">
        <v>8</v>
      </c>
      <c r="H107" s="4" t="s">
        <v>32</v>
      </c>
      <c r="I107" s="4">
        <v>5</v>
      </c>
      <c r="J107" s="4" t="str">
        <f t="shared" si="8"/>
        <v>T_5_NA</v>
      </c>
      <c r="K107" s="4">
        <v>24</v>
      </c>
      <c r="L107" s="4">
        <v>30</v>
      </c>
      <c r="M107" s="4">
        <v>24</v>
      </c>
      <c r="N107" s="4">
        <v>30</v>
      </c>
      <c r="O107" s="4"/>
      <c r="P107" s="4">
        <v>0.48</v>
      </c>
      <c r="Q107" s="4" t="str">
        <f t="shared" si="6"/>
        <v>0.48</v>
      </c>
      <c r="R107" s="4" t="str">
        <f>VLOOKUP(J107,eq!$D$2:$K$42,8,)</f>
        <v>((pi*X2*100/32)*((a+b)^2 + (c+d)^2))*0.25</v>
      </c>
      <c r="S107" s="4" t="str">
        <f t="shared" si="9"/>
        <v>((3.141593*0.48*100/32)*((24+30)^2 + (24+30)^2))*0.25</v>
      </c>
      <c r="T107" s="4" cm="1">
        <f t="array" ref="T107">eval_dw/2</f>
        <v>3435.3319454999996</v>
      </c>
      <c r="U107" s="1">
        <f>T107*2/VLOOKUP(J107,eq!$D$2:$G$42,4,)</f>
        <v>27482.655563999997</v>
      </c>
      <c r="V107" s="1">
        <f t="shared" si="10"/>
        <v>6870.6638909999992</v>
      </c>
      <c r="W107" s="1" cm="1">
        <f t="array" ref="W107">IF(LEFT(J107,1)="S",eval_S/2,((3.141593*Q107/32)*((K107/100+L107/100)^2+(M107/100+N107/100)^2))*1000000*VLOOKUP(J107,eq!$D$2:$G$42,4,)/2)</f>
        <v>3435.3319455000001</v>
      </c>
      <c r="X107" s="1">
        <f>((3.141593*Q107/32)*((K107+L107)^2+(M107+N107)^2))*1000000*VLOOKUP(J107,eq!$D$2:$G$42,4,)/2</f>
        <v>34353319.454999998</v>
      </c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customHeight="1">
      <c r="A108" s="1" t="s">
        <v>16</v>
      </c>
      <c r="B108" s="4">
        <v>5</v>
      </c>
      <c r="C108" s="2" t="s">
        <v>23</v>
      </c>
      <c r="D108" s="1" t="s">
        <v>17</v>
      </c>
      <c r="E108" s="4" t="s">
        <v>12</v>
      </c>
      <c r="F108" s="4" t="str">
        <f t="shared" si="7"/>
        <v>GM_5_CTRL_B3</v>
      </c>
      <c r="G108" s="4" t="s">
        <v>8</v>
      </c>
      <c r="H108" s="4" t="s">
        <v>9</v>
      </c>
      <c r="I108" s="4">
        <v>5</v>
      </c>
      <c r="J108" s="4" t="str">
        <f t="shared" si="8"/>
        <v>F_5_NA</v>
      </c>
      <c r="K108" s="4">
        <v>19</v>
      </c>
      <c r="L108" s="4">
        <v>21</v>
      </c>
      <c r="M108" s="4">
        <v>19</v>
      </c>
      <c r="N108" s="4">
        <v>21</v>
      </c>
      <c r="O108" s="4">
        <v>0.96</v>
      </c>
      <c r="P108" s="4"/>
      <c r="Q108" s="4" t="str">
        <f t="shared" si="6"/>
        <v>0.96</v>
      </c>
      <c r="R108" s="4" t="str">
        <f>VLOOKUP(J108,eq!$D$2:$K$42,8,)</f>
        <v>((pi*X2*100/32)*((a+b)^2 + (c+d)^2))*0.11</v>
      </c>
      <c r="S108" s="4" t="str">
        <f t="shared" si="9"/>
        <v>((3.141593*0.96*100/32)*((19+21)^2 + (19+21)^2))*0.11</v>
      </c>
      <c r="T108" s="4" cm="1">
        <f t="array" ref="T108">eval_dw/2</f>
        <v>1658.7611039999997</v>
      </c>
      <c r="U108" s="1">
        <f>T108*2/VLOOKUP(J108,eq!$D$2:$G$42,4,)</f>
        <v>30159.292799999996</v>
      </c>
      <c r="V108" s="1">
        <f t="shared" si="10"/>
        <v>3317.5222079999994</v>
      </c>
      <c r="W108" s="1" cm="1">
        <f t="array" ref="W108">IF(LEFT(J108,1)="S",eval_S/2,((3.141593*Q108/32)*((K108/100+L108/100)^2+(M108/100+N108/100)^2))*1000000*VLOOKUP(J108,eq!$D$2:$G$42,4,)/2)</f>
        <v>1658.7611040000002</v>
      </c>
      <c r="X108" s="1">
        <f>((3.141593*Q108/32)*((K108+L108)^2+(M108+N108)^2))*1000000*VLOOKUP(J108,eq!$D$2:$G$42,4,)/2</f>
        <v>16587611.040000001</v>
      </c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customHeight="1">
      <c r="A109" s="1" t="s">
        <v>16</v>
      </c>
      <c r="B109" s="4">
        <v>5</v>
      </c>
      <c r="C109" s="2" t="s">
        <v>23</v>
      </c>
      <c r="D109" s="1" t="s">
        <v>17</v>
      </c>
      <c r="E109" s="4" t="s">
        <v>12</v>
      </c>
      <c r="F109" s="4" t="str">
        <f t="shared" si="7"/>
        <v>GM_5_CTRL_B3</v>
      </c>
      <c r="G109" s="4" t="s">
        <v>8</v>
      </c>
      <c r="H109" s="4" t="s">
        <v>32</v>
      </c>
      <c r="I109" s="4">
        <v>5</v>
      </c>
      <c r="J109" s="4" t="str">
        <f t="shared" si="8"/>
        <v>T_5_NA</v>
      </c>
      <c r="K109" s="4">
        <v>18</v>
      </c>
      <c r="L109" s="4">
        <v>16</v>
      </c>
      <c r="M109" s="4">
        <v>18</v>
      </c>
      <c r="N109" s="4">
        <v>16</v>
      </c>
      <c r="O109" s="4"/>
      <c r="P109" s="4">
        <v>0.37</v>
      </c>
      <c r="Q109" s="4" t="str">
        <f t="shared" si="6"/>
        <v>0.37</v>
      </c>
      <c r="R109" s="4" t="str">
        <f>VLOOKUP(J109,eq!$D$2:$K$42,8,)</f>
        <v>((pi*X2*100/32)*((a+b)^2 + (c+d)^2))*0.25</v>
      </c>
      <c r="S109" s="4" t="str">
        <f t="shared" si="9"/>
        <v>((3.141593*0.37*100/32)*((18+16)^2 + (18+16)^2))*0.25</v>
      </c>
      <c r="T109" s="4" cm="1">
        <f t="array" ref="T109">eval_dw/2</f>
        <v>1049.7829359062498</v>
      </c>
      <c r="U109" s="1">
        <f>T109*2/VLOOKUP(J109,eq!$D$2:$G$42,4,)</f>
        <v>8398.2634872499984</v>
      </c>
      <c r="V109" s="1">
        <f t="shared" si="10"/>
        <v>2099.5658718124996</v>
      </c>
      <c r="W109" s="1" cm="1">
        <f t="array" ref="W109">IF(LEFT(J109,1)="S",eval_S/2,((3.141593*Q109/32)*((K109/100+L109/100)^2+(M109/100+N109/100)^2))*1000000*VLOOKUP(J109,eq!$D$2:$G$42,4,)/2)</f>
        <v>1049.7829359062496</v>
      </c>
      <c r="X109" s="1">
        <f>((3.141593*Q109/32)*((K109+L109)^2+(M109+N109)^2))*1000000*VLOOKUP(J109,eq!$D$2:$G$42,4,)/2</f>
        <v>10497829.359062498</v>
      </c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customHeight="1">
      <c r="A110" s="1" t="s">
        <v>16</v>
      </c>
      <c r="B110" s="4">
        <v>5</v>
      </c>
      <c r="C110" s="2" t="s">
        <v>23</v>
      </c>
      <c r="D110" s="1" t="s">
        <v>17</v>
      </c>
      <c r="E110" s="4" t="s">
        <v>10</v>
      </c>
      <c r="F110" s="4" t="str">
        <f t="shared" si="7"/>
        <v>GM_5_CTRL_B4</v>
      </c>
      <c r="G110" s="4" t="s">
        <v>8</v>
      </c>
      <c r="H110" s="4" t="s">
        <v>32</v>
      </c>
      <c r="I110" s="4">
        <v>5</v>
      </c>
      <c r="J110" s="4" t="str">
        <f t="shared" si="8"/>
        <v>T_5_NA</v>
      </c>
      <c r="K110" s="4">
        <v>17</v>
      </c>
      <c r="L110" s="4">
        <v>15</v>
      </c>
      <c r="M110" s="4">
        <v>17</v>
      </c>
      <c r="N110" s="4">
        <v>15</v>
      </c>
      <c r="O110" s="4"/>
      <c r="P110" s="4">
        <v>0.27</v>
      </c>
      <c r="Q110" s="4" t="str">
        <f t="shared" si="6"/>
        <v>0.27</v>
      </c>
      <c r="R110" s="4" t="str">
        <f>VLOOKUP(J110,eq!$D$2:$K$42,8,)</f>
        <v>((pi*X2*100/32)*((a+b)^2 + (c+d)^2))*0.25</v>
      </c>
      <c r="S110" s="4" t="str">
        <f t="shared" si="9"/>
        <v>((3.141593*0.27*100/32)*((17+15)^2 + (17+15)^2))*0.25</v>
      </c>
      <c r="T110" s="4" cm="1">
        <f t="array" ref="T110">eval_dw/2</f>
        <v>678.58408800000007</v>
      </c>
      <c r="U110" s="1">
        <f>T110*2/VLOOKUP(J110,eq!$D$2:$G$42,4,)</f>
        <v>5428.6727040000005</v>
      </c>
      <c r="V110" s="1">
        <f t="shared" si="10"/>
        <v>1357.1681760000001</v>
      </c>
      <c r="W110" s="1" cm="1">
        <f t="array" ref="W110">IF(LEFT(J110,1)="S",eval_S/2,((3.141593*Q110/32)*((K110/100+L110/100)^2+(M110/100+N110/100)^2))*1000000*VLOOKUP(J110,eq!$D$2:$G$42,4,)/2)</f>
        <v>678.58408800000007</v>
      </c>
      <c r="X110" s="1">
        <f>((3.141593*Q110/32)*((K110+L110)^2+(M110+N110)^2))*1000000*VLOOKUP(J110,eq!$D$2:$G$42,4,)/2</f>
        <v>6785840.8799999999</v>
      </c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customHeight="1">
      <c r="A111" s="1" t="s">
        <v>16</v>
      </c>
      <c r="B111" s="4">
        <v>5</v>
      </c>
      <c r="C111" s="2" t="s">
        <v>23</v>
      </c>
      <c r="D111" s="1" t="s">
        <v>17</v>
      </c>
      <c r="E111" s="4" t="s">
        <v>10</v>
      </c>
      <c r="F111" s="4" t="str">
        <f t="shared" si="7"/>
        <v>GM_5_CTRL_B4</v>
      </c>
      <c r="G111" s="4" t="s">
        <v>8</v>
      </c>
      <c r="H111" s="4" t="s">
        <v>32</v>
      </c>
      <c r="I111" s="4">
        <v>5</v>
      </c>
      <c r="J111" s="4" t="str">
        <f t="shared" si="8"/>
        <v>T_5_NA</v>
      </c>
      <c r="K111" s="4">
        <v>16</v>
      </c>
      <c r="L111" s="4">
        <v>20</v>
      </c>
      <c r="M111" s="4">
        <v>16</v>
      </c>
      <c r="N111" s="4">
        <v>20</v>
      </c>
      <c r="O111" s="4"/>
      <c r="P111" s="4">
        <v>0.19</v>
      </c>
      <c r="Q111" s="4" t="str">
        <f t="shared" si="6"/>
        <v>0.19</v>
      </c>
      <c r="R111" s="4" t="str">
        <f>VLOOKUP(J111,eq!$D$2:$K$42,8,)</f>
        <v>((pi*X2*100/32)*((a+b)^2 + (c+d)^2))*0.25</v>
      </c>
      <c r="S111" s="4" t="str">
        <f t="shared" si="9"/>
        <v>((3.141593*0.19*100/32)*((16+20)^2 + (16+20)^2))*0.25</v>
      </c>
      <c r="T111" s="4" cm="1">
        <f t="array" ref="T111">eval_dw/2</f>
        <v>604.36395337499994</v>
      </c>
      <c r="U111" s="1">
        <f>T111*2/VLOOKUP(J111,eq!$D$2:$G$42,4,)</f>
        <v>4834.9116269999995</v>
      </c>
      <c r="V111" s="1">
        <f t="shared" si="10"/>
        <v>1208.7279067499999</v>
      </c>
      <c r="W111" s="1" cm="1">
        <f t="array" ref="W111">IF(LEFT(J111,1)="S",eval_S/2,((3.141593*Q111/32)*((K111/100+L111/100)^2+(M111/100+N111/100)^2))*1000000*VLOOKUP(J111,eq!$D$2:$G$42,4,)/2)</f>
        <v>604.36395337499994</v>
      </c>
      <c r="X111" s="1">
        <f>((3.141593*Q111/32)*((K111+L111)^2+(M111+N111)^2))*1000000*VLOOKUP(J111,eq!$D$2:$G$42,4,)/2</f>
        <v>6043639.5337499995</v>
      </c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customHeight="1">
      <c r="A112" s="1" t="s">
        <v>16</v>
      </c>
      <c r="B112" s="4">
        <v>5</v>
      </c>
      <c r="C112" s="2" t="s">
        <v>22</v>
      </c>
      <c r="D112" s="1" t="s">
        <v>17</v>
      </c>
      <c r="E112" s="4" t="s">
        <v>13</v>
      </c>
      <c r="F112" s="4" t="str">
        <f t="shared" si="7"/>
        <v>GM_5_EX_B1</v>
      </c>
      <c r="G112" s="4" t="s">
        <v>8</v>
      </c>
      <c r="H112" s="4" t="s">
        <v>9</v>
      </c>
      <c r="I112" s="4">
        <v>4</v>
      </c>
      <c r="J112" s="4" t="str">
        <f t="shared" si="8"/>
        <v>F_4_NA</v>
      </c>
      <c r="K112" s="4">
        <v>17</v>
      </c>
      <c r="L112" s="4">
        <v>18</v>
      </c>
      <c r="M112" s="4">
        <v>17</v>
      </c>
      <c r="N112" s="4">
        <v>18</v>
      </c>
      <c r="O112" s="4">
        <v>1.08</v>
      </c>
      <c r="P112" s="4"/>
      <c r="Q112" s="4" t="str">
        <f t="shared" si="6"/>
        <v>1.08</v>
      </c>
      <c r="R112" s="4" t="str">
        <f>VLOOKUP(J112,eq!$D$2:$K$42,8,)</f>
        <v>((pi*X2*100/32)*((a+b)^2 + (c+d)^2))*0.15</v>
      </c>
      <c r="S112" s="4" t="str">
        <f t="shared" si="9"/>
        <v>((3.141593*1.08*100/32)*((17+18)^2 + (17+18)^2))*0.15</v>
      </c>
      <c r="T112" s="4" cm="1">
        <f t="array" ref="T112">eval_dw/2</f>
        <v>1948.2785339062502</v>
      </c>
      <c r="U112" s="1">
        <f>T112*2/VLOOKUP(J112,eq!$D$2:$G$42,4,)</f>
        <v>25977.047118750004</v>
      </c>
      <c r="V112" s="1">
        <f t="shared" si="10"/>
        <v>3896.5570678125005</v>
      </c>
      <c r="W112" s="1" cm="1">
        <f t="array" ref="W112">IF(LEFT(J112,1)="S",eval_S/2,((3.141593*Q112/32)*((K112/100+L112/100)^2+(M112/100+N112/100)^2))*1000000*VLOOKUP(J112,eq!$D$2:$G$42,4,)/2)</f>
        <v>1948.27853390625</v>
      </c>
      <c r="X112" s="1">
        <f>((3.141593*Q112/32)*((K112+L112)^2+(M112+N112)^2))*1000000*VLOOKUP(J112,eq!$D$2:$G$42,4,)/2</f>
        <v>19482785.339062501</v>
      </c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customHeight="1">
      <c r="A113" s="1" t="s">
        <v>16</v>
      </c>
      <c r="B113" s="4">
        <v>5</v>
      </c>
      <c r="C113" s="2" t="s">
        <v>22</v>
      </c>
      <c r="D113" s="1" t="s">
        <v>17</v>
      </c>
      <c r="E113" s="4" t="s">
        <v>7</v>
      </c>
      <c r="F113" s="4" t="str">
        <f t="shared" si="7"/>
        <v>GM_5_EX_B2</v>
      </c>
      <c r="G113" s="4" t="s">
        <v>8</v>
      </c>
      <c r="H113" s="4" t="s">
        <v>8</v>
      </c>
      <c r="I113" s="4" t="s">
        <v>8</v>
      </c>
      <c r="J113" s="4" t="str">
        <f t="shared" si="8"/>
        <v>NA_NA_NA</v>
      </c>
      <c r="K113" s="4"/>
      <c r="L113" s="4"/>
      <c r="M113" s="4"/>
      <c r="N113" s="4"/>
      <c r="O113" s="4"/>
      <c r="P113" s="4"/>
      <c r="Q113" s="4" t="str">
        <f t="shared" si="6"/>
        <v/>
      </c>
      <c r="R113" s="4">
        <f>VLOOKUP(J113,eq!$D$2:$K$42,8,)</f>
        <v>0</v>
      </c>
      <c r="S113" s="4" t="str">
        <f t="shared" si="9"/>
        <v>0</v>
      </c>
      <c r="T113" s="4" cm="1">
        <f t="array" ref="T113">eval_dw/2</f>
        <v>0</v>
      </c>
      <c r="U113" s="1" t="e">
        <f>T113*2/VLOOKUP(J113,eq!$D$2:$G$42,4,)</f>
        <v>#DIV/0!</v>
      </c>
      <c r="V113" s="1">
        <f t="shared" si="10"/>
        <v>0</v>
      </c>
      <c r="W113" s="1" t="e" cm="1">
        <f t="array" ref="W113">IF(LEFT(J113,1)="S",eval_S/2,((3.141593*Q113/32)*((K113/100+L113/100)^2+(M113/100+N113/100)^2))*1000000*VLOOKUP(J113,eq!$D$2:$G$42,4,)/2)</f>
        <v>#VALUE!</v>
      </c>
      <c r="X113" s="1" t="e">
        <f>((3.141593*Q113/32)*((K113+L113)^2+(M113+N113)^2))*1000000*VLOOKUP(J113,eq!$D$2:$G$42,4,)/2</f>
        <v>#VALUE!</v>
      </c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customHeight="1">
      <c r="A114" s="1" t="s">
        <v>16</v>
      </c>
      <c r="B114" s="4">
        <v>5</v>
      </c>
      <c r="C114" s="2" t="s">
        <v>22</v>
      </c>
      <c r="D114" s="1" t="s">
        <v>17</v>
      </c>
      <c r="E114" s="4" t="s">
        <v>12</v>
      </c>
      <c r="F114" s="4" t="str">
        <f t="shared" si="7"/>
        <v>GM_5_EX_B3</v>
      </c>
      <c r="G114" s="4" t="s">
        <v>8</v>
      </c>
      <c r="H114" s="4" t="s">
        <v>32</v>
      </c>
      <c r="I114" s="4">
        <v>5</v>
      </c>
      <c r="J114" s="4" t="str">
        <f t="shared" si="8"/>
        <v>T_5_NA</v>
      </c>
      <c r="K114" s="4">
        <v>20</v>
      </c>
      <c r="L114" s="4">
        <v>16</v>
      </c>
      <c r="M114" s="4">
        <v>20</v>
      </c>
      <c r="N114" s="4">
        <v>16</v>
      </c>
      <c r="O114" s="4"/>
      <c r="P114" s="4">
        <v>0.3</v>
      </c>
      <c r="Q114" s="4" t="str">
        <f t="shared" si="6"/>
        <v>0.3</v>
      </c>
      <c r="R114" s="4" t="str">
        <f>VLOOKUP(J114,eq!$D$2:$K$42,8,)</f>
        <v>((pi*X2*100/32)*((a+b)^2 + (c+d)^2))*0.25</v>
      </c>
      <c r="S114" s="4" t="str">
        <f t="shared" si="9"/>
        <v>((3.141593*0.3*100/32)*((20+16)^2 + (20+16)^2))*0.25</v>
      </c>
      <c r="T114" s="4" cm="1">
        <f t="array" ref="T114">eval_dw/2</f>
        <v>954.25887374999979</v>
      </c>
      <c r="U114" s="1">
        <f>T114*2/VLOOKUP(J114,eq!$D$2:$G$42,4,)</f>
        <v>7634.0709899999983</v>
      </c>
      <c r="V114" s="1">
        <f t="shared" si="10"/>
        <v>1908.5177474999996</v>
      </c>
      <c r="W114" s="1" cm="1">
        <f t="array" ref="W114">IF(LEFT(J114,1)="S",eval_S/2,((3.141593*Q114/32)*((K114/100+L114/100)^2+(M114/100+N114/100)^2))*1000000*VLOOKUP(J114,eq!$D$2:$G$42,4,)/2)</f>
        <v>954.25887374999979</v>
      </c>
      <c r="X114" s="1">
        <f>((3.141593*Q114/32)*((K114+L114)^2+(M114+N114)^2))*1000000*VLOOKUP(J114,eq!$D$2:$G$42,4,)/2</f>
        <v>9542588.7374999989</v>
      </c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customHeight="1">
      <c r="A115" s="1" t="s">
        <v>16</v>
      </c>
      <c r="B115" s="4">
        <v>5</v>
      </c>
      <c r="C115" s="2" t="s">
        <v>22</v>
      </c>
      <c r="D115" s="1" t="s">
        <v>17</v>
      </c>
      <c r="E115" s="4" t="s">
        <v>12</v>
      </c>
      <c r="F115" s="4" t="str">
        <f t="shared" si="7"/>
        <v>GM_5_EX_B3</v>
      </c>
      <c r="G115" s="4" t="s">
        <v>8</v>
      </c>
      <c r="H115" s="4" t="s">
        <v>32</v>
      </c>
      <c r="I115" s="4">
        <v>5</v>
      </c>
      <c r="J115" s="4" t="str">
        <f t="shared" si="8"/>
        <v>T_5_NA</v>
      </c>
      <c r="K115" s="4">
        <v>22</v>
      </c>
      <c r="L115" s="4">
        <v>15</v>
      </c>
      <c r="M115" s="4">
        <v>22</v>
      </c>
      <c r="N115" s="4">
        <v>15</v>
      </c>
      <c r="O115" s="4"/>
      <c r="P115" s="4">
        <v>0.28000000000000003</v>
      </c>
      <c r="Q115" s="4" t="str">
        <f t="shared" si="6"/>
        <v>0.28</v>
      </c>
      <c r="R115" s="4" t="str">
        <f>VLOOKUP(J115,eq!$D$2:$K$42,8,)</f>
        <v>((pi*X2*100/32)*((a+b)^2 + (c+d)^2))*0.25</v>
      </c>
      <c r="S115" s="4" t="str">
        <f t="shared" si="9"/>
        <v>((3.141593*0.28*100/32)*((22+15)^2 + (22+15)^2))*0.25</v>
      </c>
      <c r="T115" s="4" cm="1">
        <f t="array" ref="T115">eval_dw/2</f>
        <v>940.80892871875005</v>
      </c>
      <c r="U115" s="1">
        <f>T115*2/VLOOKUP(J115,eq!$D$2:$G$42,4,)</f>
        <v>7526.4714297500004</v>
      </c>
      <c r="V115" s="1">
        <f t="shared" si="10"/>
        <v>1881.6178574375001</v>
      </c>
      <c r="W115" s="1" cm="1">
        <f t="array" ref="W115">IF(LEFT(J115,1)="S",eval_S/2,((3.141593*Q115/32)*((K115/100+L115/100)^2+(M115/100+N115/100)^2))*1000000*VLOOKUP(J115,eq!$D$2:$G$42,4,)/2)</f>
        <v>940.80892871875005</v>
      </c>
      <c r="X115" s="1">
        <f>((3.141593*Q115/32)*((K115+L115)^2+(M115+N115)^2))*1000000*VLOOKUP(J115,eq!$D$2:$G$42,4,)/2</f>
        <v>9408089.2871874999</v>
      </c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customHeight="1">
      <c r="A116" s="1" t="s">
        <v>16</v>
      </c>
      <c r="B116" s="4">
        <v>6</v>
      </c>
      <c r="C116" s="1" t="s">
        <v>8</v>
      </c>
      <c r="D116" s="1" t="s">
        <v>17</v>
      </c>
      <c r="E116" s="4" t="s">
        <v>13</v>
      </c>
      <c r="F116" s="4" t="str">
        <f t="shared" si="7"/>
        <v>GM_6_NA_B1</v>
      </c>
      <c r="G116" s="4" t="s">
        <v>31</v>
      </c>
      <c r="H116" s="4" t="s">
        <v>9</v>
      </c>
      <c r="I116" s="4">
        <v>2</v>
      </c>
      <c r="J116" s="4" t="str">
        <f t="shared" si="8"/>
        <v>F_2_H</v>
      </c>
      <c r="K116" s="4">
        <v>22</v>
      </c>
      <c r="L116" s="4">
        <v>20</v>
      </c>
      <c r="M116" s="4">
        <v>22</v>
      </c>
      <c r="N116" s="4">
        <v>20</v>
      </c>
      <c r="O116" s="4">
        <v>3</v>
      </c>
      <c r="P116" s="4"/>
      <c r="Q116" s="4" t="str">
        <f t="shared" ref="Q116:Q179" si="11">O116&amp;P116</f>
        <v>3</v>
      </c>
      <c r="R116" s="4" t="str">
        <f>VLOOKUP(J116,eq!$D$2:$K$42,8,)</f>
        <v>((pi*X2*100/32)*((a+b)^2 + (c+d)^2))*0.33</v>
      </c>
      <c r="S116" s="4" t="str">
        <f t="shared" si="9"/>
        <v>((3.141593*3*100/32)*((22+20)^2 + (22+20)^2))*0.33</v>
      </c>
      <c r="T116" s="4" cm="1">
        <f t="array" ref="T116">eval_dw/2</f>
        <v>17144.851098374998</v>
      </c>
      <c r="U116" s="1">
        <f>T116*2/VLOOKUP(J116,eq!$D$2:$G$42,4,)</f>
        <v>103908.18847499999</v>
      </c>
      <c r="V116" s="1">
        <f t="shared" si="10"/>
        <v>34289.702196749997</v>
      </c>
      <c r="W116" s="1" cm="1">
        <f t="array" ref="W116">IF(LEFT(J116,1)="S",eval_S/2,((3.141593*Q116/32)*((K116/100+L116/100)^2+(M116/100+N116/100)^2))*1000000*VLOOKUP(J116,eq!$D$2:$G$42,4,)/2)</f>
        <v>17144.851098375002</v>
      </c>
      <c r="X116" s="1">
        <f>((3.141593*Q116/32)*((K116+L116)^2+(M116+N116)^2))*1000000*VLOOKUP(J116,eq!$D$2:$G$42,4,)/2</f>
        <v>171448510.98375002</v>
      </c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customHeight="1">
      <c r="A117" s="1" t="s">
        <v>16</v>
      </c>
      <c r="B117" s="4">
        <v>6</v>
      </c>
      <c r="C117" s="1" t="s">
        <v>8</v>
      </c>
      <c r="D117" s="1" t="s">
        <v>17</v>
      </c>
      <c r="E117" s="4" t="s">
        <v>13</v>
      </c>
      <c r="F117" s="4" t="str">
        <f t="shared" si="7"/>
        <v>GM_6_NA_B1</v>
      </c>
      <c r="G117" s="4" t="s">
        <v>8</v>
      </c>
      <c r="H117" s="4" t="s">
        <v>9</v>
      </c>
      <c r="I117" s="4">
        <v>3</v>
      </c>
      <c r="J117" s="4" t="str">
        <f t="shared" si="8"/>
        <v>F_3_NA</v>
      </c>
      <c r="K117" s="4">
        <v>18</v>
      </c>
      <c r="L117" s="4">
        <v>18</v>
      </c>
      <c r="M117" s="4">
        <v>18</v>
      </c>
      <c r="N117" s="4">
        <v>18</v>
      </c>
      <c r="O117" s="4">
        <v>3</v>
      </c>
      <c r="P117" s="4"/>
      <c r="Q117" s="4" t="str">
        <f t="shared" si="11"/>
        <v>3</v>
      </c>
      <c r="R117" s="4" t="str">
        <f>VLOOKUP(J117,eq!$D$2:$K$42,8,)</f>
        <v>((pi*X2*100/32)*((a+b)^2 + (c+d)^2))*0.26</v>
      </c>
      <c r="S117" s="4" t="str">
        <f t="shared" si="9"/>
        <v>((3.141593*3*100/32)*((18+18)^2 + (18+18)^2))*0.26</v>
      </c>
      <c r="T117" s="4" cm="1">
        <f t="array" ref="T117">eval_dw/2</f>
        <v>9924.2922869999984</v>
      </c>
      <c r="U117" s="1">
        <f>T117*2/VLOOKUP(J117,eq!$D$2:$G$42,4,)</f>
        <v>76340.709899999987</v>
      </c>
      <c r="V117" s="1">
        <f t="shared" si="10"/>
        <v>19848.584573999997</v>
      </c>
      <c r="W117" s="1" cm="1">
        <f t="array" ref="W117">IF(LEFT(J117,1)="S",eval_S/2,((3.141593*Q117/32)*((K117/100+L117/100)^2+(M117/100+N117/100)^2))*1000000*VLOOKUP(J117,eq!$D$2:$G$42,4,)/2)</f>
        <v>9924.2922869999984</v>
      </c>
      <c r="X117" s="1">
        <f>((3.141593*Q117/32)*((K117+L117)^2+(M117+N117)^2))*1000000*VLOOKUP(J117,eq!$D$2:$G$42,4,)/2</f>
        <v>99242922.86999999</v>
      </c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customHeight="1">
      <c r="A118" s="1" t="s">
        <v>16</v>
      </c>
      <c r="B118" s="4">
        <v>6</v>
      </c>
      <c r="C118" s="1" t="s">
        <v>8</v>
      </c>
      <c r="D118" s="1" t="s">
        <v>17</v>
      </c>
      <c r="E118" s="4" t="s">
        <v>13</v>
      </c>
      <c r="F118" s="4" t="str">
        <f t="shared" si="7"/>
        <v>GM_6_NA_B1</v>
      </c>
      <c r="G118" s="4" t="s">
        <v>8</v>
      </c>
      <c r="H118" s="4" t="s">
        <v>9</v>
      </c>
      <c r="I118" s="4">
        <v>4</v>
      </c>
      <c r="J118" s="4" t="str">
        <f t="shared" si="8"/>
        <v>F_4_NA</v>
      </c>
      <c r="K118" s="4">
        <v>21</v>
      </c>
      <c r="L118" s="4">
        <v>23</v>
      </c>
      <c r="M118" s="4">
        <v>21</v>
      </c>
      <c r="N118" s="4">
        <v>23</v>
      </c>
      <c r="O118" s="4">
        <v>2.63</v>
      </c>
      <c r="P118" s="4"/>
      <c r="Q118" s="4" t="str">
        <f t="shared" si="11"/>
        <v>2.63</v>
      </c>
      <c r="R118" s="4" t="str">
        <f>VLOOKUP(J118,eq!$D$2:$K$42,8,)</f>
        <v>((pi*X2*100/32)*((a+b)^2 + (c+d)^2))*0.15</v>
      </c>
      <c r="S118" s="4" t="str">
        <f t="shared" si="9"/>
        <v>((3.141593*2.63*100/32)*((21+23)^2 + (21+23)^2))*0.15</v>
      </c>
      <c r="T118" s="4" cm="1">
        <f t="array" ref="T118">eval_dw/2</f>
        <v>7498.1185529249997</v>
      </c>
      <c r="U118" s="1">
        <f>T118*2/VLOOKUP(J118,eq!$D$2:$G$42,4,)</f>
        <v>99974.914038999996</v>
      </c>
      <c r="V118" s="1">
        <f t="shared" si="10"/>
        <v>14996.237105849999</v>
      </c>
      <c r="W118" s="1" cm="1">
        <f t="array" ref="W118">IF(LEFT(J118,1)="S",eval_S/2,((3.141593*Q118/32)*((K118/100+L118/100)^2+(M118/100+N118/100)^2))*1000000*VLOOKUP(J118,eq!$D$2:$G$42,4,)/2)</f>
        <v>7498.1185529249997</v>
      </c>
      <c r="X118" s="1">
        <f>((3.141593*Q118/32)*((K118+L118)^2+(M118+N118)^2))*1000000*VLOOKUP(J118,eq!$D$2:$G$42,4,)/2</f>
        <v>74981185.529249996</v>
      </c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customHeight="1">
      <c r="A119" s="1" t="s">
        <v>16</v>
      </c>
      <c r="B119" s="4">
        <v>6</v>
      </c>
      <c r="C119" s="1" t="s">
        <v>8</v>
      </c>
      <c r="D119" s="1" t="s">
        <v>17</v>
      </c>
      <c r="E119" s="4" t="s">
        <v>13</v>
      </c>
      <c r="F119" s="4" t="str">
        <f t="shared" si="7"/>
        <v>GM_6_NA_B1</v>
      </c>
      <c r="G119" s="4" t="s">
        <v>31</v>
      </c>
      <c r="H119" s="4" t="s">
        <v>9</v>
      </c>
      <c r="I119" s="4">
        <v>2</v>
      </c>
      <c r="J119" s="4" t="str">
        <f t="shared" si="8"/>
        <v>F_2_H</v>
      </c>
      <c r="K119" s="4">
        <v>23</v>
      </c>
      <c r="L119" s="4">
        <v>21</v>
      </c>
      <c r="M119" s="4">
        <v>23</v>
      </c>
      <c r="N119" s="4">
        <v>21</v>
      </c>
      <c r="O119" s="4">
        <v>0.71</v>
      </c>
      <c r="P119" s="4"/>
      <c r="Q119" s="4" t="str">
        <f t="shared" si="11"/>
        <v>0.71</v>
      </c>
      <c r="R119" s="4" t="str">
        <f>VLOOKUP(J119,eq!$D$2:$K$42,8,)</f>
        <v>((pi*X2*100/32)*((a+b)^2 + (c+d)^2))*0.33</v>
      </c>
      <c r="S119" s="4" t="str">
        <f t="shared" si="9"/>
        <v>((3.141593*0.71*100/32)*((23+21)^2 + (23+21)^2))*0.33</v>
      </c>
      <c r="T119" s="4" cm="1">
        <f t="array" ref="T119">eval_dw/2</f>
        <v>4453.2552013949999</v>
      </c>
      <c r="U119" s="1">
        <f>T119*2/VLOOKUP(J119,eq!$D$2:$G$42,4,)</f>
        <v>26989.425463</v>
      </c>
      <c r="V119" s="1">
        <f t="shared" si="10"/>
        <v>8906.5104027899997</v>
      </c>
      <c r="W119" s="1" cm="1">
        <f t="array" ref="W119">IF(LEFT(J119,1)="S",eval_S/2,((3.141593*Q119/32)*((K119/100+L119/100)^2+(M119/100+N119/100)^2))*1000000*VLOOKUP(J119,eq!$D$2:$G$42,4,)/2)</f>
        <v>4453.2552013949999</v>
      </c>
      <c r="X119" s="1">
        <f>((3.141593*Q119/32)*((K119+L119)^2+(M119+N119)^2))*1000000*VLOOKUP(J119,eq!$D$2:$G$42,4,)/2</f>
        <v>44532552.013949998</v>
      </c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customHeight="1">
      <c r="A120" s="1" t="s">
        <v>16</v>
      </c>
      <c r="B120" s="4">
        <v>6</v>
      </c>
      <c r="C120" s="1" t="s">
        <v>8</v>
      </c>
      <c r="D120" s="1" t="s">
        <v>17</v>
      </c>
      <c r="E120" s="4" t="s">
        <v>13</v>
      </c>
      <c r="F120" s="4" t="str">
        <f t="shared" si="7"/>
        <v>GM_6_NA_B1</v>
      </c>
      <c r="G120" s="4" t="s">
        <v>8</v>
      </c>
      <c r="H120" s="4" t="s">
        <v>32</v>
      </c>
      <c r="I120" s="4">
        <v>5</v>
      </c>
      <c r="J120" s="4" t="str">
        <f t="shared" si="8"/>
        <v>T_5_NA</v>
      </c>
      <c r="K120" s="4">
        <v>19</v>
      </c>
      <c r="L120" s="4">
        <v>22</v>
      </c>
      <c r="M120" s="4">
        <v>19</v>
      </c>
      <c r="N120" s="4">
        <v>22</v>
      </c>
      <c r="O120" s="4"/>
      <c r="P120" s="4">
        <v>0.72</v>
      </c>
      <c r="Q120" s="4" t="str">
        <f t="shared" si="11"/>
        <v>0.72</v>
      </c>
      <c r="R120" s="4" t="str">
        <f>VLOOKUP(J120,eq!$D$2:$K$42,8,)</f>
        <v>((pi*X2*100/32)*((a+b)^2 + (c+d)^2))*0.25</v>
      </c>
      <c r="S120" s="4" t="str">
        <f t="shared" si="9"/>
        <v>((3.141593*0.72*100/32)*((19+22)^2 + (19+22)^2))*0.25</v>
      </c>
      <c r="T120" s="4" cm="1">
        <f t="array" ref="T120">eval_dw/2</f>
        <v>2970.5725310624998</v>
      </c>
      <c r="U120" s="1">
        <f>T120*2/VLOOKUP(J120,eq!$D$2:$G$42,4,)</f>
        <v>23764.580248499999</v>
      </c>
      <c r="V120" s="1">
        <f t="shared" si="10"/>
        <v>5941.1450621249996</v>
      </c>
      <c r="W120" s="1" cm="1">
        <f t="array" ref="W120">IF(LEFT(J120,1)="S",eval_S/2,((3.141593*Q120/32)*((K120/100+L120/100)^2+(M120/100+N120/100)^2))*1000000*VLOOKUP(J120,eq!$D$2:$G$42,4,)/2)</f>
        <v>2970.5725310625003</v>
      </c>
      <c r="X120" s="1">
        <f>((3.141593*Q120/32)*((K120+L120)^2+(M120+N120)^2))*1000000*VLOOKUP(J120,eq!$D$2:$G$42,4,)/2</f>
        <v>29705725.310624998</v>
      </c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customHeight="1">
      <c r="A121" s="1" t="s">
        <v>16</v>
      </c>
      <c r="B121" s="4">
        <v>6</v>
      </c>
      <c r="C121" s="1" t="s">
        <v>8</v>
      </c>
      <c r="D121" s="1" t="s">
        <v>17</v>
      </c>
      <c r="E121" s="4" t="s">
        <v>13</v>
      </c>
      <c r="F121" s="4" t="str">
        <f t="shared" si="7"/>
        <v>GM_6_NA_B1</v>
      </c>
      <c r="G121" s="4" t="s">
        <v>8</v>
      </c>
      <c r="H121" s="4" t="s">
        <v>9</v>
      </c>
      <c r="I121" s="4">
        <v>4</v>
      </c>
      <c r="J121" s="4" t="str">
        <f t="shared" si="8"/>
        <v>F_4_NA</v>
      </c>
      <c r="K121" s="4">
        <v>16</v>
      </c>
      <c r="L121" s="4">
        <v>18</v>
      </c>
      <c r="M121" s="4">
        <v>17</v>
      </c>
      <c r="N121" s="4">
        <v>17</v>
      </c>
      <c r="O121" s="4">
        <v>1.41</v>
      </c>
      <c r="P121" s="4"/>
      <c r="Q121" s="4" t="str">
        <f t="shared" si="11"/>
        <v>1.41</v>
      </c>
      <c r="R121" s="4" t="str">
        <f>VLOOKUP(J121,eq!$D$2:$K$42,8,)</f>
        <v>((pi*X2*100/32)*((a+b)^2 + (c+d)^2))*0.15</v>
      </c>
      <c r="S121" s="4" t="str">
        <f t="shared" si="9"/>
        <v>((3.141593*1.41*100/32)*((16+18)^2 + (17+17)^2))*0.15</v>
      </c>
      <c r="T121" s="4" cm="1">
        <f t="array" ref="T121">eval_dw/2</f>
        <v>2400.3144966937493</v>
      </c>
      <c r="U121" s="1">
        <f>T121*2/VLOOKUP(J121,eq!$D$2:$G$42,4,)</f>
        <v>32004.193289249994</v>
      </c>
      <c r="V121" s="1">
        <f t="shared" si="10"/>
        <v>4800.6289933874987</v>
      </c>
      <c r="W121" s="1" cm="1">
        <f t="array" ref="W121">IF(LEFT(J121,1)="S",eval_S/2,((3.141593*Q121/32)*((K121/100+L121/100)^2+(M121/100+N121/100)^2))*1000000*VLOOKUP(J121,eq!$D$2:$G$42,4,)/2)</f>
        <v>2400.3144966937498</v>
      </c>
      <c r="X121" s="1">
        <f>((3.141593*Q121/32)*((K121+L121)^2+(M121+N121)^2))*1000000*VLOOKUP(J121,eq!$D$2:$G$42,4,)/2</f>
        <v>24003144.966937494</v>
      </c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customHeight="1">
      <c r="A122" s="1" t="s">
        <v>16</v>
      </c>
      <c r="B122" s="4">
        <v>6</v>
      </c>
      <c r="C122" s="1" t="s">
        <v>8</v>
      </c>
      <c r="D122" s="1" t="s">
        <v>17</v>
      </c>
      <c r="E122" s="4" t="s">
        <v>7</v>
      </c>
      <c r="F122" s="4" t="str">
        <f t="shared" si="7"/>
        <v>GM_6_NA_B2</v>
      </c>
      <c r="G122" s="4" t="s">
        <v>8</v>
      </c>
      <c r="H122" s="4" t="s">
        <v>9</v>
      </c>
      <c r="I122" s="4">
        <v>3</v>
      </c>
      <c r="J122" s="4" t="str">
        <f t="shared" si="8"/>
        <v>F_3_NA</v>
      </c>
      <c r="K122" s="4">
        <v>18</v>
      </c>
      <c r="L122" s="4">
        <v>17</v>
      </c>
      <c r="M122" s="4">
        <v>18</v>
      </c>
      <c r="N122" s="4">
        <v>17</v>
      </c>
      <c r="O122" s="4">
        <v>4.0999999999999996</v>
      </c>
      <c r="P122" s="4"/>
      <c r="Q122" s="4" t="str">
        <f t="shared" si="11"/>
        <v>4.1</v>
      </c>
      <c r="R122" s="4" t="str">
        <f>VLOOKUP(J122,eq!$D$2:$K$42,8,)</f>
        <v>((pi*X2*100/32)*((a+b)^2 + (c+d)^2))*0.26</v>
      </c>
      <c r="S122" s="4" t="str">
        <f t="shared" si="9"/>
        <v>((3.141593*4.1*100/32)*((18+17)^2 + (18+17)^2))*0.26</v>
      </c>
      <c r="T122" s="4" cm="1">
        <f t="array" ref="T122">eval_dw/2</f>
        <v>12820.15380953125</v>
      </c>
      <c r="U122" s="1">
        <f>T122*2/VLOOKUP(J122,eq!$D$2:$G$42,4,)</f>
        <v>98616.56776562499</v>
      </c>
      <c r="V122" s="1">
        <f t="shared" si="10"/>
        <v>25640.3076190625</v>
      </c>
      <c r="W122" s="1" cm="1">
        <f t="array" ref="W122">IF(LEFT(J122,1)="S",eval_S/2,((3.141593*Q122/32)*((K122/100+L122/100)^2+(M122/100+N122/100)^2))*1000000*VLOOKUP(J122,eq!$D$2:$G$42,4,)/2)</f>
        <v>12820.153809531248</v>
      </c>
      <c r="X122" s="1">
        <f>((3.141593*Q122/32)*((K122+L122)^2+(M122+N122)^2))*1000000*VLOOKUP(J122,eq!$D$2:$G$42,4,)/2</f>
        <v>128201538.09531249</v>
      </c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customHeight="1">
      <c r="A123" s="1" t="s">
        <v>16</v>
      </c>
      <c r="B123" s="4">
        <v>6</v>
      </c>
      <c r="C123" s="1" t="s">
        <v>8</v>
      </c>
      <c r="D123" s="1" t="s">
        <v>17</v>
      </c>
      <c r="E123" s="4" t="s">
        <v>7</v>
      </c>
      <c r="F123" s="4" t="str">
        <f t="shared" si="7"/>
        <v>GM_6_NA_B2</v>
      </c>
      <c r="G123" s="4" t="s">
        <v>8</v>
      </c>
      <c r="H123" s="4" t="s">
        <v>9</v>
      </c>
      <c r="I123" s="4">
        <v>5</v>
      </c>
      <c r="J123" s="4" t="str">
        <f t="shared" si="8"/>
        <v>F_5_NA</v>
      </c>
      <c r="K123" s="4">
        <v>23</v>
      </c>
      <c r="L123" s="4">
        <v>22</v>
      </c>
      <c r="M123" s="4">
        <v>23</v>
      </c>
      <c r="N123" s="4">
        <v>22</v>
      </c>
      <c r="O123" s="4">
        <v>1.62</v>
      </c>
      <c r="P123" s="4"/>
      <c r="Q123" s="4" t="str">
        <f t="shared" si="11"/>
        <v>1.62</v>
      </c>
      <c r="R123" s="4" t="str">
        <f>VLOOKUP(J123,eq!$D$2:$K$42,8,)</f>
        <v>((pi*X2*100/32)*((a+b)^2 + (c+d)^2))*0.11</v>
      </c>
      <c r="S123" s="4" t="str">
        <f t="shared" si="9"/>
        <v>((3.141593*1.62*100/32)*((23+22)^2 + (23+22)^2))*0.11</v>
      </c>
      <c r="T123" s="4" cm="1">
        <f t="array" ref="T123">eval_dw/2</f>
        <v>3542.6860687968747</v>
      </c>
      <c r="U123" s="1">
        <f>T123*2/VLOOKUP(J123,eq!$D$2:$G$42,4,)</f>
        <v>64412.473978124995</v>
      </c>
      <c r="V123" s="1">
        <f t="shared" si="10"/>
        <v>7085.3721375937494</v>
      </c>
      <c r="W123" s="1" cm="1">
        <f t="array" ref="W123">IF(LEFT(J123,1)="S",eval_S/2,((3.141593*Q123/32)*((K123/100+L123/100)^2+(M123/100+N123/100)^2))*1000000*VLOOKUP(J123,eq!$D$2:$G$42,4,)/2)</f>
        <v>3542.6860687968747</v>
      </c>
      <c r="X123" s="1">
        <f>((3.141593*Q123/32)*((K123+L123)^2+(M123+N123)^2))*1000000*VLOOKUP(J123,eq!$D$2:$G$42,4,)/2</f>
        <v>35426860.687968753</v>
      </c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customHeight="1">
      <c r="A124" s="1" t="s">
        <v>16</v>
      </c>
      <c r="B124" s="4">
        <v>6</v>
      </c>
      <c r="C124" s="1" t="s">
        <v>8</v>
      </c>
      <c r="D124" s="1" t="s">
        <v>17</v>
      </c>
      <c r="E124" s="4" t="s">
        <v>12</v>
      </c>
      <c r="F124" s="4" t="str">
        <f t="shared" si="7"/>
        <v>GM_6_NA_B3</v>
      </c>
      <c r="G124" s="4" t="s">
        <v>8</v>
      </c>
      <c r="H124" s="4" t="s">
        <v>9</v>
      </c>
      <c r="I124" s="4">
        <v>3</v>
      </c>
      <c r="J124" s="4" t="str">
        <f t="shared" si="8"/>
        <v>F_3_NA</v>
      </c>
      <c r="K124" s="4">
        <v>26</v>
      </c>
      <c r="L124" s="4">
        <v>24</v>
      </c>
      <c r="M124" s="4">
        <v>24</v>
      </c>
      <c r="N124" s="4">
        <v>22</v>
      </c>
      <c r="O124" s="4">
        <v>3.1</v>
      </c>
      <c r="P124" s="4"/>
      <c r="Q124" s="4" t="str">
        <f t="shared" si="11"/>
        <v>3.1</v>
      </c>
      <c r="R124" s="4" t="str">
        <f>VLOOKUP(J124,eq!$D$2:$K$42,8,)</f>
        <v>((pi*X2*100/32)*((a+b)^2 + (c+d)^2))*0.26</v>
      </c>
      <c r="S124" s="4" t="str">
        <f t="shared" si="9"/>
        <v>((3.141593*3.1*100/32)*((26+24)^2 + (24+22)^2))*0.26</v>
      </c>
      <c r="T124" s="4" cm="1">
        <f t="array" ref="T124">eval_dw/2</f>
        <v>18262.944047074998</v>
      </c>
      <c r="U124" s="1">
        <f>T124*2/VLOOKUP(J124,eq!$D$2:$G$42,4,)</f>
        <v>140484.18497749997</v>
      </c>
      <c r="V124" s="1">
        <f t="shared" si="10"/>
        <v>36525.888094149996</v>
      </c>
      <c r="W124" s="1" cm="1">
        <f t="array" ref="W124">IF(LEFT(J124,1)="S",eval_S/2,((3.141593*Q124/32)*((K124/100+L124/100)^2+(M124/100+N124/100)^2))*1000000*VLOOKUP(J124,eq!$D$2:$G$42,4,)/2)</f>
        <v>18262.944047074998</v>
      </c>
      <c r="X124" s="1">
        <f>((3.141593*Q124/32)*((K124+L124)^2+(M124+N124)^2))*1000000*VLOOKUP(J124,eq!$D$2:$G$42,4,)/2</f>
        <v>182629440.47074997</v>
      </c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customHeight="1">
      <c r="A125" s="1" t="s">
        <v>16</v>
      </c>
      <c r="B125" s="4">
        <v>6</v>
      </c>
      <c r="C125" s="1" t="s">
        <v>8</v>
      </c>
      <c r="D125" s="1" t="s">
        <v>17</v>
      </c>
      <c r="E125" s="4" t="s">
        <v>12</v>
      </c>
      <c r="F125" s="4" t="str">
        <f t="shared" si="7"/>
        <v>GM_6_NA_B3</v>
      </c>
      <c r="G125" s="4" t="s">
        <v>8</v>
      </c>
      <c r="H125" s="4" t="s">
        <v>11</v>
      </c>
      <c r="I125" s="4">
        <v>4</v>
      </c>
      <c r="J125" s="4" t="str">
        <f t="shared" si="8"/>
        <v>S_4_NA</v>
      </c>
      <c r="K125" s="4">
        <v>12</v>
      </c>
      <c r="L125" s="4"/>
      <c r="M125" s="4"/>
      <c r="N125" s="4"/>
      <c r="O125" s="4"/>
      <c r="P125" s="4">
        <v>11</v>
      </c>
      <c r="Q125" s="4" t="str">
        <f t="shared" si="11"/>
        <v>11</v>
      </c>
      <c r="R125" s="4" t="str">
        <f>VLOOKUP(J125,eq!$D$2:$K$42,8,)</f>
        <v>((0.0000598*((X4^2)*X2)^0.946)*(1.0-0.0019*X4)*1000006)*0.25</v>
      </c>
      <c r="S125" s="4" t="str">
        <f t="shared" si="9"/>
        <v>((0.0000598*((12^2)*11)^0.946)*(1.0-0.0019*12)*1000006)*0.25</v>
      </c>
      <c r="T125" s="4" cm="1">
        <f t="array" ref="T125">eval_dw/2</f>
        <v>7772.5881965614408</v>
      </c>
      <c r="U125" s="1">
        <f>T125*2/VLOOKUP(J125,eq!$D$2:$G$42,4,)</f>
        <v>62180.705572491526</v>
      </c>
      <c r="V125" s="1">
        <f t="shared" si="10"/>
        <v>15545.176393122882</v>
      </c>
      <c r="W125" s="1" cm="1">
        <f t="array" ref="W125">IF(LEFT(J125,1)="S",eval_S/2,((3.141593*Q125/32)*((K125/100+L125/100)^2+(M125/100+N125/100)^2))*1000000*VLOOKUP(J125,eq!$D$2:$G$42,4,)/2)</f>
        <v>7772.5881965614408</v>
      </c>
      <c r="X125" s="1">
        <f>((3.141593*Q125/32)*((K125+L125)^2+(M125+N125)^2))*1000000*VLOOKUP(J125,eq!$D$2:$G$42,4,)/2</f>
        <v>19438606.6875</v>
      </c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customHeight="1">
      <c r="A126" s="1" t="s">
        <v>16</v>
      </c>
      <c r="B126" s="4">
        <v>6</v>
      </c>
      <c r="C126" s="1" t="s">
        <v>8</v>
      </c>
      <c r="D126" s="1" t="s">
        <v>17</v>
      </c>
      <c r="E126" s="4" t="s">
        <v>12</v>
      </c>
      <c r="F126" s="4" t="str">
        <f t="shared" si="7"/>
        <v>GM_6_NA_B3</v>
      </c>
      <c r="G126" s="4" t="s">
        <v>8</v>
      </c>
      <c r="H126" s="4" t="s">
        <v>9</v>
      </c>
      <c r="I126" s="4">
        <v>4</v>
      </c>
      <c r="J126" s="4" t="str">
        <f t="shared" si="8"/>
        <v>F_4_NA</v>
      </c>
      <c r="K126" s="4">
        <v>20</v>
      </c>
      <c r="L126" s="4">
        <v>18</v>
      </c>
      <c r="M126" s="4">
        <v>20</v>
      </c>
      <c r="N126" s="4">
        <v>18</v>
      </c>
      <c r="O126" s="4">
        <v>2.27</v>
      </c>
      <c r="P126" s="4"/>
      <c r="Q126" s="4" t="str">
        <f t="shared" si="11"/>
        <v>2.27</v>
      </c>
      <c r="R126" s="4" t="str">
        <f>VLOOKUP(J126,eq!$D$2:$K$42,8,)</f>
        <v>((pi*X2*100/32)*((a+b)^2 + (c+d)^2))*0.15</v>
      </c>
      <c r="S126" s="4" t="str">
        <f t="shared" si="9"/>
        <v>((3.141593*2.27*100/32)*((20+18)^2 + (20+18)^2))*0.15</v>
      </c>
      <c r="T126" s="4" cm="1">
        <f t="array" ref="T126">eval_dw/2</f>
        <v>4827.0772794562499</v>
      </c>
      <c r="U126" s="1">
        <f>T126*2/VLOOKUP(J126,eq!$D$2:$G$42,4,)</f>
        <v>64361.030392749999</v>
      </c>
      <c r="V126" s="1">
        <f t="shared" si="10"/>
        <v>9654.1545589124999</v>
      </c>
      <c r="W126" s="1" cm="1">
        <f t="array" ref="W126">IF(LEFT(J126,1)="S",eval_S/2,((3.141593*Q126/32)*((K126/100+L126/100)^2+(M126/100+N126/100)^2))*1000000*VLOOKUP(J126,eq!$D$2:$G$42,4,)/2)</f>
        <v>4827.0772794562499</v>
      </c>
      <c r="X126" s="1">
        <f>((3.141593*Q126/32)*((K126+L126)^2+(M126+N126)^2))*1000000*VLOOKUP(J126,eq!$D$2:$G$42,4,)/2</f>
        <v>48270772.794562496</v>
      </c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customHeight="1">
      <c r="A127" s="1" t="s">
        <v>16</v>
      </c>
      <c r="B127" s="4">
        <v>6</v>
      </c>
      <c r="C127" s="1" t="s">
        <v>8</v>
      </c>
      <c r="D127" s="1" t="s">
        <v>17</v>
      </c>
      <c r="E127" s="4" t="s">
        <v>10</v>
      </c>
      <c r="F127" s="4" t="str">
        <f t="shared" si="7"/>
        <v>GM_6_NA_B4</v>
      </c>
      <c r="G127" s="4" t="s">
        <v>8</v>
      </c>
      <c r="H127" s="4" t="s">
        <v>9</v>
      </c>
      <c r="I127" s="4">
        <v>4</v>
      </c>
      <c r="J127" s="4" t="str">
        <f t="shared" si="8"/>
        <v>F_4_NA</v>
      </c>
      <c r="K127" s="4">
        <v>19</v>
      </c>
      <c r="L127" s="4">
        <v>17</v>
      </c>
      <c r="M127" s="4">
        <v>19</v>
      </c>
      <c r="N127" s="4">
        <v>17</v>
      </c>
      <c r="O127" s="4">
        <v>2.42</v>
      </c>
      <c r="P127" s="4"/>
      <c r="Q127" s="4" t="str">
        <f t="shared" si="11"/>
        <v>2.42</v>
      </c>
      <c r="R127" s="4" t="str">
        <f>VLOOKUP(J127,eq!$D$2:$K$42,8,)</f>
        <v>((pi*X2*100/32)*((a+b)^2 + (c+d)^2))*0.15</v>
      </c>
      <c r="S127" s="4" t="str">
        <f t="shared" si="9"/>
        <v>((3.141593*2.42*100/32)*((19+17)^2 + (19+17)^2))*0.15</v>
      </c>
      <c r="T127" s="4" cm="1">
        <f t="array" ref="T127">eval_dw/2</f>
        <v>4618.6129489499999</v>
      </c>
      <c r="U127" s="1">
        <f>T127*2/VLOOKUP(J127,eq!$D$2:$G$42,4,)</f>
        <v>61581.505986000004</v>
      </c>
      <c r="V127" s="1">
        <f t="shared" si="10"/>
        <v>9237.2258978999998</v>
      </c>
      <c r="W127" s="1" cm="1">
        <f t="array" ref="W127">IF(LEFT(J127,1)="S",eval_S/2,((3.141593*Q127/32)*((K127/100+L127/100)^2+(M127/100+N127/100)^2))*1000000*VLOOKUP(J127,eq!$D$2:$G$42,4,)/2)</f>
        <v>4618.612948949999</v>
      </c>
      <c r="X127" s="1">
        <f>((3.141593*Q127/32)*((K127+L127)^2+(M127+N127)^2))*1000000*VLOOKUP(J127,eq!$D$2:$G$42,4,)/2</f>
        <v>46186129.489499994</v>
      </c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customHeight="1">
      <c r="A128" s="1" t="s">
        <v>16</v>
      </c>
      <c r="B128" s="4">
        <v>7</v>
      </c>
      <c r="C128" s="1" t="s">
        <v>8</v>
      </c>
      <c r="D128" s="1" t="s">
        <v>17</v>
      </c>
      <c r="E128" s="4" t="s">
        <v>13</v>
      </c>
      <c r="F128" s="4" t="str">
        <f t="shared" si="7"/>
        <v>GM_7_NA_B1</v>
      </c>
      <c r="G128" s="4" t="s">
        <v>8</v>
      </c>
      <c r="H128" s="4" t="s">
        <v>9</v>
      </c>
      <c r="I128" s="4">
        <v>4</v>
      </c>
      <c r="J128" s="4" t="str">
        <f t="shared" si="8"/>
        <v>F_4_NA</v>
      </c>
      <c r="K128" s="4">
        <v>16</v>
      </c>
      <c r="L128" s="4">
        <v>17</v>
      </c>
      <c r="M128" s="4">
        <v>16</v>
      </c>
      <c r="N128" s="4">
        <v>17</v>
      </c>
      <c r="O128" s="4">
        <v>2.34</v>
      </c>
      <c r="P128" s="4"/>
      <c r="Q128" s="4" t="str">
        <f t="shared" si="11"/>
        <v>2.34</v>
      </c>
      <c r="R128" s="4" t="str">
        <f>VLOOKUP(J128,eq!$D$2:$K$42,8,)</f>
        <v>((pi*X2*100/32)*((a+b)^2 + (c+d)^2))*0.15</v>
      </c>
      <c r="S128" s="4" t="str">
        <f t="shared" si="9"/>
        <v>((3.141593*2.34*100/32)*((16+17)^2 + (16+17)^2))*0.15</v>
      </c>
      <c r="T128" s="4" cm="1">
        <f t="array" ref="T128">eval_dw/2</f>
        <v>3752.6230210218746</v>
      </c>
      <c r="U128" s="1">
        <f>T128*2/VLOOKUP(J128,eq!$D$2:$G$42,4,)</f>
        <v>50034.973613624999</v>
      </c>
      <c r="V128" s="1">
        <f t="shared" si="10"/>
        <v>7505.2460420437492</v>
      </c>
      <c r="W128" s="1" cm="1">
        <f t="array" ref="W128">IF(LEFT(J128,1)="S",eval_S/2,((3.141593*Q128/32)*((K128/100+L128/100)^2+(M128/100+N128/100)^2))*1000000*VLOOKUP(J128,eq!$D$2:$G$42,4,)/2)</f>
        <v>3752.6230210218746</v>
      </c>
      <c r="X128" s="1">
        <f>((3.141593*Q128/32)*((K128+L128)^2+(M128+N128)^2))*1000000*VLOOKUP(J128,eq!$D$2:$G$42,4,)/2</f>
        <v>37526230.210218742</v>
      </c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customHeight="1">
      <c r="A129" s="1" t="s">
        <v>16</v>
      </c>
      <c r="B129" s="4">
        <v>7</v>
      </c>
      <c r="C129" s="1" t="s">
        <v>8</v>
      </c>
      <c r="D129" s="1" t="s">
        <v>17</v>
      </c>
      <c r="E129" s="4" t="s">
        <v>7</v>
      </c>
      <c r="F129" s="4" t="str">
        <f t="shared" si="7"/>
        <v>GM_7_NA_B2</v>
      </c>
      <c r="G129" s="4" t="s">
        <v>8</v>
      </c>
      <c r="H129" s="4" t="s">
        <v>9</v>
      </c>
      <c r="I129" s="4">
        <v>2</v>
      </c>
      <c r="J129" s="4" t="str">
        <f t="shared" si="8"/>
        <v>F_2_NA</v>
      </c>
      <c r="K129" s="4">
        <v>16</v>
      </c>
      <c r="L129" s="4">
        <v>15</v>
      </c>
      <c r="M129" s="4">
        <v>16</v>
      </c>
      <c r="N129" s="4">
        <v>15</v>
      </c>
      <c r="O129" s="4">
        <v>3</v>
      </c>
      <c r="P129" s="4"/>
      <c r="Q129" s="4" t="str">
        <f t="shared" si="11"/>
        <v>3</v>
      </c>
      <c r="R129" s="4" t="str">
        <f>VLOOKUP(J129,eq!$D$2:$K$42,8,)</f>
        <v>((pi*X2*100/32)*((a+b)^2 + (c+d)^2))*0.33</v>
      </c>
      <c r="S129" s="4" t="str">
        <f t="shared" si="9"/>
        <v>((3.141593*3*100/32)*((16+15)^2 + (16+15)^2))*0.33</v>
      </c>
      <c r="T129" s="4" cm="1">
        <f t="array" ref="T129">eval_dw/2</f>
        <v>9340.2505133437498</v>
      </c>
      <c r="U129" s="1">
        <f>T129*2/VLOOKUP(J129,eq!$D$2:$G$42,4,)</f>
        <v>56607.578868749995</v>
      </c>
      <c r="V129" s="1">
        <f t="shared" si="10"/>
        <v>18680.5010266875</v>
      </c>
      <c r="W129" s="1" cm="1">
        <f t="array" ref="W129">IF(LEFT(J129,1)="S",eval_S/2,((3.141593*Q129/32)*((K129/100+L129/100)^2+(M129/100+N129/100)^2))*1000000*VLOOKUP(J129,eq!$D$2:$G$42,4,)/2)</f>
        <v>9340.2505133437498</v>
      </c>
      <c r="X129" s="1">
        <f>((3.141593*Q129/32)*((K129+L129)^2+(M129+N129)^2))*1000000*VLOOKUP(J129,eq!$D$2:$G$42,4,)/2</f>
        <v>93402505.133437499</v>
      </c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customHeight="1">
      <c r="A130" s="1" t="s">
        <v>16</v>
      </c>
      <c r="B130" s="4">
        <v>7</v>
      </c>
      <c r="C130" s="1" t="s">
        <v>8</v>
      </c>
      <c r="D130" s="1" t="s">
        <v>17</v>
      </c>
      <c r="E130" s="4" t="s">
        <v>7</v>
      </c>
      <c r="F130" s="4" t="str">
        <f t="shared" ref="F130:F193" si="12">A130&amp;"_"&amp;B130&amp;"_"&amp;C130&amp;"_"&amp;E130</f>
        <v>GM_7_NA_B2</v>
      </c>
      <c r="G130" s="4" t="s">
        <v>8</v>
      </c>
      <c r="H130" s="4" t="s">
        <v>11</v>
      </c>
      <c r="I130" s="4">
        <v>5</v>
      </c>
      <c r="J130" s="4" t="str">
        <f t="shared" ref="J130:J193" si="13">H130&amp;"_"&amp;I130&amp;"_"&amp;G130</f>
        <v>S_5_NA</v>
      </c>
      <c r="K130" s="4">
        <v>15</v>
      </c>
      <c r="L130" s="4"/>
      <c r="M130" s="4"/>
      <c r="N130" s="4"/>
      <c r="O130" s="4"/>
      <c r="P130" s="4">
        <v>1.32</v>
      </c>
      <c r="Q130" s="4" t="str">
        <f t="shared" si="11"/>
        <v>1.32</v>
      </c>
      <c r="R130" s="4" t="str">
        <f>VLOOKUP(J130,eq!$D$2:$K$42,8,)</f>
        <v>((0.0000598*((X4^2)*X2)^0.946)*(1.0-0.0019*X4)*1000009)*0.25</v>
      </c>
      <c r="S130" s="4" t="str">
        <f t="shared" si="9"/>
        <v>((0.0000598*((15^2)*1.32)^0.946)*(1.0-0.0019*15)*1000009)*0.25</v>
      </c>
      <c r="T130" s="4" cm="1">
        <f t="array" ref="T130">eval_dw/2</f>
        <v>1585.9354672650131</v>
      </c>
      <c r="U130" s="1">
        <f>T130*2/VLOOKUP(J130,eq!$D$2:$G$42,4,)</f>
        <v>12687.483738120105</v>
      </c>
      <c r="V130" s="1">
        <f t="shared" si="10"/>
        <v>3171.8709345300263</v>
      </c>
      <c r="W130" s="1" cm="1">
        <f t="array" ref="W130">IF(LEFT(J130,1)="S",eval_S/2,((3.141593*Q130/32)*((K130/100+L130/100)^2+(M130/100+N130/100)^2))*1000000*VLOOKUP(J130,eq!$D$2:$G$42,4,)/2)</f>
        <v>1585.9354672650131</v>
      </c>
      <c r="X130" s="1">
        <f>((3.141593*Q130/32)*((K130+L130)^2+(M130+N130)^2))*1000000*VLOOKUP(J130,eq!$D$2:$G$42,4,)/2</f>
        <v>3644738.7539062495</v>
      </c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customHeight="1">
      <c r="A131" s="1" t="s">
        <v>16</v>
      </c>
      <c r="B131" s="4">
        <v>7</v>
      </c>
      <c r="C131" s="1" t="s">
        <v>8</v>
      </c>
      <c r="D131" s="1" t="s">
        <v>17</v>
      </c>
      <c r="E131" s="4" t="s">
        <v>12</v>
      </c>
      <c r="F131" s="4" t="str">
        <f t="shared" si="12"/>
        <v>GM_7_NA_B3</v>
      </c>
      <c r="G131" s="4" t="s">
        <v>8</v>
      </c>
      <c r="H131" s="4" t="s">
        <v>9</v>
      </c>
      <c r="I131" s="4">
        <v>2</v>
      </c>
      <c r="J131" s="4" t="str">
        <f t="shared" si="13"/>
        <v>F_2_NA</v>
      </c>
      <c r="K131" s="4">
        <v>18</v>
      </c>
      <c r="L131" s="4">
        <v>14</v>
      </c>
      <c r="M131" s="4">
        <v>18</v>
      </c>
      <c r="N131" s="4">
        <v>14</v>
      </c>
      <c r="O131" s="4">
        <v>0.67</v>
      </c>
      <c r="P131" s="4"/>
      <c r="Q131" s="4" t="str">
        <f t="shared" si="11"/>
        <v>0.67</v>
      </c>
      <c r="R131" s="4" t="str">
        <f>VLOOKUP(J131,eq!$D$2:$K$42,8,)</f>
        <v>((pi*X2*100/32)*((a+b)^2 + (c+d)^2))*0.33</v>
      </c>
      <c r="S131" s="4" t="str">
        <f t="shared" ref="S131:S194" si="14">SUBSTITUTE(SUBSTITUTE(SUBSTITUTE(SUBSTITUTE(SUBSTITUTE(SUBSTITUTE(SUBSTITUTE(R131,"X2",Q131),"X4",K131),"a",K131),"b",L131),"c",M131),"d",N131),"pi",3.141593)</f>
        <v>((3.141593*0.67*100/32)*((18+14)^2 + (18+14)^2))*0.33</v>
      </c>
      <c r="T131" s="4" cm="1">
        <f t="array" ref="T131">eval_dw/2</f>
        <v>2222.73987936</v>
      </c>
      <c r="U131" s="1">
        <f>T131*2/VLOOKUP(J131,eq!$D$2:$G$42,4,)</f>
        <v>13471.150783999999</v>
      </c>
      <c r="V131" s="1">
        <f t="shared" ref="V131:V194" si="15">T131*2</f>
        <v>4445.4797587200001</v>
      </c>
      <c r="W131" s="1" cm="1">
        <f t="array" ref="W131">IF(LEFT(J131,1)="S",eval_S/2,((3.141593*Q131/32)*((K131/100+L131/100)^2+(M131/100+N131/100)^2))*1000000*VLOOKUP(J131,eq!$D$2:$G$42,4,)/2)</f>
        <v>2222.73987936</v>
      </c>
      <c r="X131" s="1">
        <f>((3.141593*Q131/32)*((K131+L131)^2+(M131+N131)^2))*1000000*VLOOKUP(J131,eq!$D$2:$G$42,4,)/2</f>
        <v>22227398.7936</v>
      </c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customHeight="1">
      <c r="A132" s="1" t="s">
        <v>16</v>
      </c>
      <c r="B132" s="4">
        <v>7</v>
      </c>
      <c r="C132" s="1" t="s">
        <v>8</v>
      </c>
      <c r="D132" s="1" t="s">
        <v>17</v>
      </c>
      <c r="E132" s="4" t="s">
        <v>10</v>
      </c>
      <c r="F132" s="4" t="str">
        <f t="shared" si="12"/>
        <v>GM_7_NA_B4</v>
      </c>
      <c r="G132" s="4" t="s">
        <v>8</v>
      </c>
      <c r="H132" s="4" t="s">
        <v>9</v>
      </c>
      <c r="I132" s="4">
        <v>3</v>
      </c>
      <c r="J132" s="4" t="str">
        <f t="shared" si="13"/>
        <v>F_3_NA</v>
      </c>
      <c r="K132" s="4">
        <v>19</v>
      </c>
      <c r="L132" s="4">
        <v>18</v>
      </c>
      <c r="M132" s="4">
        <v>19</v>
      </c>
      <c r="N132" s="4">
        <v>18</v>
      </c>
      <c r="O132" s="4">
        <v>1.64</v>
      </c>
      <c r="P132" s="4"/>
      <c r="Q132" s="4" t="str">
        <f t="shared" si="11"/>
        <v>1.64</v>
      </c>
      <c r="R132" s="4" t="str">
        <f>VLOOKUP(J132,eq!$D$2:$K$42,8,)</f>
        <v>((pi*X2*100/32)*((a+b)^2 + (c+d)^2))*0.26</v>
      </c>
      <c r="S132" s="4" t="str">
        <f t="shared" si="14"/>
        <v>((3.141593*1.64*100/32)*((19+18)^2 + (19+18)^2))*0.26</v>
      </c>
      <c r="T132" s="4" cm="1">
        <f t="array" ref="T132">eval_dw/2</f>
        <v>5730.8703886524991</v>
      </c>
      <c r="U132" s="1">
        <f>T132*2/VLOOKUP(J132,eq!$D$2:$G$42,4,)</f>
        <v>44083.618374249992</v>
      </c>
      <c r="V132" s="1">
        <f t="shared" si="15"/>
        <v>11461.740777304998</v>
      </c>
      <c r="W132" s="1" cm="1">
        <f t="array" ref="W132">IF(LEFT(J132,1)="S",eval_S/2,((3.141593*Q132/32)*((K132/100+L132/100)^2+(M132/100+N132/100)^2))*1000000*VLOOKUP(J132,eq!$D$2:$G$42,4,)/2)</f>
        <v>5730.8703886524991</v>
      </c>
      <c r="X132" s="1">
        <f>((3.141593*Q132/32)*((K132+L132)^2+(M132+N132)^2))*1000000*VLOOKUP(J132,eq!$D$2:$G$42,4,)/2</f>
        <v>57308703.886524998</v>
      </c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customHeight="1">
      <c r="A133" s="1" t="s">
        <v>16</v>
      </c>
      <c r="B133" s="4">
        <v>7</v>
      </c>
      <c r="C133" s="1" t="s">
        <v>8</v>
      </c>
      <c r="D133" s="1" t="s">
        <v>17</v>
      </c>
      <c r="E133" s="4" t="s">
        <v>10</v>
      </c>
      <c r="F133" s="4" t="str">
        <f t="shared" si="12"/>
        <v>GM_7_NA_B4</v>
      </c>
      <c r="G133" s="4" t="s">
        <v>8</v>
      </c>
      <c r="H133" s="4" t="s">
        <v>9</v>
      </c>
      <c r="I133" s="4">
        <v>4</v>
      </c>
      <c r="J133" s="4" t="str">
        <f t="shared" si="13"/>
        <v>F_4_NA</v>
      </c>
      <c r="K133" s="4">
        <v>15</v>
      </c>
      <c r="L133" s="4">
        <v>14</v>
      </c>
      <c r="M133" s="4">
        <v>15</v>
      </c>
      <c r="N133" s="4">
        <v>14</v>
      </c>
      <c r="O133" s="4">
        <v>1.65</v>
      </c>
      <c r="P133" s="4"/>
      <c r="Q133" s="4" t="str">
        <f t="shared" si="11"/>
        <v>1.65</v>
      </c>
      <c r="R133" s="4" t="str">
        <f>VLOOKUP(J133,eq!$D$2:$K$42,8,)</f>
        <v>((pi*X2*100/32)*((a+b)^2 + (c+d)^2))*0.15</v>
      </c>
      <c r="S133" s="4" t="str">
        <f t="shared" si="14"/>
        <v>((3.141593*1.65*100/32)*((15+14)^2 + (15+14)^2))*0.15</v>
      </c>
      <c r="T133" s="4" cm="1">
        <f t="array" ref="T133">eval_dw/2</f>
        <v>2043.4835280234372</v>
      </c>
      <c r="U133" s="1">
        <f>T133*2/VLOOKUP(J133,eq!$D$2:$G$42,4,)</f>
        <v>27246.447040312498</v>
      </c>
      <c r="V133" s="1">
        <f t="shared" si="15"/>
        <v>4086.9670560468744</v>
      </c>
      <c r="W133" s="1" cm="1">
        <f t="array" ref="W133">IF(LEFT(J133,1)="S",eval_S/2,((3.141593*Q133/32)*((K133/100+L133/100)^2+(M133/100+N133/100)^2))*1000000*VLOOKUP(J133,eq!$D$2:$G$42,4,)/2)</f>
        <v>2043.4835280234379</v>
      </c>
      <c r="X133" s="1">
        <f>((3.141593*Q133/32)*((K133+L133)^2+(M133+N133)^2))*1000000*VLOOKUP(J133,eq!$D$2:$G$42,4,)/2</f>
        <v>20434835.280234374</v>
      </c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customHeight="1">
      <c r="A134" s="1" t="s">
        <v>16</v>
      </c>
      <c r="B134" s="4">
        <v>7</v>
      </c>
      <c r="C134" s="1" t="s">
        <v>8</v>
      </c>
      <c r="D134" s="1" t="s">
        <v>17</v>
      </c>
      <c r="E134" s="4" t="s">
        <v>10</v>
      </c>
      <c r="F134" s="4" t="str">
        <f t="shared" si="12"/>
        <v>GM_7_NA_B4</v>
      </c>
      <c r="G134" s="4" t="s">
        <v>8</v>
      </c>
      <c r="H134" s="4" t="s">
        <v>32</v>
      </c>
      <c r="I134" s="4">
        <v>5</v>
      </c>
      <c r="J134" s="4" t="str">
        <f t="shared" si="13"/>
        <v>T_5_NA</v>
      </c>
      <c r="K134" s="4">
        <v>16</v>
      </c>
      <c r="L134" s="4">
        <v>15</v>
      </c>
      <c r="M134" s="4">
        <v>16</v>
      </c>
      <c r="N134" s="4">
        <v>15</v>
      </c>
      <c r="O134" s="4"/>
      <c r="P134" s="4">
        <v>0.83</v>
      </c>
      <c r="Q134" s="4" t="str">
        <f t="shared" si="11"/>
        <v>0.83</v>
      </c>
      <c r="R134" s="4" t="str">
        <f>VLOOKUP(J134,eq!$D$2:$K$42,8,)</f>
        <v>((pi*X2*100/32)*((a+b)^2 + (c+d)^2))*0.25</v>
      </c>
      <c r="S134" s="4" t="str">
        <f t="shared" si="14"/>
        <v>((3.141593*0.83*100/32)*((16+15)^2 + (16+15)^2))*0.25</v>
      </c>
      <c r="T134" s="4" cm="1">
        <f t="array" ref="T134">eval_dw/2</f>
        <v>1957.6787692109372</v>
      </c>
      <c r="U134" s="1">
        <f>T134*2/VLOOKUP(J134,eq!$D$2:$G$42,4,)</f>
        <v>15661.430153687497</v>
      </c>
      <c r="V134" s="1">
        <f t="shared" si="15"/>
        <v>3915.3575384218743</v>
      </c>
      <c r="W134" s="1" cm="1">
        <f t="array" ref="W134">IF(LEFT(J134,1)="S",eval_S/2,((3.141593*Q134/32)*((K134/100+L134/100)^2+(M134/100+N134/100)^2))*1000000*VLOOKUP(J134,eq!$D$2:$G$42,4,)/2)</f>
        <v>1957.6787692109372</v>
      </c>
      <c r="X134" s="1">
        <f>((3.141593*Q134/32)*((K134+L134)^2+(M134+N134)^2))*1000000*VLOOKUP(J134,eq!$D$2:$G$42,4,)/2</f>
        <v>19576787.692109372</v>
      </c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customHeight="1">
      <c r="A135" s="1" t="s">
        <v>16</v>
      </c>
      <c r="B135" s="4">
        <v>7</v>
      </c>
      <c r="C135" s="1" t="s">
        <v>8</v>
      </c>
      <c r="D135" s="1" t="s">
        <v>17</v>
      </c>
      <c r="E135" s="4" t="s">
        <v>10</v>
      </c>
      <c r="F135" s="4" t="str">
        <f t="shared" si="12"/>
        <v>GM_7_NA_B4</v>
      </c>
      <c r="G135" s="4" t="s">
        <v>8</v>
      </c>
      <c r="H135" s="4" t="s">
        <v>11</v>
      </c>
      <c r="I135" s="4">
        <v>5</v>
      </c>
      <c r="J135" s="4" t="str">
        <f t="shared" si="13"/>
        <v>S_5_NA</v>
      </c>
      <c r="K135" s="4">
        <v>12</v>
      </c>
      <c r="L135" s="4"/>
      <c r="M135" s="4"/>
      <c r="N135" s="4"/>
      <c r="O135" s="4"/>
      <c r="P135" s="4">
        <v>0.96</v>
      </c>
      <c r="Q135" s="4" t="str">
        <f t="shared" si="11"/>
        <v>0.96</v>
      </c>
      <c r="R135" s="4" t="str">
        <f>VLOOKUP(J135,eq!$D$2:$K$42,8,)</f>
        <v>((0.0000598*((X4^2)*X2)^0.946)*(1.0-0.0019*X4)*1000009)*0.25</v>
      </c>
      <c r="S135" s="4" t="str">
        <f t="shared" si="14"/>
        <v>((0.0000598*((12^2)*0.96)^0.946)*(1.0-0.0019*12)*1000009)*0.25</v>
      </c>
      <c r="T135" s="4" cm="1">
        <f t="array" ref="T135">eval_dw/2</f>
        <v>773.81664612906673</v>
      </c>
      <c r="U135" s="1">
        <f>T135*2/VLOOKUP(J135,eq!$D$2:$G$42,4,)</f>
        <v>6190.5331690325338</v>
      </c>
      <c r="V135" s="1">
        <f t="shared" si="15"/>
        <v>1547.6332922581335</v>
      </c>
      <c r="W135" s="1" cm="1">
        <f t="array" ref="W135">IF(LEFT(J135,1)="S",eval_S/2,((3.141593*Q135/32)*((K135/100+L135/100)^2+(M135/100+N135/100)^2))*1000000*VLOOKUP(J135,eq!$D$2:$G$42,4,)/2)</f>
        <v>773.81664612906673</v>
      </c>
      <c r="X135" s="1">
        <f>((3.141593*Q135/32)*((K135+L135)^2+(M135+N135)^2))*1000000*VLOOKUP(J135,eq!$D$2:$G$42,4,)/2</f>
        <v>1696460.22</v>
      </c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customHeight="1">
      <c r="A136" s="1" t="s">
        <v>16</v>
      </c>
      <c r="B136" s="4">
        <v>8</v>
      </c>
      <c r="C136" s="1" t="s">
        <v>8</v>
      </c>
      <c r="D136" s="1" t="s">
        <v>17</v>
      </c>
      <c r="E136" s="4" t="s">
        <v>13</v>
      </c>
      <c r="F136" s="4" t="str">
        <f t="shared" si="12"/>
        <v>GM_8_NA_B1</v>
      </c>
      <c r="G136" s="4" t="s">
        <v>8</v>
      </c>
      <c r="H136" s="4" t="s">
        <v>9</v>
      </c>
      <c r="I136" s="4">
        <v>3</v>
      </c>
      <c r="J136" s="4" t="str">
        <f t="shared" si="13"/>
        <v>F_3_NA</v>
      </c>
      <c r="K136" s="4">
        <v>21</v>
      </c>
      <c r="L136" s="4">
        <v>20</v>
      </c>
      <c r="M136" s="4">
        <v>18</v>
      </c>
      <c r="N136" s="4">
        <v>15</v>
      </c>
      <c r="O136" s="4">
        <v>2.06</v>
      </c>
      <c r="P136" s="4"/>
      <c r="Q136" s="4" t="str">
        <f t="shared" si="11"/>
        <v>2.06</v>
      </c>
      <c r="R136" s="4" t="str">
        <f>VLOOKUP(J136,eq!$D$2:$K$42,8,)</f>
        <v>((pi*X2*100/32)*((a+b)^2 + (c+d)^2))*0.26</v>
      </c>
      <c r="S136" s="4" t="str">
        <f t="shared" si="14"/>
        <v>((3.141593*2.06*100/32)*((21+20)^2 + (18+15)^2))*0.26</v>
      </c>
      <c r="T136" s="4" cm="1">
        <f t="array" ref="T136">eval_dw/2</f>
        <v>7282.6641779937509</v>
      </c>
      <c r="U136" s="1">
        <f>T136*2/VLOOKUP(J136,eq!$D$2:$G$42,4,)</f>
        <v>56020.493676875005</v>
      </c>
      <c r="V136" s="1">
        <f t="shared" si="15"/>
        <v>14565.328355987502</v>
      </c>
      <c r="W136" s="1" cm="1">
        <f t="array" ref="W136">IF(LEFT(J136,1)="S",eval_S/2,((3.141593*Q136/32)*((K136/100+L136/100)^2+(M136/100+N136/100)^2))*1000000*VLOOKUP(J136,eq!$D$2:$G$42,4,)/2)</f>
        <v>7282.6641779937509</v>
      </c>
      <c r="X136" s="1">
        <f>((3.141593*Q136/32)*((K136+L136)^2+(M136+N136)^2))*1000000*VLOOKUP(J136,eq!$D$2:$G$42,4,)/2</f>
        <v>72826641.779937506</v>
      </c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customHeight="1">
      <c r="A137" s="1" t="s">
        <v>16</v>
      </c>
      <c r="B137" s="4">
        <v>8</v>
      </c>
      <c r="C137" s="1" t="s">
        <v>8</v>
      </c>
      <c r="D137" s="1" t="s">
        <v>17</v>
      </c>
      <c r="E137" s="4" t="s">
        <v>13</v>
      </c>
      <c r="F137" s="4" t="str">
        <f t="shared" si="12"/>
        <v>GM_8_NA_B1</v>
      </c>
      <c r="G137" s="4" t="s">
        <v>8</v>
      </c>
      <c r="H137" s="4" t="s">
        <v>32</v>
      </c>
      <c r="I137" s="4">
        <v>5</v>
      </c>
      <c r="J137" s="4" t="str">
        <f t="shared" si="13"/>
        <v>T_5_NA</v>
      </c>
      <c r="K137" s="4">
        <v>33</v>
      </c>
      <c r="L137" s="4">
        <v>20</v>
      </c>
      <c r="M137" s="4">
        <v>33</v>
      </c>
      <c r="N137" s="4">
        <v>20</v>
      </c>
      <c r="O137" s="4"/>
      <c r="P137" s="4">
        <v>0.67</v>
      </c>
      <c r="Q137" s="4" t="str">
        <f t="shared" si="11"/>
        <v>0.67</v>
      </c>
      <c r="R137" s="4" t="str">
        <f>VLOOKUP(J137,eq!$D$2:$K$42,8,)</f>
        <v>((pi*X2*100/32)*((a+b)^2 + (c+d)^2))*0.25</v>
      </c>
      <c r="S137" s="4" t="str">
        <f t="shared" si="14"/>
        <v>((3.141593*0.67*100/32)*((33+20)^2 + (33+20)^2))*0.25</v>
      </c>
      <c r="T137" s="4" cm="1">
        <f t="array" ref="T137">eval_dw/2</f>
        <v>4619.197088898437</v>
      </c>
      <c r="U137" s="1">
        <f>T137*2/VLOOKUP(J137,eq!$D$2:$G$42,4,)</f>
        <v>36953.576711187496</v>
      </c>
      <c r="V137" s="1">
        <f t="shared" si="15"/>
        <v>9238.3941777968739</v>
      </c>
      <c r="W137" s="1" cm="1">
        <f t="array" ref="W137">IF(LEFT(J137,1)="S",eval_S/2,((3.141593*Q137/32)*((K137/100+L137/100)^2+(M137/100+N137/100)^2))*1000000*VLOOKUP(J137,eq!$D$2:$G$42,4,)/2)</f>
        <v>4619.1970888984379</v>
      </c>
      <c r="X137" s="1">
        <f>((3.141593*Q137/32)*((K137+L137)^2+(M137+N137)^2))*1000000*VLOOKUP(J137,eq!$D$2:$G$42,4,)/2</f>
        <v>46191970.888984375</v>
      </c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customHeight="1">
      <c r="A138" s="1" t="s">
        <v>16</v>
      </c>
      <c r="B138" s="4">
        <v>8</v>
      </c>
      <c r="C138" s="1" t="s">
        <v>8</v>
      </c>
      <c r="D138" s="1" t="s">
        <v>17</v>
      </c>
      <c r="E138" s="4" t="s">
        <v>13</v>
      </c>
      <c r="F138" s="4" t="str">
        <f t="shared" si="12"/>
        <v>GM_8_NA_B1</v>
      </c>
      <c r="G138" s="4" t="s">
        <v>8</v>
      </c>
      <c r="H138" s="4" t="s">
        <v>9</v>
      </c>
      <c r="I138" s="4">
        <v>4</v>
      </c>
      <c r="J138" s="4" t="str">
        <f t="shared" si="13"/>
        <v>F_4_NA</v>
      </c>
      <c r="K138" s="4">
        <v>23</v>
      </c>
      <c r="L138" s="4">
        <v>20</v>
      </c>
      <c r="M138" s="4">
        <v>23</v>
      </c>
      <c r="N138" s="4">
        <v>20</v>
      </c>
      <c r="O138" s="4">
        <v>1.19</v>
      </c>
      <c r="P138" s="4"/>
      <c r="Q138" s="4" t="str">
        <f t="shared" si="11"/>
        <v>1.19</v>
      </c>
      <c r="R138" s="4" t="str">
        <f>VLOOKUP(J138,eq!$D$2:$K$42,8,)</f>
        <v>((pi*X2*100/32)*((a+b)^2 + (c+d)^2))*0.15</v>
      </c>
      <c r="S138" s="4" t="str">
        <f t="shared" si="14"/>
        <v>((3.141593*1.19*100/32)*((23+20)^2 + (23+20)^2))*0.15</v>
      </c>
      <c r="T138" s="4" cm="1">
        <f t="array" ref="T138">eval_dw/2</f>
        <v>3240.224293982812</v>
      </c>
      <c r="U138" s="1">
        <f>T138*2/VLOOKUP(J138,eq!$D$2:$G$42,4,)</f>
        <v>43202.990586437496</v>
      </c>
      <c r="V138" s="1">
        <f t="shared" si="15"/>
        <v>6480.448587965624</v>
      </c>
      <c r="W138" s="1" cm="1">
        <f t="array" ref="W138">IF(LEFT(J138,1)="S",eval_S/2,((3.141593*Q138/32)*((K138/100+L138/100)^2+(M138/100+N138/100)^2))*1000000*VLOOKUP(J138,eq!$D$2:$G$42,4,)/2)</f>
        <v>3240.2242939828125</v>
      </c>
      <c r="X138" s="1">
        <f>((3.141593*Q138/32)*((K138+L138)^2+(M138+N138)^2))*1000000*VLOOKUP(J138,eq!$D$2:$G$42,4,)/2</f>
        <v>32402242.939828124</v>
      </c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customHeight="1">
      <c r="A139" s="1" t="s">
        <v>16</v>
      </c>
      <c r="B139" s="4">
        <v>8</v>
      </c>
      <c r="C139" s="1" t="s">
        <v>8</v>
      </c>
      <c r="D139" s="1" t="s">
        <v>17</v>
      </c>
      <c r="E139" s="4" t="s">
        <v>13</v>
      </c>
      <c r="F139" s="4" t="str">
        <f t="shared" si="12"/>
        <v>GM_8_NA_B1</v>
      </c>
      <c r="G139" s="4" t="s">
        <v>8</v>
      </c>
      <c r="H139" s="4" t="s">
        <v>32</v>
      </c>
      <c r="I139" s="4">
        <v>5</v>
      </c>
      <c r="J139" s="4" t="str">
        <f t="shared" si="13"/>
        <v>T_5_NA</v>
      </c>
      <c r="K139" s="4">
        <v>16</v>
      </c>
      <c r="L139" s="4">
        <v>14</v>
      </c>
      <c r="M139" s="4">
        <v>16</v>
      </c>
      <c r="N139" s="4">
        <v>14</v>
      </c>
      <c r="O139" s="4"/>
      <c r="P139" s="4">
        <v>0.66</v>
      </c>
      <c r="Q139" s="4" t="str">
        <f t="shared" si="11"/>
        <v>0.66</v>
      </c>
      <c r="R139" s="4" t="str">
        <f>VLOOKUP(J139,eq!$D$2:$K$42,8,)</f>
        <v>((pi*X2*100/32)*((a+b)^2 + (c+d)^2))*0.25</v>
      </c>
      <c r="S139" s="4" t="str">
        <f t="shared" si="14"/>
        <v>((3.141593*0.66*100/32)*((16+14)^2 + (16+14)^2))*0.25</v>
      </c>
      <c r="T139" s="4" cm="1">
        <f t="array" ref="T139">eval_dw/2</f>
        <v>1457.8955015624999</v>
      </c>
      <c r="U139" s="1">
        <f>T139*2/VLOOKUP(J139,eq!$D$2:$G$42,4,)</f>
        <v>11663.164012499999</v>
      </c>
      <c r="V139" s="1">
        <f t="shared" si="15"/>
        <v>2915.7910031249999</v>
      </c>
      <c r="W139" s="1" cm="1">
        <f t="array" ref="W139">IF(LEFT(J139,1)="S",eval_S/2,((3.141593*Q139/32)*((K139/100+L139/100)^2+(M139/100+N139/100)^2))*1000000*VLOOKUP(J139,eq!$D$2:$G$42,4,)/2)</f>
        <v>1457.8955015625004</v>
      </c>
      <c r="X139" s="1">
        <f>((3.141593*Q139/32)*((K139+L139)^2+(M139+N139)^2))*1000000*VLOOKUP(J139,eq!$D$2:$G$42,4,)/2</f>
        <v>14578955.015624998</v>
      </c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customHeight="1">
      <c r="A140" s="1" t="s">
        <v>16</v>
      </c>
      <c r="B140" s="4">
        <v>8</v>
      </c>
      <c r="C140" s="1" t="s">
        <v>8</v>
      </c>
      <c r="D140" s="1" t="s">
        <v>17</v>
      </c>
      <c r="E140" s="4" t="s">
        <v>13</v>
      </c>
      <c r="F140" s="4" t="str">
        <f t="shared" si="12"/>
        <v>GM_8_NA_B1</v>
      </c>
      <c r="G140" s="4" t="s">
        <v>8</v>
      </c>
      <c r="H140" s="4" t="s">
        <v>9</v>
      </c>
      <c r="I140" s="4">
        <v>4</v>
      </c>
      <c r="J140" s="4" t="str">
        <f t="shared" si="13"/>
        <v>F_4_NA</v>
      </c>
      <c r="K140" s="4">
        <v>17</v>
      </c>
      <c r="L140" s="4">
        <v>19</v>
      </c>
      <c r="M140" s="4">
        <v>17</v>
      </c>
      <c r="N140" s="4">
        <v>19</v>
      </c>
      <c r="O140" s="4">
        <v>0.73</v>
      </c>
      <c r="P140" s="4"/>
      <c r="Q140" s="4" t="str">
        <f t="shared" si="11"/>
        <v>0.73</v>
      </c>
      <c r="R140" s="4" t="str">
        <f>VLOOKUP(J140,eq!$D$2:$K$42,8,)</f>
        <v>((pi*X2*100/32)*((a+b)^2 + (c+d)^2))*0.15</v>
      </c>
      <c r="S140" s="4" t="str">
        <f t="shared" si="14"/>
        <v>((3.141593*0.73*100/32)*((17+19)^2 + (17+19)^2))*0.15</v>
      </c>
      <c r="T140" s="4" cm="1">
        <f t="array" ref="T140">eval_dw/2</f>
        <v>1393.2179556749998</v>
      </c>
      <c r="U140" s="1">
        <f>T140*2/VLOOKUP(J140,eq!$D$2:$G$42,4,)</f>
        <v>18576.239408999998</v>
      </c>
      <c r="V140" s="1">
        <f t="shared" si="15"/>
        <v>2786.4359113499995</v>
      </c>
      <c r="W140" s="1" cm="1">
        <f t="array" ref="W140">IF(LEFT(J140,1)="S",eval_S/2,((3.141593*Q140/32)*((K140/100+L140/100)^2+(M140/100+N140/100)^2))*1000000*VLOOKUP(J140,eq!$D$2:$G$42,4,)/2)</f>
        <v>1393.2179556749998</v>
      </c>
      <c r="X140" s="1">
        <f>((3.141593*Q140/32)*((K140+L140)^2+(M140+N140)^2))*1000000*VLOOKUP(J140,eq!$D$2:$G$42,4,)/2</f>
        <v>13932179.55675</v>
      </c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customHeight="1">
      <c r="A141" s="1" t="s">
        <v>16</v>
      </c>
      <c r="B141" s="4">
        <v>8</v>
      </c>
      <c r="C141" s="1" t="s">
        <v>8</v>
      </c>
      <c r="D141" s="1" t="s">
        <v>17</v>
      </c>
      <c r="E141" s="4" t="s">
        <v>7</v>
      </c>
      <c r="F141" s="4" t="str">
        <f t="shared" si="12"/>
        <v>GM_8_NA_B2</v>
      </c>
      <c r="G141" s="4" t="s">
        <v>8</v>
      </c>
      <c r="H141" s="4" t="s">
        <v>9</v>
      </c>
      <c r="I141" s="4">
        <v>4</v>
      </c>
      <c r="J141" s="4" t="str">
        <f t="shared" si="13"/>
        <v>F_4_NA</v>
      </c>
      <c r="K141" s="4">
        <v>16</v>
      </c>
      <c r="L141" s="4">
        <v>15</v>
      </c>
      <c r="M141" s="4">
        <v>16</v>
      </c>
      <c r="N141" s="4">
        <v>15</v>
      </c>
      <c r="O141" s="4">
        <v>1.43</v>
      </c>
      <c r="P141" s="4"/>
      <c r="Q141" s="4" t="str">
        <f t="shared" si="11"/>
        <v>1.43</v>
      </c>
      <c r="R141" s="4" t="str">
        <f>VLOOKUP(J141,eq!$D$2:$K$42,8,)</f>
        <v>((pi*X2*100/32)*((a+b)^2 + (c+d)^2))*0.15</v>
      </c>
      <c r="S141" s="4" t="str">
        <f t="shared" si="14"/>
        <v>((3.141593*1.43*100/32)*((16+15)^2 + (16+15)^2))*0.15</v>
      </c>
      <c r="T141" s="4" cm="1">
        <f t="array" ref="T141">eval_dw/2</f>
        <v>2023.7209445578121</v>
      </c>
      <c r="U141" s="1">
        <f>T141*2/VLOOKUP(J141,eq!$D$2:$G$42,4,)</f>
        <v>26982.945927437497</v>
      </c>
      <c r="V141" s="1">
        <f t="shared" si="15"/>
        <v>4047.4418891156242</v>
      </c>
      <c r="W141" s="1" cm="1">
        <f t="array" ref="W141">IF(LEFT(J141,1)="S",eval_S/2,((3.141593*Q141/32)*((K141/100+L141/100)^2+(M141/100+N141/100)^2))*1000000*VLOOKUP(J141,eq!$D$2:$G$42,4,)/2)</f>
        <v>2023.7209445578121</v>
      </c>
      <c r="X141" s="1">
        <f>((3.141593*Q141/32)*((K141+L141)^2+(M141+N141)^2))*1000000*VLOOKUP(J141,eq!$D$2:$G$42,4,)/2</f>
        <v>20237209.445578121</v>
      </c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customHeight="1">
      <c r="A142" s="1" t="s">
        <v>16</v>
      </c>
      <c r="B142" s="4">
        <v>8</v>
      </c>
      <c r="C142" s="1" t="s">
        <v>8</v>
      </c>
      <c r="D142" s="1" t="s">
        <v>17</v>
      </c>
      <c r="E142" s="4" t="s">
        <v>7</v>
      </c>
      <c r="F142" s="4" t="str">
        <f t="shared" si="12"/>
        <v>GM_8_NA_B2</v>
      </c>
      <c r="G142" s="4" t="s">
        <v>8</v>
      </c>
      <c r="H142" s="4" t="s">
        <v>9</v>
      </c>
      <c r="I142" s="4">
        <v>3</v>
      </c>
      <c r="J142" s="4" t="str">
        <f t="shared" si="13"/>
        <v>F_3_NA</v>
      </c>
      <c r="K142" s="4">
        <v>20</v>
      </c>
      <c r="L142" s="4">
        <v>17</v>
      </c>
      <c r="M142" s="4">
        <v>13</v>
      </c>
      <c r="N142" s="4">
        <v>15</v>
      </c>
      <c r="O142" s="4">
        <v>0.51</v>
      </c>
      <c r="P142" s="4"/>
      <c r="Q142" s="4" t="str">
        <f t="shared" si="11"/>
        <v>0.51</v>
      </c>
      <c r="R142" s="4" t="str">
        <f>VLOOKUP(J142,eq!$D$2:$K$42,8,)</f>
        <v>((pi*X2*100/32)*((a+b)^2 + (c+d)^2))*0.26</v>
      </c>
      <c r="S142" s="4" t="str">
        <f t="shared" si="14"/>
        <v>((3.141593*0.51*100/32)*((20+17)^2 + (13+15)^2))*0.26</v>
      </c>
      <c r="T142" s="4" cm="1">
        <f t="array" ref="T142">eval_dw/2</f>
        <v>1401.3851157271877</v>
      </c>
      <c r="U142" s="1">
        <f>T142*2/VLOOKUP(J142,eq!$D$2:$G$42,4,)</f>
        <v>10779.885505593751</v>
      </c>
      <c r="V142" s="1">
        <f t="shared" si="15"/>
        <v>2802.7702314543753</v>
      </c>
      <c r="W142" s="1" cm="1">
        <f t="array" ref="W142">IF(LEFT(J142,1)="S",eval_S/2,((3.141593*Q142/32)*((K142/100+L142/100)^2+(M142/100+N142/100)^2))*1000000*VLOOKUP(J142,eq!$D$2:$G$42,4,)/2)</f>
        <v>1401.3851157271877</v>
      </c>
      <c r="X142" s="1">
        <f>((3.141593*Q142/32)*((K142+L142)^2+(M142+N142)^2))*1000000*VLOOKUP(J142,eq!$D$2:$G$42,4,)/2</f>
        <v>14013851.157271877</v>
      </c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customHeight="1">
      <c r="A143" s="1" t="s">
        <v>16</v>
      </c>
      <c r="B143" s="4">
        <v>8</v>
      </c>
      <c r="C143" s="1" t="s">
        <v>8</v>
      </c>
      <c r="D143" s="1" t="s">
        <v>17</v>
      </c>
      <c r="E143" s="4" t="s">
        <v>7</v>
      </c>
      <c r="F143" s="4" t="str">
        <f t="shared" si="12"/>
        <v>GM_8_NA_B2</v>
      </c>
      <c r="G143" s="4" t="s">
        <v>8</v>
      </c>
      <c r="H143" s="4" t="s">
        <v>32</v>
      </c>
      <c r="I143" s="4">
        <v>5</v>
      </c>
      <c r="J143" s="4" t="str">
        <f t="shared" si="13"/>
        <v>T_5_NA</v>
      </c>
      <c r="K143" s="4">
        <v>19</v>
      </c>
      <c r="L143" s="4">
        <v>17</v>
      </c>
      <c r="M143" s="4">
        <v>19</v>
      </c>
      <c r="N143" s="4">
        <v>17</v>
      </c>
      <c r="O143" s="4"/>
      <c r="P143" s="4">
        <v>0.43</v>
      </c>
      <c r="Q143" s="4" t="str">
        <f t="shared" si="11"/>
        <v>0.43</v>
      </c>
      <c r="R143" s="4" t="str">
        <f>VLOOKUP(J143,eq!$D$2:$K$42,8,)</f>
        <v>((pi*X2*100/32)*((a+b)^2 + (c+d)^2))*0.25</v>
      </c>
      <c r="S143" s="4" t="str">
        <f t="shared" si="14"/>
        <v>((3.141593*0.43*100/32)*((19+17)^2 + (19+17)^2))*0.25</v>
      </c>
      <c r="T143" s="4" cm="1">
        <f t="array" ref="T143">eval_dw/2</f>
        <v>1367.771052375</v>
      </c>
      <c r="U143" s="1">
        <f>T143*2/VLOOKUP(J143,eq!$D$2:$G$42,4,)</f>
        <v>10942.168419</v>
      </c>
      <c r="V143" s="1">
        <f t="shared" si="15"/>
        <v>2735.5421047499999</v>
      </c>
      <c r="W143" s="1" cm="1">
        <f t="array" ref="W143">IF(LEFT(J143,1)="S",eval_S/2,((3.141593*Q143/32)*((K143/100+L143/100)^2+(M143/100+N143/100)^2))*1000000*VLOOKUP(J143,eq!$D$2:$G$42,4,)/2)</f>
        <v>1367.7710523749997</v>
      </c>
      <c r="X143" s="1">
        <f>((3.141593*Q143/32)*((K143+L143)^2+(M143+N143)^2))*1000000*VLOOKUP(J143,eq!$D$2:$G$42,4,)/2</f>
        <v>13677710.52375</v>
      </c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customHeight="1">
      <c r="A144" s="1" t="s">
        <v>16</v>
      </c>
      <c r="B144" s="4">
        <v>8</v>
      </c>
      <c r="C144" s="1" t="s">
        <v>8</v>
      </c>
      <c r="D144" s="1" t="s">
        <v>17</v>
      </c>
      <c r="E144" s="4" t="s">
        <v>12</v>
      </c>
      <c r="F144" s="4" t="str">
        <f t="shared" si="12"/>
        <v>GM_8_NA_B3</v>
      </c>
      <c r="G144" s="4" t="s">
        <v>8</v>
      </c>
      <c r="H144" s="4" t="s">
        <v>9</v>
      </c>
      <c r="I144" s="4">
        <v>4</v>
      </c>
      <c r="J144" s="4" t="str">
        <f t="shared" si="13"/>
        <v>F_4_NA</v>
      </c>
      <c r="K144" s="4">
        <v>15</v>
      </c>
      <c r="L144" s="4">
        <v>11</v>
      </c>
      <c r="M144" s="4">
        <v>15</v>
      </c>
      <c r="N144" s="4">
        <v>11</v>
      </c>
      <c r="O144" s="4">
        <v>1.4</v>
      </c>
      <c r="P144" s="4"/>
      <c r="Q144" s="4" t="str">
        <f t="shared" si="11"/>
        <v>1.4</v>
      </c>
      <c r="R144" s="4" t="str">
        <f>VLOOKUP(J144,eq!$D$2:$K$42,8,)</f>
        <v>((pi*X2*100/32)*((a+b)^2 + (c+d)^2))*0.15</v>
      </c>
      <c r="S144" s="4" t="str">
        <f t="shared" si="14"/>
        <v>((3.141593*1.4*100/32)*((15+11)^2 + (15+11)^2))*0.15</v>
      </c>
      <c r="T144" s="4" cm="1">
        <f t="array" ref="T144">eval_dw/2</f>
        <v>1393.6891946249998</v>
      </c>
      <c r="U144" s="1">
        <f>T144*2/VLOOKUP(J144,eq!$D$2:$G$42,4,)</f>
        <v>18582.522594999999</v>
      </c>
      <c r="V144" s="1">
        <f t="shared" si="15"/>
        <v>2787.3783892499996</v>
      </c>
      <c r="W144" s="1" cm="1">
        <f t="array" ref="W144">IF(LEFT(J144,1)="S",eval_S/2,((3.141593*Q144/32)*((K144/100+L144/100)^2+(M144/100+N144/100)^2))*1000000*VLOOKUP(J144,eq!$D$2:$G$42,4,)/2)</f>
        <v>1393.689194625</v>
      </c>
      <c r="X144" s="1">
        <f>((3.141593*Q144/32)*((K144+L144)^2+(M144+N144)^2))*1000000*VLOOKUP(J144,eq!$D$2:$G$42,4,)/2</f>
        <v>13936891.946249999</v>
      </c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customHeight="1">
      <c r="A145" s="1" t="s">
        <v>16</v>
      </c>
      <c r="B145" s="4">
        <v>8</v>
      </c>
      <c r="C145" s="1" t="s">
        <v>8</v>
      </c>
      <c r="D145" s="1" t="s">
        <v>17</v>
      </c>
      <c r="E145" s="4" t="s">
        <v>12</v>
      </c>
      <c r="F145" s="4" t="str">
        <f t="shared" si="12"/>
        <v>GM_8_NA_B3</v>
      </c>
      <c r="G145" s="4" t="s">
        <v>8</v>
      </c>
      <c r="H145" s="4" t="s">
        <v>32</v>
      </c>
      <c r="I145" s="4">
        <v>5</v>
      </c>
      <c r="J145" s="4" t="str">
        <f t="shared" si="13"/>
        <v>T_5_NA</v>
      </c>
      <c r="K145" s="4">
        <v>17</v>
      </c>
      <c r="L145" s="4">
        <v>11</v>
      </c>
      <c r="M145" s="4">
        <v>17</v>
      </c>
      <c r="N145" s="4">
        <v>11</v>
      </c>
      <c r="O145" s="4"/>
      <c r="P145" s="4">
        <v>0.44</v>
      </c>
      <c r="Q145" s="4" t="str">
        <f t="shared" si="11"/>
        <v>0.44</v>
      </c>
      <c r="R145" s="4" t="str">
        <f>VLOOKUP(J145,eq!$D$2:$K$42,8,)</f>
        <v>((pi*X2*100/32)*((a+b)^2 + (c+d)^2))*0.25</v>
      </c>
      <c r="S145" s="4" t="str">
        <f t="shared" si="14"/>
        <v>((3.141593*0.44*100/32)*((17+11)^2 + (17+11)^2))*0.25</v>
      </c>
      <c r="T145" s="4" cm="1">
        <f t="array" ref="T145">eval_dw/2</f>
        <v>846.65931350000005</v>
      </c>
      <c r="U145" s="1">
        <f>T145*2/VLOOKUP(J145,eq!$D$2:$G$42,4,)</f>
        <v>6773.2745080000004</v>
      </c>
      <c r="V145" s="1">
        <f t="shared" si="15"/>
        <v>1693.3186270000001</v>
      </c>
      <c r="W145" s="1" cm="1">
        <f t="array" ref="W145">IF(LEFT(J145,1)="S",eval_S/2,((3.141593*Q145/32)*((K145/100+L145/100)^2+(M145/100+N145/100)^2))*1000000*VLOOKUP(J145,eq!$D$2:$G$42,4,)/2)</f>
        <v>846.65931350000017</v>
      </c>
      <c r="X145" s="1">
        <f>((3.141593*Q145/32)*((K145+L145)^2+(M145+N145)^2))*1000000*VLOOKUP(J145,eq!$D$2:$G$42,4,)/2</f>
        <v>8466593.1349999998</v>
      </c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customHeight="1">
      <c r="A146" s="1" t="s">
        <v>16</v>
      </c>
      <c r="B146" s="4">
        <v>8</v>
      </c>
      <c r="C146" s="1" t="s">
        <v>8</v>
      </c>
      <c r="D146" s="1" t="s">
        <v>17</v>
      </c>
      <c r="E146" s="4" t="s">
        <v>10</v>
      </c>
      <c r="F146" s="4" t="str">
        <f t="shared" si="12"/>
        <v>GM_8_NA_B4</v>
      </c>
      <c r="G146" s="4" t="s">
        <v>8</v>
      </c>
      <c r="H146" s="4" t="s">
        <v>9</v>
      </c>
      <c r="I146" s="4">
        <v>3</v>
      </c>
      <c r="J146" s="4" t="str">
        <f t="shared" si="13"/>
        <v>F_3_NA</v>
      </c>
      <c r="K146" s="4">
        <v>22</v>
      </c>
      <c r="L146" s="4">
        <v>20</v>
      </c>
      <c r="M146" s="4">
        <v>19</v>
      </c>
      <c r="N146" s="4">
        <v>21</v>
      </c>
      <c r="O146" s="4">
        <v>2.27</v>
      </c>
      <c r="P146" s="4"/>
      <c r="Q146" s="4" t="str">
        <f t="shared" si="11"/>
        <v>2.27</v>
      </c>
      <c r="R146" s="4" t="str">
        <f>VLOOKUP(J146,eq!$D$2:$K$42,8,)</f>
        <v>((pi*X2*100/32)*((a+b)^2 + (c+d)^2))*0.26</v>
      </c>
      <c r="S146" s="4" t="str">
        <f t="shared" si="14"/>
        <v>((3.141593*2.27*100/32)*((22+20)^2 + (19+21)^2))*0.26</v>
      </c>
      <c r="T146" s="4" cm="1">
        <f t="array" ref="T146">eval_dw/2</f>
        <v>9745.9715413287504</v>
      </c>
      <c r="U146" s="1">
        <f>T146*2/VLOOKUP(J146,eq!$D$2:$G$42,4,)</f>
        <v>74969.011856375</v>
      </c>
      <c r="V146" s="1">
        <f t="shared" si="15"/>
        <v>19491.943082657501</v>
      </c>
      <c r="W146" s="1" cm="1">
        <f t="array" ref="W146">IF(LEFT(J146,1)="S",eval_S/2,((3.141593*Q146/32)*((K146/100+L146/100)^2+(M146/100+N146/100)^2))*1000000*VLOOKUP(J146,eq!$D$2:$G$42,4,)/2)</f>
        <v>9745.9715413287504</v>
      </c>
      <c r="X146" s="1">
        <f>((3.141593*Q146/32)*((K146+L146)^2+(M146+N146)^2))*1000000*VLOOKUP(J146,eq!$D$2:$G$42,4,)/2</f>
        <v>97459715.413287506</v>
      </c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customHeight="1">
      <c r="A147" s="1" t="s">
        <v>16</v>
      </c>
      <c r="B147" s="4">
        <v>9</v>
      </c>
      <c r="C147" s="1" t="s">
        <v>8</v>
      </c>
      <c r="D147" s="1" t="s">
        <v>17</v>
      </c>
      <c r="E147" s="4" t="s">
        <v>13</v>
      </c>
      <c r="F147" s="4" t="str">
        <f t="shared" si="12"/>
        <v>GM_9_NA_B1</v>
      </c>
      <c r="G147" s="4" t="s">
        <v>8</v>
      </c>
      <c r="H147" s="4" t="s">
        <v>32</v>
      </c>
      <c r="I147" s="1">
        <v>2</v>
      </c>
      <c r="J147" s="4" t="str">
        <f t="shared" si="13"/>
        <v>T_2_NA</v>
      </c>
      <c r="K147" s="1">
        <v>17</v>
      </c>
      <c r="L147" s="1">
        <v>17</v>
      </c>
      <c r="M147" s="1">
        <v>17</v>
      </c>
      <c r="N147" s="1">
        <v>17</v>
      </c>
      <c r="O147" s="4"/>
      <c r="P147" s="4">
        <v>1.07</v>
      </c>
      <c r="Q147" s="4" t="str">
        <f t="shared" si="11"/>
        <v>1.07</v>
      </c>
      <c r="R147" s="4" t="str">
        <f>VLOOKUP(J147,eq!$D$2:$K$42,8,)</f>
        <v>((pi*X2*100/32)*((a+b)^2 + (c+d)^2))*0.38</v>
      </c>
      <c r="S147" s="4" t="str">
        <f t="shared" si="14"/>
        <v>((3.141593*1.07*100/32)*((17+17)^2 + (17+17)^2))*0.38</v>
      </c>
      <c r="T147" s="4" cm="1">
        <f t="array" ref="T147">eval_dw/2</f>
        <v>4614.5053161025007</v>
      </c>
      <c r="U147" s="1">
        <f>T147*2/VLOOKUP(J147,eq!$D$2:$G$42,4,)</f>
        <v>24286.870084750004</v>
      </c>
      <c r="V147" s="1">
        <f t="shared" si="15"/>
        <v>9229.0106322050015</v>
      </c>
      <c r="W147" s="1" cm="1">
        <f t="array" ref="W147">IF(LEFT(J147,1)="S",eval_S/2,((3.141593*Q147/32)*((K147/100+L147/100)^2+(M147/100+N147/100)^2))*1000000*VLOOKUP(J147,eq!$D$2:$G$42,4,)/2)</f>
        <v>4614.5053161025007</v>
      </c>
      <c r="X147" s="1">
        <f>((3.141593*Q147/32)*((K147+L147)^2+(M147+N147)^2))*1000000*VLOOKUP(J147,eq!$D$2:$G$42,4,)/2</f>
        <v>46145053.161025003</v>
      </c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customHeight="1">
      <c r="A148" s="1" t="s">
        <v>16</v>
      </c>
      <c r="B148" s="4">
        <v>9</v>
      </c>
      <c r="C148" s="1" t="s">
        <v>8</v>
      </c>
      <c r="D148" s="1" t="s">
        <v>17</v>
      </c>
      <c r="E148" s="4" t="s">
        <v>7</v>
      </c>
      <c r="F148" s="4" t="str">
        <f t="shared" si="12"/>
        <v>GM_9_NA_B2</v>
      </c>
      <c r="G148" s="4" t="s">
        <v>8</v>
      </c>
      <c r="H148" s="4" t="s">
        <v>8</v>
      </c>
      <c r="I148" s="4" t="s">
        <v>8</v>
      </c>
      <c r="J148" s="4" t="str">
        <f t="shared" si="13"/>
        <v>NA_NA_NA</v>
      </c>
      <c r="K148" s="4"/>
      <c r="L148" s="4"/>
      <c r="M148" s="4"/>
      <c r="N148" s="4"/>
      <c r="O148" s="4"/>
      <c r="P148" s="4"/>
      <c r="Q148" s="4" t="str">
        <f t="shared" si="11"/>
        <v/>
      </c>
      <c r="R148" s="4">
        <f>VLOOKUP(J148,eq!$D$2:$K$42,8,)</f>
        <v>0</v>
      </c>
      <c r="S148" s="4" t="str">
        <f t="shared" si="14"/>
        <v>0</v>
      </c>
      <c r="T148" s="4" cm="1">
        <f t="array" ref="T148">eval_dw/2</f>
        <v>0</v>
      </c>
      <c r="U148" s="1" t="e">
        <f>T148*2/VLOOKUP(J148,eq!$D$2:$G$42,4,)</f>
        <v>#DIV/0!</v>
      </c>
      <c r="V148" s="1">
        <f t="shared" si="15"/>
        <v>0</v>
      </c>
      <c r="W148" s="1" t="e" cm="1">
        <f t="array" ref="W148">IF(LEFT(J148,1)="S",eval_S/2,((3.141593*Q148/32)*((K148/100+L148/100)^2+(M148/100+N148/100)^2))*1000000*VLOOKUP(J148,eq!$D$2:$G$42,4,)/2)</f>
        <v>#VALUE!</v>
      </c>
      <c r="X148" s="1" t="e">
        <f>((3.141593*Q148/32)*((K148+L148)^2+(M148+N148)^2))*1000000*VLOOKUP(J148,eq!$D$2:$G$42,4,)/2</f>
        <v>#VALUE!</v>
      </c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customHeight="1">
      <c r="A149" s="1" t="s">
        <v>16</v>
      </c>
      <c r="B149" s="4">
        <v>9</v>
      </c>
      <c r="C149" s="1" t="s">
        <v>8</v>
      </c>
      <c r="D149" s="1" t="s">
        <v>17</v>
      </c>
      <c r="E149" s="4" t="s">
        <v>12</v>
      </c>
      <c r="F149" s="4" t="str">
        <f t="shared" si="12"/>
        <v>GM_9_NA_B3</v>
      </c>
      <c r="G149" s="4" t="s">
        <v>8</v>
      </c>
      <c r="H149" s="4" t="s">
        <v>32</v>
      </c>
      <c r="I149" s="1">
        <v>2</v>
      </c>
      <c r="J149" s="4" t="str">
        <f t="shared" si="13"/>
        <v>T_2_NA</v>
      </c>
      <c r="K149" s="1">
        <v>23</v>
      </c>
      <c r="L149" s="1">
        <v>15</v>
      </c>
      <c r="M149" s="1">
        <v>23</v>
      </c>
      <c r="N149" s="1">
        <v>15</v>
      </c>
      <c r="O149" s="4"/>
      <c r="P149" s="4">
        <v>1.42</v>
      </c>
      <c r="Q149" s="4" t="str">
        <f t="shared" si="11"/>
        <v>1.42</v>
      </c>
      <c r="R149" s="4" t="str">
        <f>VLOOKUP(J149,eq!$D$2:$K$42,8,)</f>
        <v>((pi*X2*100/32)*((a+b)^2 + (c+d)^2))*0.38</v>
      </c>
      <c r="S149" s="4" t="str">
        <f t="shared" si="14"/>
        <v>((3.141593*1.42*100/32)*((23+15)^2 + (23+15)^2))*0.38</v>
      </c>
      <c r="T149" s="4" cm="1">
        <f t="array" ref="T149">eval_dw/2</f>
        <v>7649.6061673849999</v>
      </c>
      <c r="U149" s="1">
        <f>T149*2/VLOOKUP(J149,eq!$D$2:$G$42,4,)</f>
        <v>40261.085091499997</v>
      </c>
      <c r="V149" s="1">
        <f t="shared" si="15"/>
        <v>15299.21233477</v>
      </c>
      <c r="W149" s="1" cm="1">
        <f t="array" ref="W149">IF(LEFT(J149,1)="S",eval_S/2,((3.141593*Q149/32)*((K149/100+L149/100)^2+(M149/100+N149/100)^2))*1000000*VLOOKUP(J149,eq!$D$2:$G$42,4,)/2)</f>
        <v>7649.6061673849999</v>
      </c>
      <c r="X149" s="1">
        <f>((3.141593*Q149/32)*((K149+L149)^2+(M149+N149)^2))*1000000*VLOOKUP(J149,eq!$D$2:$G$42,4,)/2</f>
        <v>76496061.67385</v>
      </c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customHeight="1">
      <c r="A150" s="1" t="s">
        <v>16</v>
      </c>
      <c r="B150" s="4">
        <v>9</v>
      </c>
      <c r="C150" s="1" t="s">
        <v>8</v>
      </c>
      <c r="D150" s="1" t="s">
        <v>17</v>
      </c>
      <c r="E150" s="4" t="s">
        <v>10</v>
      </c>
      <c r="F150" s="4" t="str">
        <f t="shared" si="12"/>
        <v>GM_9_NA_B4</v>
      </c>
      <c r="G150" s="4" t="s">
        <v>8</v>
      </c>
      <c r="H150" s="4" t="s">
        <v>8</v>
      </c>
      <c r="I150" s="4" t="s">
        <v>8</v>
      </c>
      <c r="J150" s="4" t="str">
        <f t="shared" si="13"/>
        <v>NA_NA_NA</v>
      </c>
      <c r="K150" s="4"/>
      <c r="L150" s="4"/>
      <c r="M150" s="4"/>
      <c r="N150" s="4"/>
      <c r="O150" s="4"/>
      <c r="P150" s="4"/>
      <c r="Q150" s="4" t="str">
        <f t="shared" si="11"/>
        <v/>
      </c>
      <c r="R150" s="4">
        <f>VLOOKUP(J150,eq!$D$2:$K$42,8,)</f>
        <v>0</v>
      </c>
      <c r="S150" s="4" t="str">
        <f t="shared" si="14"/>
        <v>0</v>
      </c>
      <c r="T150" s="4" cm="1">
        <f t="array" ref="T150">eval_dw/2</f>
        <v>0</v>
      </c>
      <c r="U150" s="1" t="e">
        <f>T150*2/VLOOKUP(J150,eq!$D$2:$G$42,4,)</f>
        <v>#DIV/0!</v>
      </c>
      <c r="V150" s="1">
        <f t="shared" si="15"/>
        <v>0</v>
      </c>
      <c r="W150" s="1" t="e" cm="1">
        <f t="array" ref="W150">IF(LEFT(J150,1)="S",eval_S/2,((3.141593*Q150/32)*((K150/100+L150/100)^2+(M150/100+N150/100)^2))*1000000*VLOOKUP(J150,eq!$D$2:$G$42,4,)/2)</f>
        <v>#VALUE!</v>
      </c>
      <c r="X150" s="1" t="e">
        <f>((3.141593*Q150/32)*((K150+L150)^2+(M150+N150)^2))*1000000*VLOOKUP(J150,eq!$D$2:$G$42,4,)/2</f>
        <v>#VALUE!</v>
      </c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customHeight="1">
      <c r="A151" s="1" t="s">
        <v>6</v>
      </c>
      <c r="B151" s="4">
        <v>19</v>
      </c>
      <c r="C151" s="2" t="s">
        <v>23</v>
      </c>
      <c r="D151" s="3" t="s">
        <v>17</v>
      </c>
      <c r="E151" s="4" t="s">
        <v>13</v>
      </c>
      <c r="F151" s="4" t="str">
        <f t="shared" si="12"/>
        <v>TN_19_CTRL_B1</v>
      </c>
      <c r="G151" s="4" t="s">
        <v>8</v>
      </c>
      <c r="H151" s="4" t="s">
        <v>9</v>
      </c>
      <c r="I151" s="4">
        <v>3</v>
      </c>
      <c r="J151" s="4" t="str">
        <f t="shared" si="13"/>
        <v>F_3_NA</v>
      </c>
      <c r="K151" s="4">
        <v>19</v>
      </c>
      <c r="L151" s="4">
        <v>22</v>
      </c>
      <c r="M151" s="4">
        <v>19</v>
      </c>
      <c r="N151" s="4">
        <v>22</v>
      </c>
      <c r="O151" s="4">
        <v>3.14</v>
      </c>
      <c r="P151" s="4"/>
      <c r="Q151" s="4" t="str">
        <f t="shared" si="11"/>
        <v>3.14</v>
      </c>
      <c r="R151" s="4" t="str">
        <f>VLOOKUP(J151,eq!$D$2:$K$42,8,)</f>
        <v>((pi*X2*100/32)*((a+b)^2 + (c+d)^2))*0.26</v>
      </c>
      <c r="S151" s="4" t="str">
        <f t="shared" si="14"/>
        <v>((3.141593*3.14*100/32)*((19+22)^2 + (19+22)^2))*0.26</v>
      </c>
      <c r="T151" s="4" cm="1">
        <f t="array" ref="T151">eval_dw/2</f>
        <v>13473.19674644125</v>
      </c>
      <c r="U151" s="1">
        <f>T151*2/VLOOKUP(J151,eq!$D$2:$G$42,4,)</f>
        <v>103639.974972625</v>
      </c>
      <c r="V151" s="1">
        <f t="shared" si="15"/>
        <v>26946.3934928825</v>
      </c>
      <c r="W151" s="1" cm="1">
        <f t="array" ref="W151">IF(LEFT(J151,1)="S",eval_S/2,((3.141593*Q151/32)*((K151/100+L151/100)^2+(M151/100+N151/100)^2))*1000000*VLOOKUP(J151,eq!$D$2:$G$42,4,)/2)</f>
        <v>13473.196746441252</v>
      </c>
      <c r="X151" s="1">
        <f>((3.141593*Q151/32)*((K151+L151)^2+(M151+N151)^2))*1000000*VLOOKUP(J151,eq!$D$2:$G$42,4,)/2</f>
        <v>134731967.46441248</v>
      </c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customHeight="1">
      <c r="A152" s="1" t="s">
        <v>6</v>
      </c>
      <c r="B152" s="4">
        <v>19</v>
      </c>
      <c r="C152" s="2" t="s">
        <v>23</v>
      </c>
      <c r="D152" s="3" t="s">
        <v>17</v>
      </c>
      <c r="E152" s="4" t="s">
        <v>13</v>
      </c>
      <c r="F152" s="4" t="str">
        <f t="shared" si="12"/>
        <v>TN_19_CTRL_B1</v>
      </c>
      <c r="G152" s="4" t="s">
        <v>8</v>
      </c>
      <c r="H152" s="4" t="s">
        <v>9</v>
      </c>
      <c r="I152" s="4">
        <v>4</v>
      </c>
      <c r="J152" s="4" t="str">
        <f t="shared" si="13"/>
        <v>F_4_NA</v>
      </c>
      <c r="K152" s="4">
        <v>19</v>
      </c>
      <c r="L152" s="4">
        <v>16</v>
      </c>
      <c r="M152" s="4">
        <v>21</v>
      </c>
      <c r="N152" s="4">
        <v>17</v>
      </c>
      <c r="O152" s="4">
        <v>3.36</v>
      </c>
      <c r="P152" s="4"/>
      <c r="Q152" s="4" t="str">
        <f t="shared" si="11"/>
        <v>3.36</v>
      </c>
      <c r="R152" s="4" t="str">
        <f>VLOOKUP(J152,eq!$D$2:$K$42,8,)</f>
        <v>((pi*X2*100/32)*((a+b)^2 + (c+d)^2))*0.15</v>
      </c>
      <c r="S152" s="4" t="str">
        <f t="shared" si="14"/>
        <v>((3.141593*3.36*100/32)*((19+16)^2 + (21+17)^2))*0.15</v>
      </c>
      <c r="T152" s="4" cm="1">
        <f t="array" ref="T152">eval_dw/2</f>
        <v>6603.1179771374991</v>
      </c>
      <c r="U152" s="1">
        <f>T152*2/VLOOKUP(J152,eq!$D$2:$G$42,4,)</f>
        <v>88041.573028499988</v>
      </c>
      <c r="V152" s="1">
        <f t="shared" si="15"/>
        <v>13206.235954274998</v>
      </c>
      <c r="W152" s="1" cm="1">
        <f t="array" ref="W152">IF(LEFT(J152,1)="S",eval_S/2,((3.141593*Q152/32)*((K152/100+L152/100)^2+(M152/100+N152/100)^2))*1000000*VLOOKUP(J152,eq!$D$2:$G$42,4,)/2)</f>
        <v>6603.1179771374982</v>
      </c>
      <c r="X152" s="1">
        <f>((3.141593*Q152/32)*((K152+L152)^2+(M152+N152)^2))*1000000*VLOOKUP(J152,eq!$D$2:$G$42,4,)/2</f>
        <v>66031179.771374986</v>
      </c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customHeight="1">
      <c r="A153" s="1" t="s">
        <v>6</v>
      </c>
      <c r="B153" s="4">
        <v>19</v>
      </c>
      <c r="C153" s="2" t="s">
        <v>23</v>
      </c>
      <c r="D153" s="3" t="s">
        <v>17</v>
      </c>
      <c r="E153" s="4" t="s">
        <v>7</v>
      </c>
      <c r="F153" s="4" t="str">
        <f t="shared" si="12"/>
        <v>TN_19_CTRL_B2</v>
      </c>
      <c r="G153" s="4" t="s">
        <v>8</v>
      </c>
      <c r="H153" s="4" t="s">
        <v>9</v>
      </c>
      <c r="I153" s="4">
        <v>4</v>
      </c>
      <c r="J153" s="4" t="str">
        <f t="shared" si="13"/>
        <v>F_4_NA</v>
      </c>
      <c r="K153" s="4">
        <v>14</v>
      </c>
      <c r="L153" s="4">
        <v>13</v>
      </c>
      <c r="M153" s="4">
        <v>14</v>
      </c>
      <c r="N153" s="4">
        <v>13</v>
      </c>
      <c r="O153" s="4">
        <v>4.17</v>
      </c>
      <c r="P153" s="4"/>
      <c r="Q153" s="4" t="str">
        <f t="shared" si="11"/>
        <v>4.17</v>
      </c>
      <c r="R153" s="4" t="str">
        <f>VLOOKUP(J153,eq!$D$2:$K$42,8,)</f>
        <v>((pi*X2*100/32)*((a+b)^2 + (c+d)^2))*0.15</v>
      </c>
      <c r="S153" s="4" t="str">
        <f t="shared" si="14"/>
        <v>((3.141593*4.17*100/32)*((14+13)^2 + (14+13)^2))*0.15</v>
      </c>
      <c r="T153" s="4" cm="1">
        <f t="array" ref="T153">eval_dw/2</f>
        <v>4476.666941479687</v>
      </c>
      <c r="U153" s="1">
        <f>T153*2/VLOOKUP(J153,eq!$D$2:$G$42,4,)</f>
        <v>59688.892553062498</v>
      </c>
      <c r="V153" s="1">
        <f t="shared" si="15"/>
        <v>8953.333882959374</v>
      </c>
      <c r="W153" s="1" cm="1">
        <f t="array" ref="W153">IF(LEFT(J153,1)="S",eval_S/2,((3.141593*Q153/32)*((K153/100+L153/100)^2+(M153/100+N153/100)^2))*1000000*VLOOKUP(J153,eq!$D$2:$G$42,4,)/2)</f>
        <v>4476.666941479687</v>
      </c>
      <c r="X153" s="1">
        <f>((3.141593*Q153/32)*((K153+L153)^2+(M153+N153)^2))*1000000*VLOOKUP(J153,eq!$D$2:$G$42,4,)/2</f>
        <v>44766669.414796874</v>
      </c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customHeight="1">
      <c r="A154" s="1" t="s">
        <v>6</v>
      </c>
      <c r="B154" s="4">
        <v>19</v>
      </c>
      <c r="C154" s="2" t="s">
        <v>23</v>
      </c>
      <c r="D154" s="3" t="s">
        <v>17</v>
      </c>
      <c r="E154" s="4" t="s">
        <v>7</v>
      </c>
      <c r="F154" s="4" t="str">
        <f t="shared" si="12"/>
        <v>TN_19_CTRL_B2</v>
      </c>
      <c r="G154" s="4" t="s">
        <v>8</v>
      </c>
      <c r="H154" s="4" t="s">
        <v>9</v>
      </c>
      <c r="I154" s="4">
        <v>3</v>
      </c>
      <c r="J154" s="4" t="str">
        <f t="shared" si="13"/>
        <v>F_3_NA</v>
      </c>
      <c r="K154" s="4">
        <v>19</v>
      </c>
      <c r="L154" s="4">
        <v>22</v>
      </c>
      <c r="M154" s="4">
        <v>19</v>
      </c>
      <c r="N154" s="4">
        <v>22</v>
      </c>
      <c r="O154" s="4">
        <v>0.66</v>
      </c>
      <c r="P154" s="4"/>
      <c r="Q154" s="4" t="str">
        <f t="shared" si="11"/>
        <v>0.66</v>
      </c>
      <c r="R154" s="4" t="str">
        <f>VLOOKUP(J154,eq!$D$2:$K$42,8,)</f>
        <v>((pi*X2*100/32)*((a+b)^2 + (c+d)^2))*0.26</v>
      </c>
      <c r="S154" s="4" t="str">
        <f t="shared" si="14"/>
        <v>((3.141593*0.66*100/32)*((19+22)^2 + (19+22)^2))*0.26</v>
      </c>
      <c r="T154" s="4" cm="1">
        <f t="array" ref="T154">eval_dw/2</f>
        <v>2831.94581294625</v>
      </c>
      <c r="U154" s="1">
        <f>T154*2/VLOOKUP(J154,eq!$D$2:$G$42,4,)</f>
        <v>21784.198561124998</v>
      </c>
      <c r="V154" s="1">
        <f t="shared" si="15"/>
        <v>5663.8916258925001</v>
      </c>
      <c r="W154" s="1" cm="1">
        <f t="array" ref="W154">IF(LEFT(J154,1)="S",eval_S/2,((3.141593*Q154/32)*((K154/100+L154/100)^2+(M154/100+N154/100)^2))*1000000*VLOOKUP(J154,eq!$D$2:$G$42,4,)/2)</f>
        <v>2831.9458129462505</v>
      </c>
      <c r="X154" s="1">
        <f>((3.141593*Q154/32)*((K154+L154)^2+(M154+N154)^2))*1000000*VLOOKUP(J154,eq!$D$2:$G$42,4,)/2</f>
        <v>28319458.129462499</v>
      </c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customHeight="1">
      <c r="A155" s="1" t="s">
        <v>6</v>
      </c>
      <c r="B155" s="4">
        <v>19</v>
      </c>
      <c r="C155" s="2" t="s">
        <v>23</v>
      </c>
      <c r="D155" s="3" t="s">
        <v>17</v>
      </c>
      <c r="E155" s="4" t="s">
        <v>12</v>
      </c>
      <c r="F155" s="4" t="str">
        <f t="shared" si="12"/>
        <v>TN_19_CTRL_B3</v>
      </c>
      <c r="G155" s="4" t="s">
        <v>8</v>
      </c>
      <c r="H155" s="4" t="s">
        <v>9</v>
      </c>
      <c r="I155" s="4">
        <v>4</v>
      </c>
      <c r="J155" s="4" t="str">
        <f t="shared" si="13"/>
        <v>F_4_NA</v>
      </c>
      <c r="K155" s="4">
        <v>21</v>
      </c>
      <c r="L155" s="4">
        <v>22</v>
      </c>
      <c r="M155" s="4">
        <v>21</v>
      </c>
      <c r="N155" s="4">
        <v>22</v>
      </c>
      <c r="O155" s="4">
        <v>1.46</v>
      </c>
      <c r="P155" s="4"/>
      <c r="Q155" s="4" t="str">
        <f t="shared" si="11"/>
        <v>1.46</v>
      </c>
      <c r="R155" s="4" t="str">
        <f>VLOOKUP(J155,eq!$D$2:$K$42,8,)</f>
        <v>((pi*X2*100/32)*((a+b)^2 + (c+d)^2))*0.15</v>
      </c>
      <c r="S155" s="4" t="str">
        <f t="shared" si="14"/>
        <v>((3.141593*1.46*100/32)*((21+22)^2 + (21+22)^2))*0.15</v>
      </c>
      <c r="T155" s="4" cm="1">
        <f t="array" ref="T155">eval_dw/2</f>
        <v>3975.4012346343743</v>
      </c>
      <c r="U155" s="1">
        <f>T155*2/VLOOKUP(J155,eq!$D$2:$G$42,4,)</f>
        <v>53005.349795124996</v>
      </c>
      <c r="V155" s="1">
        <f t="shared" si="15"/>
        <v>7950.8024692687486</v>
      </c>
      <c r="W155" s="1" cm="1">
        <f t="array" ref="W155">IF(LEFT(J155,1)="S",eval_S/2,((3.141593*Q155/32)*((K155/100+L155/100)^2+(M155/100+N155/100)^2))*1000000*VLOOKUP(J155,eq!$D$2:$G$42,4,)/2)</f>
        <v>3975.4012346343743</v>
      </c>
      <c r="X155" s="1">
        <f>((3.141593*Q155/32)*((K155+L155)^2+(M155+N155)^2))*1000000*VLOOKUP(J155,eq!$D$2:$G$42,4,)/2</f>
        <v>39754012.346343756</v>
      </c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customHeight="1">
      <c r="A156" s="1" t="s">
        <v>6</v>
      </c>
      <c r="B156" s="4">
        <v>19</v>
      </c>
      <c r="C156" s="2" t="s">
        <v>23</v>
      </c>
      <c r="D156" s="3" t="s">
        <v>17</v>
      </c>
      <c r="E156" s="4" t="s">
        <v>12</v>
      </c>
      <c r="F156" s="4" t="str">
        <f t="shared" si="12"/>
        <v>TN_19_CTRL_B3</v>
      </c>
      <c r="G156" s="4" t="s">
        <v>8</v>
      </c>
      <c r="H156" s="4" t="s">
        <v>9</v>
      </c>
      <c r="I156" s="4">
        <v>4</v>
      </c>
      <c r="J156" s="4" t="str">
        <f t="shared" si="13"/>
        <v>F_4_NA</v>
      </c>
      <c r="K156" s="4">
        <v>12</v>
      </c>
      <c r="L156" s="4">
        <v>24</v>
      </c>
      <c r="M156" s="4">
        <v>12</v>
      </c>
      <c r="N156" s="4">
        <v>24</v>
      </c>
      <c r="O156" s="4">
        <v>1.95</v>
      </c>
      <c r="P156" s="4"/>
      <c r="Q156" s="4" t="str">
        <f t="shared" si="11"/>
        <v>1.95</v>
      </c>
      <c r="R156" s="4" t="str">
        <f>VLOOKUP(J156,eq!$D$2:$K$42,8,)</f>
        <v>((pi*X2*100/32)*((a+b)^2 + (c+d)^2))*0.15</v>
      </c>
      <c r="S156" s="4" t="str">
        <f t="shared" si="14"/>
        <v>((3.141593*1.95*100/32)*((12+24)^2 + (12+24)^2))*0.15</v>
      </c>
      <c r="T156" s="4" cm="1">
        <f t="array" ref="T156">eval_dw/2</f>
        <v>3721.6096076249996</v>
      </c>
      <c r="U156" s="1">
        <f>T156*2/VLOOKUP(J156,eq!$D$2:$G$42,4,)</f>
        <v>49621.461434999997</v>
      </c>
      <c r="V156" s="1">
        <f t="shared" si="15"/>
        <v>7443.2192152499993</v>
      </c>
      <c r="W156" s="1" cm="1">
        <f t="array" ref="W156">IF(LEFT(J156,1)="S",eval_S/2,((3.141593*Q156/32)*((K156/100+L156/100)^2+(M156/100+N156/100)^2))*1000000*VLOOKUP(J156,eq!$D$2:$G$42,4,)/2)</f>
        <v>3721.6096076249992</v>
      </c>
      <c r="X156" s="1">
        <f>((3.141593*Q156/32)*((K156+L156)^2+(M156+N156)^2))*1000000*VLOOKUP(J156,eq!$D$2:$G$42,4,)/2</f>
        <v>37216096.076249994</v>
      </c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customHeight="1">
      <c r="A157" s="1" t="s">
        <v>6</v>
      </c>
      <c r="B157" s="4">
        <v>19</v>
      </c>
      <c r="C157" s="2" t="s">
        <v>23</v>
      </c>
      <c r="D157" s="3" t="s">
        <v>17</v>
      </c>
      <c r="E157" s="4" t="s">
        <v>12</v>
      </c>
      <c r="F157" s="4" t="str">
        <f t="shared" si="12"/>
        <v>TN_19_CTRL_B3</v>
      </c>
      <c r="G157" s="4" t="s">
        <v>8</v>
      </c>
      <c r="H157" s="4" t="s">
        <v>9</v>
      </c>
      <c r="I157" s="4">
        <v>5</v>
      </c>
      <c r="J157" s="4" t="str">
        <f t="shared" si="13"/>
        <v>F_5_NA</v>
      </c>
      <c r="K157" s="4">
        <v>11</v>
      </c>
      <c r="L157" s="4">
        <v>11</v>
      </c>
      <c r="M157" s="4">
        <v>11</v>
      </c>
      <c r="N157" s="4">
        <v>11</v>
      </c>
      <c r="O157" s="4">
        <v>3.05</v>
      </c>
      <c r="P157" s="4"/>
      <c r="Q157" s="4" t="str">
        <f t="shared" si="11"/>
        <v>3.05</v>
      </c>
      <c r="R157" s="4" t="str">
        <f>VLOOKUP(J157,eq!$D$2:$K$42,8,)</f>
        <v>((pi*X2*100/32)*((a+b)^2 + (c+d)^2))*0.11</v>
      </c>
      <c r="S157" s="4" t="str">
        <f t="shared" si="14"/>
        <v>((3.141593*3.05*100/32)*((11+11)^2 + (11+11)^2))*0.11</v>
      </c>
      <c r="T157" s="4" cm="1">
        <f t="array" ref="T157">eval_dw/2</f>
        <v>1594.1817328937498</v>
      </c>
      <c r="U157" s="1">
        <f>T157*2/VLOOKUP(J157,eq!$D$2:$G$42,4,)</f>
        <v>28985.122416249997</v>
      </c>
      <c r="V157" s="1">
        <f t="shared" si="15"/>
        <v>3188.3634657874995</v>
      </c>
      <c r="W157" s="1" cm="1">
        <f t="array" ref="W157">IF(LEFT(J157,1)="S",eval_S/2,((3.141593*Q157/32)*((K157/100+L157/100)^2+(M157/100+N157/100)^2))*1000000*VLOOKUP(J157,eq!$D$2:$G$42,4,)/2)</f>
        <v>1594.1817328937498</v>
      </c>
      <c r="X157" s="1">
        <f>((3.141593*Q157/32)*((K157+L157)^2+(M157+N157)^2))*1000000*VLOOKUP(J157,eq!$D$2:$G$42,4,)/2</f>
        <v>15941817.328937499</v>
      </c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customHeight="1">
      <c r="A158" s="1" t="s">
        <v>6</v>
      </c>
      <c r="B158" s="4">
        <v>19</v>
      </c>
      <c r="C158" s="2" t="s">
        <v>23</v>
      </c>
      <c r="D158" s="3" t="s">
        <v>17</v>
      </c>
      <c r="E158" s="4" t="s">
        <v>12</v>
      </c>
      <c r="F158" s="4" t="str">
        <f t="shared" si="12"/>
        <v>TN_19_CTRL_B3</v>
      </c>
      <c r="G158" s="4" t="s">
        <v>8</v>
      </c>
      <c r="H158" s="4" t="s">
        <v>9</v>
      </c>
      <c r="I158" s="4">
        <v>4</v>
      </c>
      <c r="J158" s="4" t="str">
        <f t="shared" si="13"/>
        <v>F_4_NA</v>
      </c>
      <c r="K158" s="4">
        <v>13</v>
      </c>
      <c r="L158" s="4">
        <v>11</v>
      </c>
      <c r="M158" s="4">
        <v>13</v>
      </c>
      <c r="N158" s="4">
        <v>11</v>
      </c>
      <c r="O158" s="4">
        <v>1.66</v>
      </c>
      <c r="P158" s="4"/>
      <c r="Q158" s="4" t="str">
        <f t="shared" si="11"/>
        <v>1.66</v>
      </c>
      <c r="R158" s="4" t="str">
        <f>VLOOKUP(J158,eq!$D$2:$K$42,8,)</f>
        <v>((pi*X2*100/32)*((a+b)^2 + (c+d)^2))*0.15</v>
      </c>
      <c r="S158" s="4" t="str">
        <f t="shared" si="14"/>
        <v>((3.141593*1.66*100/32)*((13+11)^2 + (13+11)^2))*0.15</v>
      </c>
      <c r="T158" s="4" cm="1">
        <f t="array" ref="T158">eval_dw/2</f>
        <v>1408.0619825999997</v>
      </c>
      <c r="U158" s="1">
        <f>T158*2/VLOOKUP(J158,eq!$D$2:$G$42,4,)</f>
        <v>18774.159767999998</v>
      </c>
      <c r="V158" s="1">
        <f t="shared" si="15"/>
        <v>2816.1239651999995</v>
      </c>
      <c r="W158" s="1" cm="1">
        <f t="array" ref="W158">IF(LEFT(J158,1)="S",eval_S/2,((3.141593*Q158/32)*((K158/100+L158/100)^2+(M158/100+N158/100)^2))*1000000*VLOOKUP(J158,eq!$D$2:$G$42,4,)/2)</f>
        <v>1408.0619825999995</v>
      </c>
      <c r="X158" s="1">
        <f>((3.141593*Q158/32)*((K158+L158)^2+(M158+N158)^2))*1000000*VLOOKUP(J158,eq!$D$2:$G$42,4,)/2</f>
        <v>14080619.825999998</v>
      </c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customHeight="1">
      <c r="A159" s="1" t="s">
        <v>6</v>
      </c>
      <c r="B159" s="4">
        <v>19</v>
      </c>
      <c r="C159" s="2" t="s">
        <v>23</v>
      </c>
      <c r="D159" s="3" t="s">
        <v>17</v>
      </c>
      <c r="E159" s="4" t="s">
        <v>10</v>
      </c>
      <c r="F159" s="4" t="str">
        <f t="shared" si="12"/>
        <v>TN_19_CTRL_B4</v>
      </c>
      <c r="G159" s="4" t="s">
        <v>31</v>
      </c>
      <c r="H159" s="4" t="s">
        <v>9</v>
      </c>
      <c r="I159" s="4">
        <v>1</v>
      </c>
      <c r="J159" s="4" t="str">
        <f t="shared" si="13"/>
        <v>F_1_H</v>
      </c>
      <c r="K159" s="4">
        <v>34</v>
      </c>
      <c r="L159" s="4">
        <v>38</v>
      </c>
      <c r="M159" s="4">
        <v>34</v>
      </c>
      <c r="N159" s="4">
        <v>38</v>
      </c>
      <c r="O159" s="4">
        <v>3.04</v>
      </c>
      <c r="P159" s="4"/>
      <c r="Q159" s="4" t="str">
        <f t="shared" si="11"/>
        <v>3.04</v>
      </c>
      <c r="R159" s="4" t="str">
        <f>VLOOKUP(J159,eq!$D$2:$K$42,8,)</f>
        <v>((pi*X2*100/32)*((a+b)^2 + (c+d)^2))*0.43</v>
      </c>
      <c r="S159" s="4" t="str">
        <f t="shared" si="14"/>
        <v>((3.141593*3.04*100/32)*((34+38)^2 + (34+38)^2))*0.43</v>
      </c>
      <c r="T159" s="4" cm="1">
        <f t="array" ref="T159">eval_dw/2</f>
        <v>66528.383987519992</v>
      </c>
      <c r="U159" s="1">
        <f>T159*2/VLOOKUP(J159,eq!$D$2:$G$42,4,)</f>
        <v>309434.34412799997</v>
      </c>
      <c r="V159" s="1">
        <f t="shared" si="15"/>
        <v>133056.76797503998</v>
      </c>
      <c r="W159" s="1" cm="1">
        <f t="array" ref="W159">IF(LEFT(J159,1)="S",eval_S/2,((3.141593*Q159/32)*((K159/100+L159/100)^2+(M159/100+N159/100)^2))*1000000*VLOOKUP(J159,eq!$D$2:$G$42,4,)/2)</f>
        <v>66528.383987519992</v>
      </c>
      <c r="X159" s="1">
        <f>((3.141593*Q159/32)*((K159+L159)^2+(M159+N159)^2))*1000000*VLOOKUP(J159,eq!$D$2:$G$42,4,)/2</f>
        <v>665283839.87519991</v>
      </c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customHeight="1">
      <c r="A160" s="1" t="s">
        <v>6</v>
      </c>
      <c r="B160" s="4">
        <v>19</v>
      </c>
      <c r="C160" s="2" t="s">
        <v>22</v>
      </c>
      <c r="D160" s="3" t="s">
        <v>17</v>
      </c>
      <c r="E160" s="4" t="s">
        <v>13</v>
      </c>
      <c r="F160" s="4" t="str">
        <f t="shared" si="12"/>
        <v>TN_19_EX_B1</v>
      </c>
      <c r="G160" s="4" t="s">
        <v>11</v>
      </c>
      <c r="H160" s="4" t="s">
        <v>9</v>
      </c>
      <c r="I160" s="4">
        <v>1</v>
      </c>
      <c r="J160" s="4" t="str">
        <f t="shared" si="13"/>
        <v>F_1_S</v>
      </c>
      <c r="K160" s="4">
        <v>17</v>
      </c>
      <c r="L160" s="4">
        <v>15</v>
      </c>
      <c r="M160" s="4">
        <v>17</v>
      </c>
      <c r="N160" s="4">
        <v>15</v>
      </c>
      <c r="O160" s="4">
        <v>1.22</v>
      </c>
      <c r="P160" s="4"/>
      <c r="Q160" s="4" t="str">
        <f t="shared" si="11"/>
        <v>1.22</v>
      </c>
      <c r="R160" s="4" t="str">
        <f>VLOOKUP(J160,eq!$D$2:$K$42,8,)</f>
        <v>((pi*X2*100/32)*((a+b)^2 + (c+d)^2))*0.38</v>
      </c>
      <c r="S160" s="4" t="str">
        <f t="shared" si="14"/>
        <v>((3.141593*1.22*100/32)*((17+15)^2 + (17+15)^2))*0.38</v>
      </c>
      <c r="T160" s="4" cm="1">
        <f t="array" ref="T160">eval_dw/2</f>
        <v>4660.6160473599994</v>
      </c>
      <c r="U160" s="1">
        <f>T160*2/VLOOKUP(J160,eq!$D$2:$G$42,4,)</f>
        <v>24529.558143999995</v>
      </c>
      <c r="V160" s="1">
        <f t="shared" si="15"/>
        <v>9321.2320947199987</v>
      </c>
      <c r="W160" s="1" cm="1">
        <f t="array" ref="W160">IF(LEFT(J160,1)="S",eval_S/2,((3.141593*Q160/32)*((K160/100+L160/100)^2+(M160/100+N160/100)^2))*1000000*VLOOKUP(J160,eq!$D$2:$G$42,4,)/2)</f>
        <v>4660.6160473599994</v>
      </c>
      <c r="X160" s="1">
        <f>((3.141593*Q160/32)*((K160+L160)^2+(M160+N160)^2))*1000000*VLOOKUP(J160,eq!$D$2:$G$42,4,)/2</f>
        <v>46606160.473599993</v>
      </c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customHeight="1">
      <c r="A161" s="1" t="s">
        <v>6</v>
      </c>
      <c r="B161" s="4">
        <v>19</v>
      </c>
      <c r="C161" s="2" t="s">
        <v>22</v>
      </c>
      <c r="D161" s="3" t="s">
        <v>17</v>
      </c>
      <c r="E161" s="4" t="s">
        <v>13</v>
      </c>
      <c r="F161" s="4" t="str">
        <f t="shared" si="12"/>
        <v>TN_19_EX_B1</v>
      </c>
      <c r="G161" s="4" t="s">
        <v>8</v>
      </c>
      <c r="H161" s="4" t="s">
        <v>9</v>
      </c>
      <c r="I161" s="4">
        <v>3</v>
      </c>
      <c r="J161" s="4" t="str">
        <f t="shared" si="13"/>
        <v>F_3_NA</v>
      </c>
      <c r="K161" s="4">
        <v>11</v>
      </c>
      <c r="L161" s="4">
        <v>13</v>
      </c>
      <c r="M161" s="4">
        <v>11</v>
      </c>
      <c r="N161" s="4">
        <v>13</v>
      </c>
      <c r="O161" s="4">
        <v>2.5299999999999998</v>
      </c>
      <c r="P161" s="4"/>
      <c r="Q161" s="4" t="str">
        <f t="shared" si="11"/>
        <v>2.53</v>
      </c>
      <c r="R161" s="4" t="str">
        <f>VLOOKUP(J161,eq!$D$2:$K$42,8,)</f>
        <v>((pi*X2*100/32)*((a+b)^2 + (c+d)^2))*0.26</v>
      </c>
      <c r="S161" s="4" t="str">
        <f t="shared" si="14"/>
        <v>((3.141593*2.53*100/32)*((11+13)^2 + (11+13)^2))*0.26</v>
      </c>
      <c r="T161" s="4" cm="1">
        <f t="array" ref="T161">eval_dw/2</f>
        <v>3719.7717757199998</v>
      </c>
      <c r="U161" s="1">
        <f>T161*2/VLOOKUP(J161,eq!$D$2:$G$42,4,)</f>
        <v>28613.629043999998</v>
      </c>
      <c r="V161" s="1">
        <f t="shared" si="15"/>
        <v>7439.5435514399996</v>
      </c>
      <c r="W161" s="1" cm="1">
        <f t="array" ref="W161">IF(LEFT(J161,1)="S",eval_S/2,((3.141593*Q161/32)*((K161/100+L161/100)^2+(M161/100+N161/100)^2))*1000000*VLOOKUP(J161,eq!$D$2:$G$42,4,)/2)</f>
        <v>3719.7717757199998</v>
      </c>
      <c r="X161" s="1">
        <f>((3.141593*Q161/32)*((K161+L161)^2+(M161+N161)^2))*1000000*VLOOKUP(J161,eq!$D$2:$G$42,4,)/2</f>
        <v>37197717.757200003</v>
      </c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customHeight="1">
      <c r="A162" s="1" t="s">
        <v>6</v>
      </c>
      <c r="B162" s="4">
        <v>19</v>
      </c>
      <c r="C162" s="2" t="s">
        <v>22</v>
      </c>
      <c r="D162" s="3" t="s">
        <v>17</v>
      </c>
      <c r="E162" s="4" t="s">
        <v>13</v>
      </c>
      <c r="F162" s="4" t="str">
        <f t="shared" si="12"/>
        <v>TN_19_EX_B1</v>
      </c>
      <c r="G162" s="4" t="s">
        <v>8</v>
      </c>
      <c r="H162" s="4" t="s">
        <v>9</v>
      </c>
      <c r="I162" s="4">
        <v>3</v>
      </c>
      <c r="J162" s="4" t="str">
        <f t="shared" si="13"/>
        <v>F_3_NA</v>
      </c>
      <c r="K162" s="4">
        <v>11</v>
      </c>
      <c r="L162" s="4">
        <v>10</v>
      </c>
      <c r="M162" s="4">
        <v>11</v>
      </c>
      <c r="N162" s="4">
        <v>10</v>
      </c>
      <c r="O162" s="4">
        <v>1.1599999999999999</v>
      </c>
      <c r="P162" s="4"/>
      <c r="Q162" s="4" t="str">
        <f t="shared" si="11"/>
        <v>1.16</v>
      </c>
      <c r="R162" s="4" t="str">
        <f>VLOOKUP(J162,eq!$D$2:$K$42,8,)</f>
        <v>((pi*X2*100/32)*((a+b)^2 + (c+d)^2))*0.26</v>
      </c>
      <c r="S162" s="4" t="str">
        <f t="shared" si="14"/>
        <v>((3.141593*1.16*100/32)*((11+10)^2 + (11+10)^2))*0.26</v>
      </c>
      <c r="T162" s="4" cm="1">
        <f t="array" ref="T162">eval_dw/2</f>
        <v>1305.7795685025001</v>
      </c>
      <c r="U162" s="1">
        <f>T162*2/VLOOKUP(J162,eq!$D$2:$G$42,4,)</f>
        <v>10044.45821925</v>
      </c>
      <c r="V162" s="1">
        <f t="shared" si="15"/>
        <v>2611.5591370050001</v>
      </c>
      <c r="W162" s="1" cm="1">
        <f t="array" ref="W162">IF(LEFT(J162,1)="S",eval_S/2,((3.141593*Q162/32)*((K162/100+L162/100)^2+(M162/100+N162/100)^2))*1000000*VLOOKUP(J162,eq!$D$2:$G$42,4,)/2)</f>
        <v>1305.7795685025001</v>
      </c>
      <c r="X162" s="1">
        <f>((3.141593*Q162/32)*((K162+L162)^2+(M162+N162)^2))*1000000*VLOOKUP(J162,eq!$D$2:$G$42,4,)/2</f>
        <v>13057795.685024999</v>
      </c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customHeight="1">
      <c r="A163" s="1" t="s">
        <v>6</v>
      </c>
      <c r="B163" s="4">
        <v>19</v>
      </c>
      <c r="C163" s="2" t="s">
        <v>22</v>
      </c>
      <c r="D163" s="3" t="s">
        <v>17</v>
      </c>
      <c r="E163" s="4" t="s">
        <v>13</v>
      </c>
      <c r="F163" s="4" t="str">
        <f t="shared" si="12"/>
        <v>TN_19_EX_B1</v>
      </c>
      <c r="G163" s="4" t="s">
        <v>8</v>
      </c>
      <c r="H163" s="4" t="s">
        <v>9</v>
      </c>
      <c r="I163" s="4">
        <v>4</v>
      </c>
      <c r="J163" s="4" t="str">
        <f t="shared" si="13"/>
        <v>F_4_NA</v>
      </c>
      <c r="K163" s="4">
        <v>14</v>
      </c>
      <c r="L163" s="4">
        <v>8</v>
      </c>
      <c r="M163" s="4">
        <v>14</v>
      </c>
      <c r="N163" s="4">
        <v>8</v>
      </c>
      <c r="O163" s="4">
        <v>1.81</v>
      </c>
      <c r="P163" s="4"/>
      <c r="Q163" s="4" t="str">
        <f t="shared" si="11"/>
        <v>1.81</v>
      </c>
      <c r="R163" s="4" t="str">
        <f>VLOOKUP(J163,eq!$D$2:$K$42,8,)</f>
        <v>((pi*X2*100/32)*((a+b)^2 + (c+d)^2))*0.15</v>
      </c>
      <c r="S163" s="4" t="str">
        <f t="shared" si="14"/>
        <v>((3.141593*1.81*100/32)*((14+8)^2 + (14+8)^2))*0.15</v>
      </c>
      <c r="T163" s="4" cm="1">
        <f t="array" ref="T163">eval_dw/2</f>
        <v>1290.07553049375</v>
      </c>
      <c r="U163" s="1">
        <f>T163*2/VLOOKUP(J163,eq!$D$2:$G$42,4,)</f>
        <v>17201.007073249999</v>
      </c>
      <c r="V163" s="1">
        <f t="shared" si="15"/>
        <v>2580.1510609874999</v>
      </c>
      <c r="W163" s="1" cm="1">
        <f t="array" ref="W163">IF(LEFT(J163,1)="S",eval_S/2,((3.141593*Q163/32)*((K163/100+L163/100)^2+(M163/100+N163/100)^2))*1000000*VLOOKUP(J163,eq!$D$2:$G$42,4,)/2)</f>
        <v>1290.0755304937502</v>
      </c>
      <c r="X163" s="1">
        <f>((3.141593*Q163/32)*((K163+L163)^2+(M163+N163)^2))*1000000*VLOOKUP(J163,eq!$D$2:$G$42,4,)/2</f>
        <v>12900755.304937499</v>
      </c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customHeight="1">
      <c r="A164" s="1" t="s">
        <v>6</v>
      </c>
      <c r="B164" s="4">
        <v>19</v>
      </c>
      <c r="C164" s="2" t="s">
        <v>22</v>
      </c>
      <c r="D164" s="3" t="s">
        <v>17</v>
      </c>
      <c r="E164" s="4" t="s">
        <v>7</v>
      </c>
      <c r="F164" s="4" t="str">
        <f t="shared" si="12"/>
        <v>TN_19_EX_B2</v>
      </c>
      <c r="G164" s="4" t="s">
        <v>8</v>
      </c>
      <c r="H164" s="4" t="s">
        <v>9</v>
      </c>
      <c r="I164" s="4">
        <v>3</v>
      </c>
      <c r="J164" s="4" t="str">
        <f t="shared" si="13"/>
        <v>F_3_NA</v>
      </c>
      <c r="K164" s="4">
        <v>12</v>
      </c>
      <c r="L164" s="4">
        <v>12</v>
      </c>
      <c r="M164" s="4">
        <v>12</v>
      </c>
      <c r="N164" s="4">
        <v>12</v>
      </c>
      <c r="O164" s="4">
        <v>2.63</v>
      </c>
      <c r="P164" s="4"/>
      <c r="Q164" s="4" t="str">
        <f t="shared" si="11"/>
        <v>2.63</v>
      </c>
      <c r="R164" s="4" t="str">
        <f>VLOOKUP(J164,eq!$D$2:$K$42,8,)</f>
        <v>((pi*X2*100/32)*((a+b)^2 + (c+d)^2))*0.26</v>
      </c>
      <c r="S164" s="4" t="str">
        <f t="shared" si="14"/>
        <v>((3.141593*2.63*100/32)*((12+12)^2 + (12+12)^2))*0.26</v>
      </c>
      <c r="T164" s="4" cm="1">
        <f t="array" ref="T164">eval_dw/2</f>
        <v>3866.7983281200004</v>
      </c>
      <c r="U164" s="1">
        <f>T164*2/VLOOKUP(J164,eq!$D$2:$G$42,4,)</f>
        <v>29744.602524000002</v>
      </c>
      <c r="V164" s="1">
        <f t="shared" si="15"/>
        <v>7733.5966562400008</v>
      </c>
      <c r="W164" s="1" cm="1">
        <f t="array" ref="W164">IF(LEFT(J164,1)="S",eval_S/2,((3.141593*Q164/32)*((K164/100+L164/100)^2+(M164/100+N164/100)^2))*1000000*VLOOKUP(J164,eq!$D$2:$G$42,4,)/2)</f>
        <v>3866.79832812</v>
      </c>
      <c r="X164" s="1">
        <f>((3.141593*Q164/32)*((K164+L164)^2+(M164+N164)^2))*1000000*VLOOKUP(J164,eq!$D$2:$G$42,4,)/2</f>
        <v>38667983.281199999</v>
      </c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customHeight="1">
      <c r="A165" s="1" t="s">
        <v>6</v>
      </c>
      <c r="B165" s="4">
        <v>19</v>
      </c>
      <c r="C165" s="2" t="s">
        <v>22</v>
      </c>
      <c r="D165" s="3" t="s">
        <v>17</v>
      </c>
      <c r="E165" s="4" t="s">
        <v>7</v>
      </c>
      <c r="F165" s="4" t="str">
        <f t="shared" si="12"/>
        <v>TN_19_EX_B2</v>
      </c>
      <c r="G165" s="4" t="s">
        <v>8</v>
      </c>
      <c r="H165" s="4" t="s">
        <v>9</v>
      </c>
      <c r="I165" s="4">
        <v>5</v>
      </c>
      <c r="J165" s="4" t="str">
        <f t="shared" si="13"/>
        <v>F_5_NA</v>
      </c>
      <c r="K165" s="4">
        <v>16</v>
      </c>
      <c r="L165" s="4">
        <v>12</v>
      </c>
      <c r="M165" s="4">
        <v>16</v>
      </c>
      <c r="N165" s="4">
        <v>12</v>
      </c>
      <c r="O165" s="4">
        <v>2.52</v>
      </c>
      <c r="P165" s="4"/>
      <c r="Q165" s="4" t="str">
        <f t="shared" si="11"/>
        <v>2.52</v>
      </c>
      <c r="R165" s="4" t="str">
        <f>VLOOKUP(J165,eq!$D$2:$K$42,8,)</f>
        <v>((pi*X2*100/32)*((a+b)^2 + (c+d)^2))*0.11</v>
      </c>
      <c r="S165" s="4" t="str">
        <f t="shared" si="14"/>
        <v>((3.141593*2.52*100/32)*((16+12)^2 + (16+12)^2))*0.11</v>
      </c>
      <c r="T165" s="4" cm="1">
        <f t="array" ref="T165">eval_dw/2</f>
        <v>2133.5814700199999</v>
      </c>
      <c r="U165" s="1">
        <f>T165*2/VLOOKUP(J165,eq!$D$2:$G$42,4,)</f>
        <v>38792.390363999999</v>
      </c>
      <c r="V165" s="1">
        <f t="shared" si="15"/>
        <v>4267.1629400399997</v>
      </c>
      <c r="W165" s="1" cm="1">
        <f t="array" ref="W165">IF(LEFT(J165,1)="S",eval_S/2,((3.141593*Q165/32)*((K165/100+L165/100)^2+(M165/100+N165/100)^2))*1000000*VLOOKUP(J165,eq!$D$2:$G$42,4,)/2)</f>
        <v>2133.5814700200003</v>
      </c>
      <c r="X165" s="1">
        <f>((3.141593*Q165/32)*((K165+L165)^2+(M165+N165)^2))*1000000*VLOOKUP(J165,eq!$D$2:$G$42,4,)/2</f>
        <v>21335814.700199999</v>
      </c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customHeight="1">
      <c r="A166" s="1" t="s">
        <v>6</v>
      </c>
      <c r="B166" s="4">
        <v>19</v>
      </c>
      <c r="C166" s="2" t="s">
        <v>22</v>
      </c>
      <c r="D166" s="3" t="s">
        <v>17</v>
      </c>
      <c r="E166" s="4" t="s">
        <v>7</v>
      </c>
      <c r="F166" s="4" t="str">
        <f t="shared" si="12"/>
        <v>TN_19_EX_B2</v>
      </c>
      <c r="G166" s="4" t="s">
        <v>8</v>
      </c>
      <c r="H166" s="4" t="s">
        <v>9</v>
      </c>
      <c r="I166" s="4">
        <v>4</v>
      </c>
      <c r="J166" s="4" t="str">
        <f t="shared" si="13"/>
        <v>F_4_NA</v>
      </c>
      <c r="K166" s="4">
        <v>12</v>
      </c>
      <c r="L166" s="4">
        <v>13</v>
      </c>
      <c r="M166" s="4">
        <v>12</v>
      </c>
      <c r="N166" s="4">
        <v>13</v>
      </c>
      <c r="O166" s="4">
        <v>1.66</v>
      </c>
      <c r="P166" s="4"/>
      <c r="Q166" s="4" t="str">
        <f t="shared" si="11"/>
        <v>1.66</v>
      </c>
      <c r="R166" s="4" t="str">
        <f>VLOOKUP(J166,eq!$D$2:$K$42,8,)</f>
        <v>((pi*X2*100/32)*((a+b)^2 + (c+d)^2))*0.15</v>
      </c>
      <c r="S166" s="4" t="str">
        <f t="shared" si="14"/>
        <v>((3.141593*1.66*100/32)*((12+13)^2 + (12+13)^2))*0.15</v>
      </c>
      <c r="T166" s="4" cm="1">
        <f t="array" ref="T166">eval_dw/2</f>
        <v>1527.8450332031246</v>
      </c>
      <c r="U166" s="1">
        <f>T166*2/VLOOKUP(J166,eq!$D$2:$G$42,4,)</f>
        <v>20371.267109374996</v>
      </c>
      <c r="V166" s="1">
        <f t="shared" si="15"/>
        <v>3055.6900664062491</v>
      </c>
      <c r="W166" s="1" cm="1">
        <f t="array" ref="W166">IF(LEFT(J166,1)="S",eval_S/2,((3.141593*Q166/32)*((K166/100+L166/100)^2+(M166/100+N166/100)^2))*1000000*VLOOKUP(J166,eq!$D$2:$G$42,4,)/2)</f>
        <v>1527.8450332031246</v>
      </c>
      <c r="X166" s="1">
        <f>((3.141593*Q166/32)*((K166+L166)^2+(M166+N166)^2))*1000000*VLOOKUP(J166,eq!$D$2:$G$42,4,)/2</f>
        <v>15278450.332031246</v>
      </c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customHeight="1">
      <c r="A167" s="1" t="s">
        <v>6</v>
      </c>
      <c r="B167" s="4">
        <v>19</v>
      </c>
      <c r="C167" s="2" t="s">
        <v>22</v>
      </c>
      <c r="D167" s="3" t="s">
        <v>17</v>
      </c>
      <c r="E167" s="4" t="s">
        <v>12</v>
      </c>
      <c r="F167" s="4" t="str">
        <f t="shared" si="12"/>
        <v>TN_19_EX_B3</v>
      </c>
      <c r="G167" s="4" t="s">
        <v>31</v>
      </c>
      <c r="H167" s="4" t="s">
        <v>9</v>
      </c>
      <c r="I167" s="4">
        <v>1</v>
      </c>
      <c r="J167" s="4" t="str">
        <f t="shared" si="13"/>
        <v>F_1_H</v>
      </c>
      <c r="K167" s="4">
        <v>27</v>
      </c>
      <c r="L167" s="4">
        <v>33</v>
      </c>
      <c r="M167" s="4">
        <v>27</v>
      </c>
      <c r="N167" s="4">
        <v>33</v>
      </c>
      <c r="O167" s="4">
        <v>0.91</v>
      </c>
      <c r="P167" s="4"/>
      <c r="Q167" s="4" t="str">
        <f t="shared" si="11"/>
        <v>0.91</v>
      </c>
      <c r="R167" s="4" t="str">
        <f>VLOOKUP(J167,eq!$D$2:$K$42,8,)</f>
        <v>((pi*X2*100/32)*((a+b)^2 + (c+d)^2))*0.43</v>
      </c>
      <c r="S167" s="4" t="str">
        <f t="shared" si="14"/>
        <v>((3.141593*0.91*100/32)*((27+33)^2 + (27+33)^2))*0.43</v>
      </c>
      <c r="T167" s="4" cm="1">
        <f t="array" ref="T167">eval_dw/2</f>
        <v>13829.685085124998</v>
      </c>
      <c r="U167" s="1">
        <f>T167*2/VLOOKUP(J167,eq!$D$2:$G$42,4,)</f>
        <v>64324.11667499999</v>
      </c>
      <c r="V167" s="1">
        <f t="shared" si="15"/>
        <v>27659.370170249997</v>
      </c>
      <c r="W167" s="1" cm="1">
        <f t="array" ref="W167">IF(LEFT(J167,1)="S",eval_S/2,((3.141593*Q167/32)*((K167/100+L167/100)^2+(M167/100+N167/100)^2))*1000000*VLOOKUP(J167,eq!$D$2:$G$42,4,)/2)</f>
        <v>13829.685085125002</v>
      </c>
      <c r="X167" s="1">
        <f>((3.141593*Q167/32)*((K167+L167)^2+(M167+N167)^2))*1000000*VLOOKUP(J167,eq!$D$2:$G$42,4,)/2</f>
        <v>138296850.85124996</v>
      </c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customHeight="1">
      <c r="A168" s="1" t="s">
        <v>6</v>
      </c>
      <c r="B168" s="4">
        <v>19</v>
      </c>
      <c r="C168" s="2" t="s">
        <v>22</v>
      </c>
      <c r="D168" s="3" t="s">
        <v>17</v>
      </c>
      <c r="E168" s="4" t="s">
        <v>12</v>
      </c>
      <c r="F168" s="4" t="str">
        <f t="shared" si="12"/>
        <v>TN_19_EX_B3</v>
      </c>
      <c r="G168" s="4" t="s">
        <v>8</v>
      </c>
      <c r="H168" s="4" t="s">
        <v>9</v>
      </c>
      <c r="I168" s="4">
        <v>3</v>
      </c>
      <c r="J168" s="4" t="str">
        <f t="shared" si="13"/>
        <v>F_3_NA</v>
      </c>
      <c r="K168" s="4">
        <v>12</v>
      </c>
      <c r="L168" s="4">
        <v>18</v>
      </c>
      <c r="M168" s="4">
        <v>12</v>
      </c>
      <c r="N168" s="4">
        <v>18</v>
      </c>
      <c r="O168" s="4">
        <v>2.5499999999999998</v>
      </c>
      <c r="P168" s="4"/>
      <c r="Q168" s="4" t="str">
        <f t="shared" si="11"/>
        <v>2.55</v>
      </c>
      <c r="R168" s="4" t="str">
        <f>VLOOKUP(J168,eq!$D$2:$K$42,8,)</f>
        <v>((pi*X2*100/32)*((a+b)^2 + (c+d)^2))*0.26</v>
      </c>
      <c r="S168" s="4" t="str">
        <f t="shared" si="14"/>
        <v>((3.141593*2.55*100/32)*((12+18)^2 + (12+18)^2))*0.26</v>
      </c>
      <c r="T168" s="4" cm="1">
        <f t="array" ref="T168">eval_dw/2</f>
        <v>5858.0891971874998</v>
      </c>
      <c r="U168" s="1">
        <f>T168*2/VLOOKUP(J168,eq!$D$2:$G$42,4,)</f>
        <v>45062.224593749997</v>
      </c>
      <c r="V168" s="1">
        <f t="shared" si="15"/>
        <v>11716.178394375</v>
      </c>
      <c r="W168" s="1" cm="1">
        <f t="array" ref="W168">IF(LEFT(J168,1)="S",eval_S/2,((3.141593*Q168/32)*((K168/100+L168/100)^2+(M168/100+N168/100)^2))*1000000*VLOOKUP(J168,eq!$D$2:$G$42,4,)/2)</f>
        <v>5858.0891971874989</v>
      </c>
      <c r="X168" s="1">
        <f>((3.141593*Q168/32)*((K168+L168)^2+(M168+N168)^2))*1000000*VLOOKUP(J168,eq!$D$2:$G$42,4,)/2</f>
        <v>58580891.971874997</v>
      </c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customHeight="1">
      <c r="A169" s="1" t="s">
        <v>6</v>
      </c>
      <c r="B169" s="4">
        <v>19</v>
      </c>
      <c r="C169" s="2" t="s">
        <v>22</v>
      </c>
      <c r="D169" s="3" t="s">
        <v>17</v>
      </c>
      <c r="E169" s="4" t="s">
        <v>12</v>
      </c>
      <c r="F169" s="4" t="str">
        <f t="shared" si="12"/>
        <v>TN_19_EX_B3</v>
      </c>
      <c r="G169" s="4" t="s">
        <v>8</v>
      </c>
      <c r="H169" s="4" t="s">
        <v>9</v>
      </c>
      <c r="I169" s="4">
        <v>2</v>
      </c>
      <c r="J169" s="4" t="str">
        <f t="shared" si="13"/>
        <v>F_2_NA</v>
      </c>
      <c r="K169" s="4">
        <v>21</v>
      </c>
      <c r="L169" s="4">
        <v>24</v>
      </c>
      <c r="M169" s="4">
        <v>21</v>
      </c>
      <c r="N169" s="4">
        <v>24</v>
      </c>
      <c r="O169" s="4">
        <v>0.61</v>
      </c>
      <c r="P169" s="4"/>
      <c r="Q169" s="4" t="str">
        <f t="shared" si="11"/>
        <v>0.61</v>
      </c>
      <c r="R169" s="4" t="str">
        <f>VLOOKUP(J169,eq!$D$2:$K$42,8,)</f>
        <v>((pi*X2*100/32)*((a+b)^2 + (c+d)^2))*0.33</v>
      </c>
      <c r="S169" s="4" t="str">
        <f t="shared" si="14"/>
        <v>((3.141593*0.61*100/32)*((21+24)^2 + (21+24)^2))*0.33</v>
      </c>
      <c r="T169" s="4" cm="1">
        <f t="array" ref="T169">eval_dw/2</f>
        <v>4001.9231517890626</v>
      </c>
      <c r="U169" s="1">
        <f>T169*2/VLOOKUP(J169,eq!$D$2:$G$42,4,)</f>
        <v>24254.0797078125</v>
      </c>
      <c r="V169" s="1">
        <f t="shared" si="15"/>
        <v>8003.8463035781251</v>
      </c>
      <c r="W169" s="1" cm="1">
        <f t="array" ref="W169">IF(LEFT(J169,1)="S",eval_S/2,((3.141593*Q169/32)*((K169/100+L169/100)^2+(M169/100+N169/100)^2))*1000000*VLOOKUP(J169,eq!$D$2:$G$42,4,)/2)</f>
        <v>4001.9231517890616</v>
      </c>
      <c r="X169" s="1">
        <f>((3.141593*Q169/32)*((K169+L169)^2+(M169+N169)^2))*1000000*VLOOKUP(J169,eq!$D$2:$G$42,4,)/2</f>
        <v>40019231.517890625</v>
      </c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customHeight="1">
      <c r="A170" s="1" t="s">
        <v>6</v>
      </c>
      <c r="B170" s="4">
        <v>19</v>
      </c>
      <c r="C170" s="2" t="s">
        <v>22</v>
      </c>
      <c r="D170" s="3" t="s">
        <v>17</v>
      </c>
      <c r="E170" s="4" t="s">
        <v>12</v>
      </c>
      <c r="F170" s="4" t="str">
        <f t="shared" si="12"/>
        <v>TN_19_EX_B3</v>
      </c>
      <c r="G170" s="4" t="s">
        <v>8</v>
      </c>
      <c r="H170" s="4" t="s">
        <v>9</v>
      </c>
      <c r="I170" s="4">
        <v>4</v>
      </c>
      <c r="J170" s="4" t="str">
        <f t="shared" si="13"/>
        <v>F_4_NA</v>
      </c>
      <c r="K170" s="4">
        <v>19</v>
      </c>
      <c r="L170" s="4">
        <v>15</v>
      </c>
      <c r="M170" s="4">
        <v>19</v>
      </c>
      <c r="N170" s="4">
        <v>15</v>
      </c>
      <c r="O170" s="4">
        <v>2.06</v>
      </c>
      <c r="P170" s="4"/>
      <c r="Q170" s="4" t="str">
        <f t="shared" si="11"/>
        <v>2.06</v>
      </c>
      <c r="R170" s="4" t="str">
        <f>VLOOKUP(J170,eq!$D$2:$K$42,8,)</f>
        <v>((pi*X2*100/32)*((a+b)^2 + (c+d)^2))*0.15</v>
      </c>
      <c r="S170" s="4" t="str">
        <f t="shared" si="14"/>
        <v>((3.141593*2.06*100/32)*((19+15)^2 + (19+15)^2))*0.15</v>
      </c>
      <c r="T170" s="4" cm="1">
        <f t="array" ref="T170">eval_dw/2</f>
        <v>3506.8424561625002</v>
      </c>
      <c r="U170" s="1">
        <f>T170*2/VLOOKUP(J170,eq!$D$2:$G$42,4,)</f>
        <v>46757.899415500004</v>
      </c>
      <c r="V170" s="1">
        <f t="shared" si="15"/>
        <v>7013.6849123250004</v>
      </c>
      <c r="W170" s="1" cm="1">
        <f t="array" ref="W170">IF(LEFT(J170,1)="S",eval_S/2,((3.141593*Q170/32)*((K170/100+L170/100)^2+(M170/100+N170/100)^2))*1000000*VLOOKUP(J170,eq!$D$2:$G$42,4,)/2)</f>
        <v>3506.8424561624997</v>
      </c>
      <c r="X170" s="1">
        <f>((3.141593*Q170/32)*((K170+L170)^2+(M170+N170)^2))*1000000*VLOOKUP(J170,eq!$D$2:$G$42,4,)/2</f>
        <v>35068424.561625004</v>
      </c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customHeight="1">
      <c r="A171" s="1" t="s">
        <v>6</v>
      </c>
      <c r="B171" s="4">
        <v>19</v>
      </c>
      <c r="C171" s="2" t="s">
        <v>22</v>
      </c>
      <c r="D171" s="3" t="s">
        <v>17</v>
      </c>
      <c r="E171" s="4" t="s">
        <v>12</v>
      </c>
      <c r="F171" s="4" t="str">
        <f t="shared" si="12"/>
        <v>TN_19_EX_B3</v>
      </c>
      <c r="G171" s="4" t="s">
        <v>8</v>
      </c>
      <c r="H171" s="4" t="s">
        <v>32</v>
      </c>
      <c r="I171" s="4">
        <v>5</v>
      </c>
      <c r="J171" s="4" t="str">
        <f t="shared" si="13"/>
        <v>T_5_NA</v>
      </c>
      <c r="K171" s="4">
        <v>19</v>
      </c>
      <c r="L171" s="4">
        <v>16</v>
      </c>
      <c r="M171" s="4">
        <v>19</v>
      </c>
      <c r="N171" s="4">
        <v>16</v>
      </c>
      <c r="O171" s="4"/>
      <c r="P171" s="4">
        <v>1.1000000000000001</v>
      </c>
      <c r="Q171" s="4" t="str">
        <f t="shared" si="11"/>
        <v>1.1</v>
      </c>
      <c r="R171" s="4" t="str">
        <f>VLOOKUP(J171,eq!$D$2:$K$42,8,)</f>
        <v>((pi*X2*100/32)*((a+b)^2 + (c+d)^2))*0.25</v>
      </c>
      <c r="S171" s="4" t="str">
        <f t="shared" si="14"/>
        <v>((3.141593*1.1*100/32)*((19+16)^2 + (19+16)^2))*0.25</v>
      </c>
      <c r="T171" s="4" cm="1">
        <f t="array" ref="T171">eval_dw/2</f>
        <v>3307.2629433593752</v>
      </c>
      <c r="U171" s="1">
        <f>T171*2/VLOOKUP(J171,eq!$D$2:$G$42,4,)</f>
        <v>26458.103546875001</v>
      </c>
      <c r="V171" s="1">
        <f t="shared" si="15"/>
        <v>6614.5258867187504</v>
      </c>
      <c r="W171" s="1" cm="1">
        <f t="array" ref="W171">IF(LEFT(J171,1)="S",eval_S/2,((3.141593*Q171/32)*((K171/100+L171/100)^2+(M171/100+N171/100)^2))*1000000*VLOOKUP(J171,eq!$D$2:$G$42,4,)/2)</f>
        <v>3307.2629433593752</v>
      </c>
      <c r="X171" s="1">
        <f>((3.141593*Q171/32)*((K171+L171)^2+(M171+N171)^2))*1000000*VLOOKUP(J171,eq!$D$2:$G$42,4,)/2</f>
        <v>33072629.433593754</v>
      </c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customHeight="1">
      <c r="A172" s="1" t="s">
        <v>6</v>
      </c>
      <c r="B172" s="4">
        <v>19</v>
      </c>
      <c r="C172" s="2" t="s">
        <v>22</v>
      </c>
      <c r="D172" s="3" t="s">
        <v>17</v>
      </c>
      <c r="E172" s="4" t="s">
        <v>12</v>
      </c>
      <c r="F172" s="4" t="str">
        <f t="shared" si="12"/>
        <v>TN_19_EX_B3</v>
      </c>
      <c r="G172" s="4" t="s">
        <v>8</v>
      </c>
      <c r="H172" s="4" t="s">
        <v>9</v>
      </c>
      <c r="I172" s="4">
        <v>5</v>
      </c>
      <c r="J172" s="4" t="str">
        <f t="shared" si="13"/>
        <v>F_5_NA</v>
      </c>
      <c r="K172" s="4">
        <v>15</v>
      </c>
      <c r="L172" s="4">
        <v>12</v>
      </c>
      <c r="M172" s="4">
        <v>15</v>
      </c>
      <c r="N172" s="4">
        <v>12</v>
      </c>
      <c r="O172" s="4">
        <v>1.81</v>
      </c>
      <c r="P172" s="4"/>
      <c r="Q172" s="4" t="str">
        <f t="shared" si="11"/>
        <v>1.81</v>
      </c>
      <c r="R172" s="4" t="str">
        <f>VLOOKUP(J172,eq!$D$2:$K$42,8,)</f>
        <v>((pi*X2*100/32)*((a+b)^2 + (c+d)^2))*0.11</v>
      </c>
      <c r="S172" s="4" t="str">
        <f t="shared" si="14"/>
        <v>((3.141593*1.81*100/32)*((15+12)^2 + (15+12)^2))*0.11</v>
      </c>
      <c r="T172" s="4" cm="1">
        <f t="array" ref="T172">eval_dw/2</f>
        <v>1424.9470632271875</v>
      </c>
      <c r="U172" s="1">
        <f>T172*2/VLOOKUP(J172,eq!$D$2:$G$42,4,)</f>
        <v>25908.1284223125</v>
      </c>
      <c r="V172" s="1">
        <f t="shared" si="15"/>
        <v>2849.8941264543751</v>
      </c>
      <c r="W172" s="1" cm="1">
        <f t="array" ref="W172">IF(LEFT(J172,1)="S",eval_S/2,((3.141593*Q172/32)*((K172/100+L172/100)^2+(M172/100+N172/100)^2))*1000000*VLOOKUP(J172,eq!$D$2:$G$42,4,)/2)</f>
        <v>1424.9470632271878</v>
      </c>
      <c r="X172" s="1">
        <f>((3.141593*Q172/32)*((K172+L172)^2+(M172+N172)^2))*1000000*VLOOKUP(J172,eq!$D$2:$G$42,4,)/2</f>
        <v>14249470.632271877</v>
      </c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customHeight="1">
      <c r="A173" s="1" t="s">
        <v>6</v>
      </c>
      <c r="B173" s="4">
        <v>19</v>
      </c>
      <c r="C173" s="2" t="s">
        <v>22</v>
      </c>
      <c r="D173" s="3" t="s">
        <v>17</v>
      </c>
      <c r="E173" s="4" t="s">
        <v>10</v>
      </c>
      <c r="F173" s="4" t="str">
        <f t="shared" si="12"/>
        <v>TN_19_EX_B4</v>
      </c>
      <c r="G173" s="4" t="s">
        <v>8</v>
      </c>
      <c r="H173" s="4" t="s">
        <v>8</v>
      </c>
      <c r="I173" s="4" t="s">
        <v>8</v>
      </c>
      <c r="J173" s="4" t="str">
        <f t="shared" si="13"/>
        <v>NA_NA_NA</v>
      </c>
      <c r="K173" s="4"/>
      <c r="L173" s="4"/>
      <c r="M173" s="4"/>
      <c r="N173" s="4"/>
      <c r="O173" s="4"/>
      <c r="P173" s="4"/>
      <c r="Q173" s="4" t="str">
        <f t="shared" si="11"/>
        <v/>
      </c>
      <c r="R173" s="4">
        <f>VLOOKUP(J173,eq!$D$2:$K$42,8,)</f>
        <v>0</v>
      </c>
      <c r="S173" s="4" t="str">
        <f t="shared" si="14"/>
        <v>0</v>
      </c>
      <c r="T173" s="4" cm="1">
        <f t="array" ref="T173">eval_dw/2</f>
        <v>0</v>
      </c>
      <c r="U173" s="1" t="e">
        <f>T173*2/VLOOKUP(J173,eq!$D$2:$G$42,4,)</f>
        <v>#DIV/0!</v>
      </c>
      <c r="V173" s="1">
        <f t="shared" si="15"/>
        <v>0</v>
      </c>
      <c r="W173" s="1" t="e" cm="1">
        <f t="array" ref="W173">IF(LEFT(J173,1)="S",eval_S/2,((3.141593*Q173/32)*((K173/100+L173/100)^2+(M173/100+N173/100)^2))*1000000*VLOOKUP(J173,eq!$D$2:$G$42,4,)/2)</f>
        <v>#VALUE!</v>
      </c>
      <c r="X173" s="1" t="e">
        <f>((3.141593*Q173/32)*((K173+L173)^2+(M173+N173)^2))*1000000*VLOOKUP(J173,eq!$D$2:$G$42,4,)/2</f>
        <v>#VALUE!</v>
      </c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customHeight="1">
      <c r="A174" s="1" t="s">
        <v>6</v>
      </c>
      <c r="B174" s="4">
        <v>20</v>
      </c>
      <c r="C174" s="1" t="s">
        <v>23</v>
      </c>
      <c r="D174" s="3" t="s">
        <v>17</v>
      </c>
      <c r="E174" s="4" t="s">
        <v>13</v>
      </c>
      <c r="F174" s="4" t="str">
        <f t="shared" si="12"/>
        <v>TN_20_CTRL_B1</v>
      </c>
      <c r="G174" s="4" t="s">
        <v>8</v>
      </c>
      <c r="H174" s="4" t="s">
        <v>32</v>
      </c>
      <c r="I174" s="4">
        <v>3</v>
      </c>
      <c r="J174" s="4" t="str">
        <f t="shared" si="13"/>
        <v>T_3_NA</v>
      </c>
      <c r="K174" s="4">
        <v>22</v>
      </c>
      <c r="L174" s="4">
        <v>21</v>
      </c>
      <c r="M174" s="4">
        <v>22</v>
      </c>
      <c r="N174" s="4">
        <v>21</v>
      </c>
      <c r="O174" s="4"/>
      <c r="P174" s="4">
        <v>1.08</v>
      </c>
      <c r="Q174" s="4" t="str">
        <f t="shared" si="11"/>
        <v>1.08</v>
      </c>
      <c r="R174" s="4" t="str">
        <f>VLOOKUP(J174,eq!$D$2:$K$42,8,)</f>
        <v>((pi*X2*100/32)*((a+b)^2 + (c+d)^2))*0.35</v>
      </c>
      <c r="S174" s="4" t="str">
        <f t="shared" si="14"/>
        <v>((3.141593*1.08*100/32)*((22+21)^2 + (22+21)^2))*0.35</v>
      </c>
      <c r="T174" s="4" cm="1">
        <f t="array" ref="T174">eval_dw/2</f>
        <v>6861.6514460812505</v>
      </c>
      <c r="U174" s="1">
        <f>T174*2/VLOOKUP(J174,eq!$D$2:$G$42,4,)</f>
        <v>39209.436834750006</v>
      </c>
      <c r="V174" s="1">
        <f t="shared" si="15"/>
        <v>13723.302892162501</v>
      </c>
      <c r="W174" s="1" cm="1">
        <f t="array" ref="W174">IF(LEFT(J174,1)="S",eval_S/2,((3.141593*Q174/32)*((K174/100+L174/100)^2+(M174/100+N174/100)^2))*1000000*VLOOKUP(J174,eq!$D$2:$G$42,4,)/2)</f>
        <v>6861.6514460812496</v>
      </c>
      <c r="X174" s="1">
        <f>((3.141593*Q174/32)*((K174+L174)^2+(M174+N174)^2))*1000000*VLOOKUP(J174,eq!$D$2:$G$42,4,)/2</f>
        <v>68616514.460812494</v>
      </c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customHeight="1">
      <c r="A175" s="1" t="s">
        <v>6</v>
      </c>
      <c r="B175" s="4">
        <v>20</v>
      </c>
      <c r="C175" s="1" t="s">
        <v>23</v>
      </c>
      <c r="D175" s="3" t="s">
        <v>17</v>
      </c>
      <c r="E175" s="4" t="s">
        <v>7</v>
      </c>
      <c r="F175" s="4" t="str">
        <f t="shared" si="12"/>
        <v>TN_20_CTRL_B2</v>
      </c>
      <c r="G175" s="4" t="s">
        <v>8</v>
      </c>
      <c r="H175" s="4" t="s">
        <v>9</v>
      </c>
      <c r="I175" s="4">
        <v>2</v>
      </c>
      <c r="J175" s="4" t="str">
        <f t="shared" si="13"/>
        <v>F_2_NA</v>
      </c>
      <c r="K175" s="4">
        <v>26</v>
      </c>
      <c r="L175" s="4">
        <v>25</v>
      </c>
      <c r="M175" s="4">
        <v>23</v>
      </c>
      <c r="N175" s="4">
        <v>20</v>
      </c>
      <c r="O175" s="4">
        <v>1.83</v>
      </c>
      <c r="P175" s="4"/>
      <c r="Q175" s="4" t="str">
        <f t="shared" si="11"/>
        <v>1.83</v>
      </c>
      <c r="R175" s="4" t="str">
        <f>VLOOKUP(J175,eq!$D$2:$K$42,8,)</f>
        <v>((pi*X2*100/32)*((a+b)^2 + (c+d)^2))*0.33</v>
      </c>
      <c r="S175" s="4" t="str">
        <f t="shared" si="14"/>
        <v>((3.141593*1.83*100/32)*((26+25)^2 + (23+20)^2))*0.33</v>
      </c>
      <c r="T175" s="4" cm="1">
        <f t="array" ref="T175">eval_dw/2</f>
        <v>13191.524463304688</v>
      </c>
      <c r="U175" s="1">
        <f>T175*2/VLOOKUP(J175,eq!$D$2:$G$42,4,)</f>
        <v>79948.633110937502</v>
      </c>
      <c r="V175" s="1">
        <f t="shared" si="15"/>
        <v>26383.048926609375</v>
      </c>
      <c r="W175" s="1" cm="1">
        <f t="array" ref="W175">IF(LEFT(J175,1)="S",eval_S/2,((3.141593*Q175/32)*((K175/100+L175/100)^2+(M175/100+N175/100)^2))*1000000*VLOOKUP(J175,eq!$D$2:$G$42,4,)/2)</f>
        <v>13191.524463304691</v>
      </c>
      <c r="X175" s="1">
        <f>((3.141593*Q175/32)*((K175+L175)^2+(M175+N175)^2))*1000000*VLOOKUP(J175,eq!$D$2:$G$42,4,)/2</f>
        <v>131915244.6330469</v>
      </c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customHeight="1">
      <c r="A176" s="1" t="s">
        <v>6</v>
      </c>
      <c r="B176" s="4">
        <v>20</v>
      </c>
      <c r="C176" s="1" t="s">
        <v>23</v>
      </c>
      <c r="D176" s="3" t="s">
        <v>17</v>
      </c>
      <c r="E176" s="4" t="s">
        <v>7</v>
      </c>
      <c r="F176" s="4" t="str">
        <f t="shared" si="12"/>
        <v>TN_20_CTRL_B2</v>
      </c>
      <c r="G176" s="4" t="s">
        <v>8</v>
      </c>
      <c r="H176" s="4" t="s">
        <v>9</v>
      </c>
      <c r="I176" s="4">
        <v>2</v>
      </c>
      <c r="J176" s="4" t="str">
        <f t="shared" si="13"/>
        <v>F_2_NA</v>
      </c>
      <c r="K176" s="4">
        <v>26</v>
      </c>
      <c r="L176" s="4">
        <v>20</v>
      </c>
      <c r="M176" s="4">
        <v>19</v>
      </c>
      <c r="N176" s="4">
        <v>24</v>
      </c>
      <c r="O176" s="4">
        <v>1.07</v>
      </c>
      <c r="P176" s="4"/>
      <c r="Q176" s="4" t="str">
        <f t="shared" si="11"/>
        <v>1.07</v>
      </c>
      <c r="R176" s="4" t="str">
        <f>VLOOKUP(J176,eq!$D$2:$K$42,8,)</f>
        <v>((pi*X2*100/32)*((a+b)^2 + (c+d)^2))*0.33</v>
      </c>
      <c r="S176" s="4" t="str">
        <f t="shared" si="14"/>
        <v>((3.141593*1.07*100/32)*((26+20)^2 + (19+24)^2))*0.33</v>
      </c>
      <c r="T176" s="4" cm="1">
        <f t="array" ref="T176">eval_dw/2</f>
        <v>6872.4384001710951</v>
      </c>
      <c r="U176" s="1">
        <f>T176*2/VLOOKUP(J176,eq!$D$2:$G$42,4,)</f>
        <v>41651.141819218756</v>
      </c>
      <c r="V176" s="1">
        <f t="shared" si="15"/>
        <v>13744.87680034219</v>
      </c>
      <c r="W176" s="1" cm="1">
        <f t="array" ref="W176">IF(LEFT(J176,1)="S",eval_S/2,((3.141593*Q176/32)*((K176/100+L176/100)^2+(M176/100+N176/100)^2))*1000000*VLOOKUP(J176,eq!$D$2:$G$42,4,)/2)</f>
        <v>6872.4384001710923</v>
      </c>
      <c r="X176" s="1">
        <f>((3.141593*Q176/32)*((K176+L176)^2+(M176+N176)^2))*1000000*VLOOKUP(J176,eq!$D$2:$G$42,4,)/2</f>
        <v>68724384.001710951</v>
      </c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customHeight="1">
      <c r="A177" s="1" t="s">
        <v>6</v>
      </c>
      <c r="B177" s="4">
        <v>20</v>
      </c>
      <c r="C177" s="1" t="s">
        <v>23</v>
      </c>
      <c r="D177" s="3" t="s">
        <v>17</v>
      </c>
      <c r="E177" s="4" t="s">
        <v>7</v>
      </c>
      <c r="F177" s="4" t="str">
        <f t="shared" si="12"/>
        <v>TN_20_CTRL_B2</v>
      </c>
      <c r="G177" s="4" t="s">
        <v>8</v>
      </c>
      <c r="H177" s="4" t="s">
        <v>9</v>
      </c>
      <c r="I177" s="4">
        <v>3</v>
      </c>
      <c r="J177" s="4" t="str">
        <f t="shared" si="13"/>
        <v>F_3_NA</v>
      </c>
      <c r="K177" s="4">
        <v>17</v>
      </c>
      <c r="L177" s="4">
        <v>11</v>
      </c>
      <c r="M177" s="4">
        <v>18</v>
      </c>
      <c r="N177" s="4">
        <v>12</v>
      </c>
      <c r="O177" s="4">
        <v>2.5299999999999998</v>
      </c>
      <c r="P177" s="4"/>
      <c r="Q177" s="4" t="str">
        <f t="shared" si="11"/>
        <v>2.53</v>
      </c>
      <c r="R177" s="4" t="str">
        <f>VLOOKUP(J177,eq!$D$2:$K$42,8,)</f>
        <v>((pi*X2*100/32)*((a+b)^2 + (c+d)^2))*0.26</v>
      </c>
      <c r="S177" s="4" t="str">
        <f t="shared" si="14"/>
        <v>((3.141593*2.53*100/32)*((17+11)^2 + (18+12)^2))*0.26</v>
      </c>
      <c r="T177" s="4" cm="1">
        <f t="array" ref="T177">eval_dw/2</f>
        <v>5437.5830471462496</v>
      </c>
      <c r="U177" s="1">
        <f>T177*2/VLOOKUP(J177,eq!$D$2:$G$42,4,)</f>
        <v>41827.561901124995</v>
      </c>
      <c r="V177" s="1">
        <f t="shared" si="15"/>
        <v>10875.166094292499</v>
      </c>
      <c r="W177" s="1" cm="1">
        <f t="array" ref="W177">IF(LEFT(J177,1)="S",eval_S/2,((3.141593*Q177/32)*((K177/100+L177/100)^2+(M177/100+N177/100)^2))*1000000*VLOOKUP(J177,eq!$D$2:$G$42,4,)/2)</f>
        <v>5437.5830471462496</v>
      </c>
      <c r="X177" s="1">
        <f>((3.141593*Q177/32)*((K177+L177)^2+(M177+N177)^2))*1000000*VLOOKUP(J177,eq!$D$2:$G$42,4,)/2</f>
        <v>54375830.471462496</v>
      </c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customHeight="1">
      <c r="A178" s="1" t="s">
        <v>6</v>
      </c>
      <c r="B178" s="4">
        <v>20</v>
      </c>
      <c r="C178" s="1" t="s">
        <v>23</v>
      </c>
      <c r="D178" s="3" t="s">
        <v>17</v>
      </c>
      <c r="E178" s="4" t="s">
        <v>7</v>
      </c>
      <c r="F178" s="4" t="str">
        <f t="shared" si="12"/>
        <v>TN_20_CTRL_B2</v>
      </c>
      <c r="G178" s="4" t="s">
        <v>8</v>
      </c>
      <c r="H178" s="4" t="s">
        <v>32</v>
      </c>
      <c r="I178" s="4">
        <v>3</v>
      </c>
      <c r="J178" s="4" t="str">
        <f t="shared" si="13"/>
        <v>T_3_NA</v>
      </c>
      <c r="K178" s="4">
        <v>26</v>
      </c>
      <c r="L178" s="4">
        <v>22</v>
      </c>
      <c r="M178" s="4">
        <v>26</v>
      </c>
      <c r="N178" s="4">
        <v>22</v>
      </c>
      <c r="O178" s="4"/>
      <c r="P178" s="4">
        <v>0.46</v>
      </c>
      <c r="Q178" s="4" t="str">
        <f t="shared" si="11"/>
        <v>0.46</v>
      </c>
      <c r="R178" s="4" t="str">
        <f>VLOOKUP(J178,eq!$D$2:$K$42,8,)</f>
        <v>((pi*X2*100/32)*((a+b)^2 + (c+d)^2))*0.35</v>
      </c>
      <c r="S178" s="4" t="str">
        <f t="shared" si="14"/>
        <v>((3.141593*0.46*100/32)*((26+22)^2 + (26+22)^2))*0.35</v>
      </c>
      <c r="T178" s="4" cm="1">
        <f t="array" ref="T178">eval_dw/2</f>
        <v>3641.7346055999997</v>
      </c>
      <c r="U178" s="1">
        <f>T178*2/VLOOKUP(J178,eq!$D$2:$G$42,4,)</f>
        <v>20809.912032</v>
      </c>
      <c r="V178" s="1">
        <f t="shared" si="15"/>
        <v>7283.4692111999993</v>
      </c>
      <c r="W178" s="1" cm="1">
        <f t="array" ref="W178">IF(LEFT(J178,1)="S",eval_S/2,((3.141593*Q178/32)*((K178/100+L178/100)^2+(M178/100+N178/100)^2))*1000000*VLOOKUP(J178,eq!$D$2:$G$42,4,)/2)</f>
        <v>3641.7346055999997</v>
      </c>
      <c r="X178" s="1">
        <f>((3.141593*Q178/32)*((K178+L178)^2+(M178+N178)^2))*1000000*VLOOKUP(J178,eq!$D$2:$G$42,4,)/2</f>
        <v>36417346.055999994</v>
      </c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customHeight="1">
      <c r="A179" s="1" t="s">
        <v>6</v>
      </c>
      <c r="B179" s="4">
        <v>20</v>
      </c>
      <c r="C179" s="1" t="s">
        <v>23</v>
      </c>
      <c r="D179" s="3" t="s">
        <v>17</v>
      </c>
      <c r="E179" s="4" t="s">
        <v>7</v>
      </c>
      <c r="F179" s="4" t="str">
        <f t="shared" si="12"/>
        <v>TN_20_CTRL_B2</v>
      </c>
      <c r="G179" s="4" t="s">
        <v>8</v>
      </c>
      <c r="H179" s="4" t="s">
        <v>32</v>
      </c>
      <c r="I179" s="4">
        <v>5</v>
      </c>
      <c r="J179" s="4" t="str">
        <f t="shared" si="13"/>
        <v>T_5_NA</v>
      </c>
      <c r="K179" s="4">
        <v>27</v>
      </c>
      <c r="L179" s="4">
        <v>24</v>
      </c>
      <c r="M179" s="4">
        <v>27</v>
      </c>
      <c r="N179" s="4">
        <v>24</v>
      </c>
      <c r="O179" s="4"/>
      <c r="P179" s="4">
        <v>0.37</v>
      </c>
      <c r="Q179" s="4" t="str">
        <f t="shared" si="11"/>
        <v>0.37</v>
      </c>
      <c r="R179" s="4" t="str">
        <f>VLOOKUP(J179,eq!$D$2:$K$42,8,)</f>
        <v>((pi*X2*100/32)*((a+b)^2 + (c+d)^2))*0.25</v>
      </c>
      <c r="S179" s="4" t="str">
        <f t="shared" si="14"/>
        <v>((3.141593*0.37*100/32)*((27+24)^2 + (27+24)^2))*0.25</v>
      </c>
      <c r="T179" s="4" cm="1">
        <f t="array" ref="T179">eval_dw/2</f>
        <v>2362.0116057890623</v>
      </c>
      <c r="U179" s="1">
        <f>T179*2/VLOOKUP(J179,eq!$D$2:$G$42,4,)</f>
        <v>18896.092846312498</v>
      </c>
      <c r="V179" s="1">
        <f t="shared" si="15"/>
        <v>4724.0232115781246</v>
      </c>
      <c r="W179" s="1" cm="1">
        <f t="array" ref="W179">IF(LEFT(J179,1)="S",eval_S/2,((3.141593*Q179/32)*((K179/100+L179/100)^2+(M179/100+N179/100)^2))*1000000*VLOOKUP(J179,eq!$D$2:$G$42,4,)/2)</f>
        <v>2362.0116057890623</v>
      </c>
      <c r="X179" s="1">
        <f>((3.141593*Q179/32)*((K179+L179)^2+(M179+N179)^2))*1000000*VLOOKUP(J179,eq!$D$2:$G$42,4,)/2</f>
        <v>23620116.057890624</v>
      </c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customHeight="1">
      <c r="A180" s="1" t="s">
        <v>6</v>
      </c>
      <c r="B180" s="4">
        <v>20</v>
      </c>
      <c r="C180" s="1" t="s">
        <v>23</v>
      </c>
      <c r="D180" s="3" t="s">
        <v>17</v>
      </c>
      <c r="E180" s="4" t="s">
        <v>7</v>
      </c>
      <c r="F180" s="4" t="str">
        <f t="shared" si="12"/>
        <v>TN_20_CTRL_B2</v>
      </c>
      <c r="G180" s="4" t="s">
        <v>8</v>
      </c>
      <c r="H180" s="4" t="s">
        <v>9</v>
      </c>
      <c r="I180" s="4">
        <v>3</v>
      </c>
      <c r="J180" s="4" t="str">
        <f t="shared" si="13"/>
        <v>F_3_NA</v>
      </c>
      <c r="K180" s="4">
        <v>12</v>
      </c>
      <c r="L180" s="4">
        <v>12</v>
      </c>
      <c r="M180" s="4">
        <v>11</v>
      </c>
      <c r="N180" s="4">
        <v>8</v>
      </c>
      <c r="O180" s="4">
        <v>0.72</v>
      </c>
      <c r="P180" s="4"/>
      <c r="Q180" s="4" t="str">
        <f t="shared" ref="Q180:Q243" si="16">O180&amp;P180</f>
        <v>0.72</v>
      </c>
      <c r="R180" s="4" t="str">
        <f>VLOOKUP(J180,eq!$D$2:$K$42,8,)</f>
        <v>((pi*X2*100/32)*((a+b)^2 + (c+d)^2))*0.26</v>
      </c>
      <c r="S180" s="4" t="str">
        <f t="shared" si="14"/>
        <v>((3.141593*0.72*100/32)*((12+12)^2 + (11+8)^2))*0.26</v>
      </c>
      <c r="T180" s="4" cm="1">
        <f t="array" ref="T180">eval_dw/2</f>
        <v>861.02424749249997</v>
      </c>
      <c r="U180" s="1">
        <f>T180*2/VLOOKUP(J180,eq!$D$2:$G$42,4,)</f>
        <v>6623.2634422499996</v>
      </c>
      <c r="V180" s="1">
        <f t="shared" si="15"/>
        <v>1722.0484949849999</v>
      </c>
      <c r="W180" s="1" cm="1">
        <f t="array" ref="W180">IF(LEFT(J180,1)="S",eval_S/2,((3.141593*Q180/32)*((K180/100+L180/100)^2+(M180/100+N180/100)^2))*1000000*VLOOKUP(J180,eq!$D$2:$G$42,4,)/2)</f>
        <v>861.02424749250008</v>
      </c>
      <c r="X180" s="1">
        <f>((3.141593*Q180/32)*((K180+L180)^2+(M180+N180)^2))*1000000*VLOOKUP(J180,eq!$D$2:$G$42,4,)/2</f>
        <v>8610242.4749250002</v>
      </c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customHeight="1">
      <c r="A181" s="1" t="s">
        <v>6</v>
      </c>
      <c r="B181" s="4">
        <v>20</v>
      </c>
      <c r="C181" s="1" t="s">
        <v>23</v>
      </c>
      <c r="D181" s="3" t="s">
        <v>17</v>
      </c>
      <c r="E181" s="4" t="s">
        <v>12</v>
      </c>
      <c r="F181" s="4" t="str">
        <f t="shared" si="12"/>
        <v>TN_20_CTRL_B3</v>
      </c>
      <c r="G181" s="4" t="s">
        <v>8</v>
      </c>
      <c r="H181" s="4" t="s">
        <v>32</v>
      </c>
      <c r="I181" s="4">
        <v>3</v>
      </c>
      <c r="J181" s="4" t="str">
        <f t="shared" si="13"/>
        <v>T_3_NA</v>
      </c>
      <c r="K181" s="4">
        <v>79</v>
      </c>
      <c r="L181" s="4">
        <v>53</v>
      </c>
      <c r="M181" s="4">
        <v>79</v>
      </c>
      <c r="N181" s="4">
        <v>53</v>
      </c>
      <c r="O181" s="4"/>
      <c r="P181" s="4">
        <v>0.74</v>
      </c>
      <c r="Q181" s="4" t="str">
        <f t="shared" si="16"/>
        <v>0.74</v>
      </c>
      <c r="R181" s="4" t="str">
        <f>VLOOKUP(J181,eq!$D$2:$K$42,8,)</f>
        <v>((pi*X2*100/32)*((a+b)^2 + (c+d)^2))*0.35</v>
      </c>
      <c r="S181" s="4" t="str">
        <f t="shared" si="14"/>
        <v>((3.141593*0.74*100/32)*((79+53)^2 + (79+53)^2))*0.35</v>
      </c>
      <c r="T181" s="4" cm="1">
        <f t="array" ref="T181">eval_dw/2</f>
        <v>44304.472362149987</v>
      </c>
      <c r="U181" s="1">
        <f>T181*2/VLOOKUP(J181,eq!$D$2:$G$42,4,)</f>
        <v>253168.41349799995</v>
      </c>
      <c r="V181" s="1">
        <f t="shared" si="15"/>
        <v>88608.944724299974</v>
      </c>
      <c r="W181" s="1" cm="1">
        <f t="array" ref="W181">IF(LEFT(J181,1)="S",eval_S/2,((3.141593*Q181/32)*((K181/100+L181/100)^2+(M181/100+N181/100)^2))*1000000*VLOOKUP(J181,eq!$D$2:$G$42,4,)/2)</f>
        <v>44304.472362150002</v>
      </c>
      <c r="X181" s="1">
        <f>((3.141593*Q181/32)*((K181+L181)^2+(M181+N181)^2))*1000000*VLOOKUP(J181,eq!$D$2:$G$42,4,)/2</f>
        <v>443044723.6214999</v>
      </c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customHeight="1">
      <c r="A182" s="1" t="s">
        <v>6</v>
      </c>
      <c r="B182" s="4">
        <v>20</v>
      </c>
      <c r="C182" s="1" t="s">
        <v>23</v>
      </c>
      <c r="D182" s="3" t="s">
        <v>17</v>
      </c>
      <c r="E182" s="4" t="s">
        <v>10</v>
      </c>
      <c r="F182" s="4" t="str">
        <f t="shared" si="12"/>
        <v>TN_20_CTRL_B4</v>
      </c>
      <c r="G182" s="4" t="s">
        <v>8</v>
      </c>
      <c r="H182" s="4" t="s">
        <v>9</v>
      </c>
      <c r="I182" s="4">
        <v>2</v>
      </c>
      <c r="J182" s="4" t="str">
        <f t="shared" si="13"/>
        <v>F_2_NA</v>
      </c>
      <c r="K182" s="4">
        <v>27</v>
      </c>
      <c r="L182" s="4">
        <v>20</v>
      </c>
      <c r="M182" s="4">
        <v>21</v>
      </c>
      <c r="N182" s="4">
        <v>20</v>
      </c>
      <c r="O182" s="4">
        <v>2.87</v>
      </c>
      <c r="P182" s="4"/>
      <c r="Q182" s="4" t="str">
        <f t="shared" si="16"/>
        <v>2.87</v>
      </c>
      <c r="R182" s="4" t="str">
        <f>VLOOKUP(J182,eq!$D$2:$K$42,8,)</f>
        <v>((pi*X2*100/32)*((a+b)^2 + (c+d)^2))*0.33</v>
      </c>
      <c r="S182" s="4" t="str">
        <f t="shared" si="14"/>
        <v>((3.141593*2.87*100/32)*((27+20)^2 + (21+20)^2))*0.33</v>
      </c>
      <c r="T182" s="4" cm="1">
        <f t="array" ref="T182">eval_dw/2</f>
        <v>18084.869720104689</v>
      </c>
      <c r="U182" s="1">
        <f>T182*2/VLOOKUP(J182,eq!$D$2:$G$42,4,)</f>
        <v>109605.2710309375</v>
      </c>
      <c r="V182" s="1">
        <f t="shared" si="15"/>
        <v>36169.739440209378</v>
      </c>
      <c r="W182" s="1" cm="1">
        <f t="array" ref="W182">IF(LEFT(J182,1)="S",eval_S/2,((3.141593*Q182/32)*((K182/100+L182/100)^2+(M182/100+N182/100)^2))*1000000*VLOOKUP(J182,eq!$D$2:$G$42,4,)/2)</f>
        <v>18084.869720104693</v>
      </c>
      <c r="X182" s="1">
        <f>((3.141593*Q182/32)*((K182+L182)^2+(M182+N182)^2))*1000000*VLOOKUP(J182,eq!$D$2:$G$42,4,)/2</f>
        <v>180848697.20104688</v>
      </c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customHeight="1">
      <c r="A183" s="1" t="s">
        <v>6</v>
      </c>
      <c r="B183" s="4">
        <v>20</v>
      </c>
      <c r="C183" s="1" t="s">
        <v>23</v>
      </c>
      <c r="D183" s="3" t="s">
        <v>17</v>
      </c>
      <c r="E183" s="4" t="s">
        <v>10</v>
      </c>
      <c r="F183" s="4" t="str">
        <f t="shared" si="12"/>
        <v>TN_20_CTRL_B4</v>
      </c>
      <c r="G183" s="4" t="s">
        <v>8</v>
      </c>
      <c r="H183" s="4" t="s">
        <v>9</v>
      </c>
      <c r="I183" s="4">
        <v>3</v>
      </c>
      <c r="J183" s="4" t="str">
        <f t="shared" si="13"/>
        <v>F_3_NA</v>
      </c>
      <c r="K183" s="4">
        <v>13</v>
      </c>
      <c r="L183" s="4">
        <v>10</v>
      </c>
      <c r="M183" s="4">
        <v>24</v>
      </c>
      <c r="N183" s="4">
        <v>26</v>
      </c>
      <c r="O183" s="4">
        <v>3.56</v>
      </c>
      <c r="P183" s="4"/>
      <c r="Q183" s="4" t="str">
        <f t="shared" si="16"/>
        <v>3.56</v>
      </c>
      <c r="R183" s="4" t="str">
        <f>VLOOKUP(J183,eq!$D$2:$K$42,8,)</f>
        <v>((pi*X2*100/32)*((a+b)^2 + (c+d)^2))*0.26</v>
      </c>
      <c r="S183" s="4" t="str">
        <f t="shared" si="14"/>
        <v>((3.141593*3.56*100/32)*((13+10)^2 + (24+26)^2))*0.26</v>
      </c>
      <c r="T183" s="4" cm="1">
        <f t="array" ref="T183">eval_dw/2</f>
        <v>13762.348966161248</v>
      </c>
      <c r="U183" s="1">
        <f>T183*2/VLOOKUP(J183,eq!$D$2:$G$42,4,)</f>
        <v>105864.22281662498</v>
      </c>
      <c r="V183" s="1">
        <f t="shared" si="15"/>
        <v>27524.697932322495</v>
      </c>
      <c r="W183" s="1" cm="1">
        <f t="array" ref="W183">IF(LEFT(J183,1)="S",eval_S/2,((3.141593*Q183/32)*((K183/100+L183/100)^2+(M183/100+N183/100)^2))*1000000*VLOOKUP(J183,eq!$D$2:$G$42,4,)/2)</f>
        <v>13762.348966161251</v>
      </c>
      <c r="X183" s="1">
        <f>((3.141593*Q183/32)*((K183+L183)^2+(M183+N183)^2))*1000000*VLOOKUP(J183,eq!$D$2:$G$42,4,)/2</f>
        <v>137623489.66161248</v>
      </c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customHeight="1">
      <c r="A184" s="1" t="s">
        <v>6</v>
      </c>
      <c r="B184" s="4">
        <v>20</v>
      </c>
      <c r="C184" s="1" t="s">
        <v>23</v>
      </c>
      <c r="D184" s="3" t="s">
        <v>17</v>
      </c>
      <c r="E184" s="4" t="s">
        <v>10</v>
      </c>
      <c r="F184" s="4" t="str">
        <f t="shared" si="12"/>
        <v>TN_20_CTRL_B4</v>
      </c>
      <c r="G184" s="4" t="s">
        <v>8</v>
      </c>
      <c r="H184" s="4" t="s">
        <v>9</v>
      </c>
      <c r="I184" s="4">
        <v>2</v>
      </c>
      <c r="J184" s="4" t="str">
        <f t="shared" si="13"/>
        <v>F_2_NA</v>
      </c>
      <c r="K184" s="4">
        <v>16</v>
      </c>
      <c r="L184" s="4">
        <v>11</v>
      </c>
      <c r="M184" s="4">
        <v>9</v>
      </c>
      <c r="N184" s="4">
        <v>11</v>
      </c>
      <c r="O184" s="4">
        <v>1.3</v>
      </c>
      <c r="P184" s="4"/>
      <c r="Q184" s="4" t="str">
        <f t="shared" si="16"/>
        <v>1.3</v>
      </c>
      <c r="R184" s="4" t="str">
        <f>VLOOKUP(J184,eq!$D$2:$K$42,8,)</f>
        <v>((pi*X2*100/32)*((a+b)^2 + (c+d)^2))*0.33</v>
      </c>
      <c r="S184" s="4" t="str">
        <f t="shared" si="14"/>
        <v>((3.141593*1.3*100/32)*((16+11)^2 + (9+11)^2))*0.33</v>
      </c>
      <c r="T184" s="4" cm="1">
        <f t="array" ref="T184">eval_dw/2</f>
        <v>2377.503586270313</v>
      </c>
      <c r="U184" s="1">
        <f>T184*2/VLOOKUP(J184,eq!$D$2:$G$42,4,)</f>
        <v>14409.112644062503</v>
      </c>
      <c r="V184" s="1">
        <f t="shared" si="15"/>
        <v>4755.007172540626</v>
      </c>
      <c r="W184" s="1" cm="1">
        <f t="array" ref="W184">IF(LEFT(J184,1)="S",eval_S/2,((3.141593*Q184/32)*((K184/100+L184/100)^2+(M184/100+N184/100)^2))*1000000*VLOOKUP(J184,eq!$D$2:$G$42,4,)/2)</f>
        <v>2377.503586270313</v>
      </c>
      <c r="X184" s="1">
        <f>((3.141593*Q184/32)*((K184+L184)^2+(M184+N184)^2))*1000000*VLOOKUP(J184,eq!$D$2:$G$42,4,)/2</f>
        <v>23775035.86270313</v>
      </c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customHeight="1">
      <c r="A185" s="1" t="s">
        <v>6</v>
      </c>
      <c r="B185" s="4">
        <v>20</v>
      </c>
      <c r="C185" s="2" t="s">
        <v>22</v>
      </c>
      <c r="D185" s="3" t="s">
        <v>17</v>
      </c>
      <c r="E185" s="4" t="s">
        <v>13</v>
      </c>
      <c r="F185" s="4" t="str">
        <f t="shared" si="12"/>
        <v>TN_20_EX_B1</v>
      </c>
      <c r="G185" s="4" t="s">
        <v>8</v>
      </c>
      <c r="H185" s="4" t="s">
        <v>8</v>
      </c>
      <c r="I185" s="4" t="s">
        <v>8</v>
      </c>
      <c r="J185" s="4" t="str">
        <f t="shared" si="13"/>
        <v>NA_NA_NA</v>
      </c>
      <c r="K185" s="4"/>
      <c r="L185" s="4"/>
      <c r="M185" s="4"/>
      <c r="N185" s="4"/>
      <c r="O185" s="4"/>
      <c r="P185" s="4"/>
      <c r="Q185" s="4" t="str">
        <f t="shared" si="16"/>
        <v/>
      </c>
      <c r="R185" s="4">
        <f>VLOOKUP(J185,eq!$D$2:$K$42,8,)</f>
        <v>0</v>
      </c>
      <c r="S185" s="4" t="str">
        <f t="shared" si="14"/>
        <v>0</v>
      </c>
      <c r="T185" s="4" cm="1">
        <f t="array" ref="T185">eval_dw/2</f>
        <v>0</v>
      </c>
      <c r="U185" s="1" t="e">
        <f>T185*2/VLOOKUP(J185,eq!$D$2:$G$42,4,)</f>
        <v>#DIV/0!</v>
      </c>
      <c r="V185" s="1">
        <f t="shared" si="15"/>
        <v>0</v>
      </c>
      <c r="W185" s="1" t="e" cm="1">
        <f t="array" ref="W185">IF(LEFT(J185,1)="S",eval_S/2,((3.141593*Q185/32)*((K185/100+L185/100)^2+(M185/100+N185/100)^2))*1000000*VLOOKUP(J185,eq!$D$2:$G$42,4,)/2)</f>
        <v>#VALUE!</v>
      </c>
      <c r="X185" s="1" t="e">
        <f>((3.141593*Q185/32)*((K185+L185)^2+(M185+N185)^2))*1000000*VLOOKUP(J185,eq!$D$2:$G$42,4,)/2</f>
        <v>#VALUE!</v>
      </c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customHeight="1">
      <c r="A186" s="1" t="s">
        <v>6</v>
      </c>
      <c r="B186" s="4">
        <v>20</v>
      </c>
      <c r="C186" s="2" t="s">
        <v>22</v>
      </c>
      <c r="D186" s="3" t="s">
        <v>17</v>
      </c>
      <c r="E186" s="4" t="s">
        <v>7</v>
      </c>
      <c r="F186" s="4" t="str">
        <f t="shared" si="12"/>
        <v>TN_20_EX_B2</v>
      </c>
      <c r="G186" s="4" t="s">
        <v>11</v>
      </c>
      <c r="H186" s="4" t="s">
        <v>9</v>
      </c>
      <c r="I186" s="4">
        <v>4</v>
      </c>
      <c r="J186" s="4" t="str">
        <f t="shared" si="13"/>
        <v>F_4_S</v>
      </c>
      <c r="K186" s="4">
        <v>20</v>
      </c>
      <c r="L186" s="4">
        <v>18</v>
      </c>
      <c r="M186" s="4">
        <v>19</v>
      </c>
      <c r="N186" s="4">
        <v>16</v>
      </c>
      <c r="O186" s="4">
        <v>2.93</v>
      </c>
      <c r="P186" s="4"/>
      <c r="Q186" s="4" t="str">
        <f t="shared" si="16"/>
        <v>2.93</v>
      </c>
      <c r="R186" s="4" t="str">
        <f>VLOOKUP(J186,eq!$D$2:$K$42,8,)</f>
        <v>((pi*X2*100/32)*((a+b)^2 + (c+d)^2))*0.15</v>
      </c>
      <c r="S186" s="4" t="str">
        <f t="shared" si="14"/>
        <v>((3.141593*2.93*100/32)*((20+18)^2 + (19+16)^2))*0.15</v>
      </c>
      <c r="T186" s="4" cm="1">
        <f t="array" ref="T186">eval_dw/2</f>
        <v>5758.0760931585946</v>
      </c>
      <c r="U186" s="1">
        <f>T186*2/VLOOKUP(J186,eq!$D$2:$G$42,4,)</f>
        <v>76774.347908781259</v>
      </c>
      <c r="V186" s="1">
        <f t="shared" si="15"/>
        <v>11516.152186317189</v>
      </c>
      <c r="W186" s="1" cm="1">
        <f t="array" ref="W186">IF(LEFT(J186,1)="S",eval_S/2,((3.141593*Q186/32)*((K186/100+L186/100)^2+(M186/100+N186/100)^2))*1000000*VLOOKUP(J186,eq!$D$2:$G$42,4,)/2)</f>
        <v>5758.0760931585919</v>
      </c>
      <c r="X186" s="1">
        <f>((3.141593*Q186/32)*((K186+L186)^2+(M186+N186)^2))*1000000*VLOOKUP(J186,eq!$D$2:$G$42,4,)/2</f>
        <v>57580760.931585938</v>
      </c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customHeight="1">
      <c r="A187" s="1" t="s">
        <v>6</v>
      </c>
      <c r="B187" s="4">
        <v>20</v>
      </c>
      <c r="C187" s="2" t="s">
        <v>22</v>
      </c>
      <c r="D187" s="3" t="s">
        <v>17</v>
      </c>
      <c r="E187" s="4" t="s">
        <v>7</v>
      </c>
      <c r="F187" s="4" t="str">
        <f t="shared" si="12"/>
        <v>TN_20_EX_B2</v>
      </c>
      <c r="G187" s="4" t="s">
        <v>8</v>
      </c>
      <c r="H187" s="4" t="s">
        <v>32</v>
      </c>
      <c r="I187" s="4">
        <v>3</v>
      </c>
      <c r="J187" s="4" t="str">
        <f t="shared" si="13"/>
        <v>T_3_NA</v>
      </c>
      <c r="K187" s="4">
        <v>19</v>
      </c>
      <c r="L187" s="4">
        <v>28</v>
      </c>
      <c r="M187" s="4">
        <v>19</v>
      </c>
      <c r="N187" s="4">
        <v>28</v>
      </c>
      <c r="O187" s="4"/>
      <c r="P187" s="4">
        <v>0.48</v>
      </c>
      <c r="Q187" s="4" t="str">
        <f t="shared" si="16"/>
        <v>0.48</v>
      </c>
      <c r="R187" s="4" t="str">
        <f>VLOOKUP(J187,eq!$D$2:$K$42,8,)</f>
        <v>((pi*X2*100/32)*((a+b)^2 + (c+d)^2))*0.35</v>
      </c>
      <c r="S187" s="4" t="str">
        <f t="shared" si="14"/>
        <v>((3.141593*0.48*100/32)*((19+28)^2 + (19+28)^2))*0.35</v>
      </c>
      <c r="T187" s="4" cm="1">
        <f t="array" ref="T187">eval_dw/2</f>
        <v>3643.3839419249994</v>
      </c>
      <c r="U187" s="1">
        <f>T187*2/VLOOKUP(J187,eq!$D$2:$G$42,4,)</f>
        <v>20819.336810999997</v>
      </c>
      <c r="V187" s="1">
        <f t="shared" si="15"/>
        <v>7286.7678838499987</v>
      </c>
      <c r="W187" s="1" cm="1">
        <f t="array" ref="W187">IF(LEFT(J187,1)="S",eval_S/2,((3.141593*Q187/32)*((K187/100+L187/100)^2+(M187/100+N187/100)^2))*1000000*VLOOKUP(J187,eq!$D$2:$G$42,4,)/2)</f>
        <v>3643.3839419250007</v>
      </c>
      <c r="X187" s="1">
        <f>((3.141593*Q187/32)*((K187+L187)^2+(M187+N187)^2))*1000000*VLOOKUP(J187,eq!$D$2:$G$42,4,)/2</f>
        <v>36433839.419249997</v>
      </c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customHeight="1">
      <c r="A188" s="1" t="s">
        <v>6</v>
      </c>
      <c r="B188" s="4">
        <v>20</v>
      </c>
      <c r="C188" s="2" t="s">
        <v>22</v>
      </c>
      <c r="D188" s="3" t="s">
        <v>17</v>
      </c>
      <c r="E188" s="4" t="s">
        <v>12</v>
      </c>
      <c r="F188" s="4" t="str">
        <f t="shared" si="12"/>
        <v>TN_20_EX_B3</v>
      </c>
      <c r="G188" s="4" t="s">
        <v>11</v>
      </c>
      <c r="H188" s="4" t="s">
        <v>9</v>
      </c>
      <c r="I188" s="4">
        <v>2</v>
      </c>
      <c r="J188" s="4" t="str">
        <f t="shared" si="13"/>
        <v>F_2_S</v>
      </c>
      <c r="K188" s="4">
        <v>16</v>
      </c>
      <c r="L188" s="4">
        <v>14</v>
      </c>
      <c r="M188" s="4">
        <v>18</v>
      </c>
      <c r="N188" s="4">
        <v>12</v>
      </c>
      <c r="O188" s="4">
        <v>0.48</v>
      </c>
      <c r="P188" s="4"/>
      <c r="Q188" s="4" t="str">
        <f t="shared" si="16"/>
        <v>0.48</v>
      </c>
      <c r="R188" s="4" t="str">
        <f>VLOOKUP(J188,eq!$D$2:$K$42,8,)</f>
        <v>((pi*X2*100/32)*((a+b)^2 + (c+d)^2))*0.34</v>
      </c>
      <c r="S188" s="4" t="str">
        <f t="shared" si="14"/>
        <v>((3.141593*0.48*100/32)*((16+14)^2 + (18+12)^2))*0.34</v>
      </c>
      <c r="T188" s="4" cm="1">
        <f t="array" ref="T188">eval_dw/2</f>
        <v>1441.9911869999999</v>
      </c>
      <c r="U188" s="1">
        <f>T188*2/VLOOKUP(J188,eq!$D$2:$G$42,4,)</f>
        <v>8482.3010999999988</v>
      </c>
      <c r="V188" s="1">
        <f t="shared" si="15"/>
        <v>2883.9823739999997</v>
      </c>
      <c r="W188" s="1" cm="1">
        <f t="array" ref="W188">IF(LEFT(J188,1)="S",eval_S/2,((3.141593*Q188/32)*((K188/100+L188/100)^2+(M188/100+N188/100)^2))*1000000*VLOOKUP(J188,eq!$D$2:$G$42,4,)/2)</f>
        <v>1441.9911870000003</v>
      </c>
      <c r="X188" s="1">
        <f>((3.141593*Q188/32)*((K188+L188)^2+(M188+N188)^2))*1000000*VLOOKUP(J188,eq!$D$2:$G$42,4,)/2</f>
        <v>14419911.870000001</v>
      </c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customHeight="1">
      <c r="A189" s="1" t="s">
        <v>6</v>
      </c>
      <c r="B189" s="4">
        <v>20</v>
      </c>
      <c r="C189" s="2" t="s">
        <v>22</v>
      </c>
      <c r="D189" s="3" t="s">
        <v>17</v>
      </c>
      <c r="E189" s="4" t="s">
        <v>12</v>
      </c>
      <c r="F189" s="4" t="str">
        <f t="shared" si="12"/>
        <v>TN_20_EX_B3</v>
      </c>
      <c r="G189" s="4" t="s">
        <v>8</v>
      </c>
      <c r="H189" s="4" t="s">
        <v>9</v>
      </c>
      <c r="I189" s="4">
        <v>4</v>
      </c>
      <c r="J189" s="4" t="str">
        <f t="shared" si="13"/>
        <v>F_4_NA</v>
      </c>
      <c r="K189" s="4">
        <v>7</v>
      </c>
      <c r="L189" s="4">
        <v>11</v>
      </c>
      <c r="M189" s="4">
        <v>9</v>
      </c>
      <c r="N189" s="4">
        <v>18</v>
      </c>
      <c r="O189" s="4">
        <v>1.84</v>
      </c>
      <c r="P189" s="4"/>
      <c r="Q189" s="4" t="str">
        <f t="shared" si="16"/>
        <v>1.84</v>
      </c>
      <c r="R189" s="4" t="str">
        <f>VLOOKUP(J189,eq!$D$2:$K$42,8,)</f>
        <v>((pi*X2*100/32)*((a+b)^2 + (c+d)^2))*0.15</v>
      </c>
      <c r="S189" s="4" t="str">
        <f t="shared" si="14"/>
        <v>((3.141593*1.84*100/32)*((7+11)^2 + (9+18)^2))*0.15</v>
      </c>
      <c r="T189" s="4" cm="1">
        <f t="array" ref="T189">eval_dw/2</f>
        <v>1426.6170162562501</v>
      </c>
      <c r="U189" s="1">
        <f>T189*2/VLOOKUP(J189,eq!$D$2:$G$42,4,)</f>
        <v>19021.56021675</v>
      </c>
      <c r="V189" s="1">
        <f t="shared" si="15"/>
        <v>2853.2340325125001</v>
      </c>
      <c r="W189" s="1" cm="1">
        <f t="array" ref="W189">IF(LEFT(J189,1)="S",eval_S/2,((3.141593*Q189/32)*((K189/100+L189/100)^2+(M189/100+N189/100)^2))*1000000*VLOOKUP(J189,eq!$D$2:$G$42,4,)/2)</f>
        <v>1426.6170162562501</v>
      </c>
      <c r="X189" s="1">
        <f>((3.141593*Q189/32)*((K189+L189)^2+(M189+N189)^2))*1000000*VLOOKUP(J189,eq!$D$2:$G$42,4,)/2</f>
        <v>14266170.162562501</v>
      </c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customHeight="1">
      <c r="A190" s="1" t="s">
        <v>6</v>
      </c>
      <c r="B190" s="4">
        <v>20</v>
      </c>
      <c r="C190" s="2" t="s">
        <v>22</v>
      </c>
      <c r="D190" s="3" t="s">
        <v>17</v>
      </c>
      <c r="E190" s="4" t="s">
        <v>12</v>
      </c>
      <c r="F190" s="4" t="str">
        <f t="shared" si="12"/>
        <v>TN_20_EX_B3</v>
      </c>
      <c r="G190" s="4" t="s">
        <v>8</v>
      </c>
      <c r="H190" s="4" t="s">
        <v>32</v>
      </c>
      <c r="I190" s="4">
        <v>3</v>
      </c>
      <c r="J190" s="4" t="str">
        <f t="shared" si="13"/>
        <v>T_3_NA</v>
      </c>
      <c r="K190" s="4">
        <v>12</v>
      </c>
      <c r="L190" s="4">
        <v>13</v>
      </c>
      <c r="M190" s="4">
        <v>12</v>
      </c>
      <c r="N190" s="4">
        <v>13</v>
      </c>
      <c r="O190" s="4"/>
      <c r="P190" s="4">
        <v>0.54</v>
      </c>
      <c r="Q190" s="4" t="str">
        <f t="shared" si="16"/>
        <v>0.54</v>
      </c>
      <c r="R190" s="4" t="str">
        <f>VLOOKUP(J190,eq!$D$2:$K$42,8,)</f>
        <v>((pi*X2*100/32)*((a+b)^2 + (c+d)^2))*0.35</v>
      </c>
      <c r="S190" s="4" t="str">
        <f t="shared" si="14"/>
        <v>((3.141593*0.54*100/32)*((12+13)^2 + (12+13)^2))*0.35</v>
      </c>
      <c r="T190" s="4" cm="1">
        <f t="array" ref="T190">eval_dw/2</f>
        <v>1159.6896035156251</v>
      </c>
      <c r="U190" s="1">
        <f>T190*2/VLOOKUP(J190,eq!$D$2:$G$42,4,)</f>
        <v>6626.7977343750008</v>
      </c>
      <c r="V190" s="1">
        <f t="shared" si="15"/>
        <v>2319.3792070312502</v>
      </c>
      <c r="W190" s="1" cm="1">
        <f t="array" ref="W190">IF(LEFT(J190,1)="S",eval_S/2,((3.141593*Q190/32)*((K190/100+L190/100)^2+(M190/100+N190/100)^2))*1000000*VLOOKUP(J190,eq!$D$2:$G$42,4,)/2)</f>
        <v>1159.6896035156249</v>
      </c>
      <c r="X190" s="1">
        <f>((3.141593*Q190/32)*((K190+L190)^2+(M190+N190)^2))*1000000*VLOOKUP(J190,eq!$D$2:$G$42,4,)/2</f>
        <v>11596896.03515625</v>
      </c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customHeight="1">
      <c r="A191" s="1" t="s">
        <v>6</v>
      </c>
      <c r="B191" s="4">
        <v>20</v>
      </c>
      <c r="C191" s="2" t="s">
        <v>22</v>
      </c>
      <c r="D191" s="3" t="s">
        <v>17</v>
      </c>
      <c r="E191" s="4" t="s">
        <v>10</v>
      </c>
      <c r="F191" s="4" t="str">
        <f t="shared" si="12"/>
        <v>TN_20_EX_B4</v>
      </c>
      <c r="G191" s="4" t="s">
        <v>11</v>
      </c>
      <c r="H191" s="4" t="s">
        <v>9</v>
      </c>
      <c r="I191" s="4">
        <v>2</v>
      </c>
      <c r="J191" s="4" t="str">
        <f t="shared" si="13"/>
        <v>F_2_S</v>
      </c>
      <c r="K191" s="4">
        <v>24</v>
      </c>
      <c r="L191" s="4">
        <v>28</v>
      </c>
      <c r="M191" s="4">
        <v>19</v>
      </c>
      <c r="N191" s="4">
        <v>17</v>
      </c>
      <c r="O191" s="4">
        <v>2.96</v>
      </c>
      <c r="P191" s="4"/>
      <c r="Q191" s="4" t="str">
        <f t="shared" si="16"/>
        <v>2.96</v>
      </c>
      <c r="R191" s="4" t="str">
        <f>VLOOKUP(J191,eq!$D$2:$K$42,8,)</f>
        <v>((pi*X2*100/32)*((a+b)^2 + (c+d)^2))*0.34</v>
      </c>
      <c r="S191" s="4" t="str">
        <f t="shared" si="14"/>
        <v>((3.141593*2.96*100/32)*((24+28)^2 + (19+17)^2))*0.34</v>
      </c>
      <c r="T191" s="4" cm="1">
        <f t="array" ref="T191">eval_dw/2</f>
        <v>19760.619969999996</v>
      </c>
      <c r="U191" s="1">
        <f>T191*2/VLOOKUP(J191,eq!$D$2:$G$42,4,)</f>
        <v>116238.94099999996</v>
      </c>
      <c r="V191" s="1">
        <f t="shared" si="15"/>
        <v>39521.239939999992</v>
      </c>
      <c r="W191" s="1" cm="1">
        <f t="array" ref="W191">IF(LEFT(J191,1)="S",eval_S/2,((3.141593*Q191/32)*((K191/100+L191/100)^2+(M191/100+N191/100)^2))*1000000*VLOOKUP(J191,eq!$D$2:$G$42,4,)/2)</f>
        <v>19760.61997</v>
      </c>
      <c r="X191" s="1">
        <f>((3.141593*Q191/32)*((K191+L191)^2+(M191+N191)^2))*1000000*VLOOKUP(J191,eq!$D$2:$G$42,4,)/2</f>
        <v>197606199.69999999</v>
      </c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customHeight="1">
      <c r="A192" s="1" t="s">
        <v>6</v>
      </c>
      <c r="B192" s="4">
        <v>20</v>
      </c>
      <c r="C192" s="2" t="s">
        <v>22</v>
      </c>
      <c r="D192" s="3" t="s">
        <v>17</v>
      </c>
      <c r="E192" s="4" t="s">
        <v>10</v>
      </c>
      <c r="F192" s="4" t="str">
        <f t="shared" si="12"/>
        <v>TN_20_EX_B4</v>
      </c>
      <c r="G192" s="4" t="s">
        <v>8</v>
      </c>
      <c r="H192" s="4" t="s">
        <v>9</v>
      </c>
      <c r="I192" s="4">
        <v>4</v>
      </c>
      <c r="J192" s="4" t="str">
        <f t="shared" si="13"/>
        <v>F_4_NA</v>
      </c>
      <c r="K192" s="4">
        <v>15</v>
      </c>
      <c r="L192" s="4">
        <v>14</v>
      </c>
      <c r="M192" s="4">
        <v>13</v>
      </c>
      <c r="N192" s="4">
        <v>14</v>
      </c>
      <c r="O192" s="4">
        <v>3.75</v>
      </c>
      <c r="P192" s="4"/>
      <c r="Q192" s="4" t="str">
        <f t="shared" si="16"/>
        <v>3.75</v>
      </c>
      <c r="R192" s="4" t="str">
        <f>VLOOKUP(J192,eq!$D$2:$K$42,8,)</f>
        <v>((pi*X2*100/32)*((a+b)^2 + (c+d)^2))*0.15</v>
      </c>
      <c r="S192" s="4" t="str">
        <f t="shared" si="14"/>
        <v>((3.141593*3.75*100/32)*((15+14)^2 + (13+14)^2))*0.15</v>
      </c>
      <c r="T192" s="4" cm="1">
        <f t="array" ref="T192">eval_dw/2</f>
        <v>4335.0301845703116</v>
      </c>
      <c r="U192" s="1">
        <f>T192*2/VLOOKUP(J192,eq!$D$2:$G$42,4,)</f>
        <v>57800.40246093749</v>
      </c>
      <c r="V192" s="1">
        <f t="shared" si="15"/>
        <v>8670.0603691406232</v>
      </c>
      <c r="W192" s="1" cm="1">
        <f t="array" ref="W192">IF(LEFT(J192,1)="S",eval_S/2,((3.141593*Q192/32)*((K192/100+L192/100)^2+(M192/100+N192/100)^2))*1000000*VLOOKUP(J192,eq!$D$2:$G$42,4,)/2)</f>
        <v>4335.0301845703125</v>
      </c>
      <c r="X192" s="1">
        <f>((3.141593*Q192/32)*((K192+L192)^2+(M192+N192)^2))*1000000*VLOOKUP(J192,eq!$D$2:$G$42,4,)/2</f>
        <v>43350301.845703118</v>
      </c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customHeight="1">
      <c r="A193" s="1" t="s">
        <v>6</v>
      </c>
      <c r="B193" s="4">
        <v>20</v>
      </c>
      <c r="C193" s="2" t="s">
        <v>22</v>
      </c>
      <c r="D193" s="3" t="s">
        <v>17</v>
      </c>
      <c r="E193" s="4" t="s">
        <v>10</v>
      </c>
      <c r="F193" s="4" t="str">
        <f t="shared" si="12"/>
        <v>TN_20_EX_B4</v>
      </c>
      <c r="G193" s="4" t="s">
        <v>8</v>
      </c>
      <c r="H193" s="4" t="s">
        <v>9</v>
      </c>
      <c r="I193" s="4">
        <v>4</v>
      </c>
      <c r="J193" s="4" t="str">
        <f t="shared" si="13"/>
        <v>F_4_NA</v>
      </c>
      <c r="K193" s="4">
        <v>31</v>
      </c>
      <c r="L193" s="4">
        <v>27</v>
      </c>
      <c r="M193" s="4">
        <v>28</v>
      </c>
      <c r="N193" s="4">
        <v>24</v>
      </c>
      <c r="O193" s="4">
        <v>0.88</v>
      </c>
      <c r="P193" s="4"/>
      <c r="Q193" s="4" t="str">
        <f t="shared" si="16"/>
        <v>0.88</v>
      </c>
      <c r="R193" s="4" t="str">
        <f>VLOOKUP(J193,eq!$D$2:$K$42,8,)</f>
        <v>((pi*X2*100/32)*((a+b)^2 + (c+d)^2))*0.15</v>
      </c>
      <c r="S193" s="4" t="str">
        <f t="shared" si="14"/>
        <v>((3.141593*0.88*100/32)*((31+27)^2 + (28+24)^2))*0.15</v>
      </c>
      <c r="T193" s="4" cm="1">
        <f t="array" ref="T193">eval_dw/2</f>
        <v>3931.782179325</v>
      </c>
      <c r="U193" s="1">
        <f>T193*2/VLOOKUP(J193,eq!$D$2:$G$42,4,)</f>
        <v>52423.762391000004</v>
      </c>
      <c r="V193" s="1">
        <f t="shared" si="15"/>
        <v>7863.56435865</v>
      </c>
      <c r="W193" s="1" cm="1">
        <f t="array" ref="W193">IF(LEFT(J193,1)="S",eval_S/2,((3.141593*Q193/32)*((K193/100+L193/100)^2+(M193/100+N193/100)^2))*1000000*VLOOKUP(J193,eq!$D$2:$G$42,4,)/2)</f>
        <v>3931.7821793250005</v>
      </c>
      <c r="X193" s="1">
        <f>((3.141593*Q193/32)*((K193+L193)^2+(M193+N193)^2))*1000000*VLOOKUP(J193,eq!$D$2:$G$42,4,)/2</f>
        <v>39317821.793250002</v>
      </c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customHeight="1">
      <c r="A194" s="1" t="s">
        <v>6</v>
      </c>
      <c r="B194" s="4">
        <v>20</v>
      </c>
      <c r="C194" s="2" t="s">
        <v>22</v>
      </c>
      <c r="D194" s="3" t="s">
        <v>17</v>
      </c>
      <c r="E194" s="4" t="s">
        <v>10</v>
      </c>
      <c r="F194" s="4" t="str">
        <f t="shared" ref="F194:F257" si="17">A194&amp;"_"&amp;B194&amp;"_"&amp;C194&amp;"_"&amp;E194</f>
        <v>TN_20_EX_B4</v>
      </c>
      <c r="G194" s="4" t="s">
        <v>8</v>
      </c>
      <c r="H194" s="4" t="s">
        <v>9</v>
      </c>
      <c r="I194" s="4">
        <v>4</v>
      </c>
      <c r="J194" s="4" t="str">
        <f t="shared" ref="J194:J257" si="18">H194&amp;"_"&amp;I194&amp;"_"&amp;G194</f>
        <v>F_4_NA</v>
      </c>
      <c r="K194" s="4">
        <v>22</v>
      </c>
      <c r="L194" s="4">
        <v>24</v>
      </c>
      <c r="M194" s="4">
        <v>26</v>
      </c>
      <c r="N194" s="4">
        <v>24</v>
      </c>
      <c r="O194" s="4">
        <v>1.06</v>
      </c>
      <c r="P194" s="4"/>
      <c r="Q194" s="4" t="str">
        <f t="shared" si="16"/>
        <v>1.06</v>
      </c>
      <c r="R194" s="4" t="str">
        <f>VLOOKUP(J194,eq!$D$2:$K$42,8,)</f>
        <v>((pi*X2*100/32)*((a+b)^2 + (c+d)^2))*0.15</v>
      </c>
      <c r="S194" s="4" t="str">
        <f t="shared" si="14"/>
        <v>((3.141593*1.06*100/32)*((22+24)^2 + (26+24)^2))*0.15</v>
      </c>
      <c r="T194" s="4" cm="1">
        <f t="array" ref="T194">eval_dw/2</f>
        <v>3602.7395824874998</v>
      </c>
      <c r="U194" s="1">
        <f>T194*2/VLOOKUP(J194,eq!$D$2:$G$42,4,)</f>
        <v>48036.527766499996</v>
      </c>
      <c r="V194" s="1">
        <f t="shared" si="15"/>
        <v>7205.4791649749995</v>
      </c>
      <c r="W194" s="1" cm="1">
        <f t="array" ref="W194">IF(LEFT(J194,1)="S",eval_S/2,((3.141593*Q194/32)*((K194/100+L194/100)^2+(M194/100+N194/100)^2))*1000000*VLOOKUP(J194,eq!$D$2:$G$42,4,)/2)</f>
        <v>3602.7395824874998</v>
      </c>
      <c r="X194" s="1">
        <f>((3.141593*Q194/32)*((K194+L194)^2+(M194+N194)^2))*1000000*VLOOKUP(J194,eq!$D$2:$G$42,4,)/2</f>
        <v>36027395.824874997</v>
      </c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customHeight="1">
      <c r="A195" s="1" t="s">
        <v>6</v>
      </c>
      <c r="B195" s="4">
        <v>20</v>
      </c>
      <c r="C195" s="2" t="s">
        <v>22</v>
      </c>
      <c r="D195" s="3" t="s">
        <v>17</v>
      </c>
      <c r="E195" s="4" t="s">
        <v>10</v>
      </c>
      <c r="F195" s="4" t="str">
        <f t="shared" si="17"/>
        <v>TN_20_EX_B4</v>
      </c>
      <c r="G195" s="4" t="s">
        <v>8</v>
      </c>
      <c r="H195" s="4" t="s">
        <v>9</v>
      </c>
      <c r="I195" s="4">
        <v>4</v>
      </c>
      <c r="J195" s="4" t="str">
        <f t="shared" si="18"/>
        <v>F_4_NA</v>
      </c>
      <c r="K195" s="4">
        <v>14</v>
      </c>
      <c r="L195" s="4">
        <v>20</v>
      </c>
      <c r="M195" s="4">
        <v>19</v>
      </c>
      <c r="N195" s="4">
        <v>9</v>
      </c>
      <c r="O195" s="4">
        <v>2.02</v>
      </c>
      <c r="P195" s="4"/>
      <c r="Q195" s="4" t="str">
        <f t="shared" si="16"/>
        <v>2.02</v>
      </c>
      <c r="R195" s="4" t="str">
        <f>VLOOKUP(J195,eq!$D$2:$K$42,8,)</f>
        <v>((pi*X2*100/32)*((a+b)^2 + (c+d)^2))*0.15</v>
      </c>
      <c r="S195" s="4" t="str">
        <f t="shared" ref="S195:S258" si="19">SUBSTITUTE(SUBSTITUTE(SUBSTITUTE(SUBSTITUTE(SUBSTITUTE(SUBSTITUTE(SUBSTITUTE(R195,"X2",Q195),"X4",K195),"a",K195),"b",L195),"c",M195),"d",N195),"pi",3.141593)</f>
        <v>((3.141593*2.02*100/32)*((14+20)^2 + (19+9)^2))*0.15</v>
      </c>
      <c r="T195" s="4" cm="1">
        <f t="array" ref="T195">eval_dw/2</f>
        <v>2885.4549957187496</v>
      </c>
      <c r="U195" s="1">
        <f>T195*2/VLOOKUP(J195,eq!$D$2:$G$42,4,)</f>
        <v>38472.733276249994</v>
      </c>
      <c r="V195" s="1">
        <f t="shared" ref="V195:V258" si="20">T195*2</f>
        <v>5770.9099914374992</v>
      </c>
      <c r="W195" s="1" cm="1">
        <f t="array" ref="W195">IF(LEFT(J195,1)="S",eval_S/2,((3.141593*Q195/32)*((K195/100+L195/100)^2+(M195/100+N195/100)^2))*1000000*VLOOKUP(J195,eq!$D$2:$G$42,4,)/2)</f>
        <v>2885.4549957187501</v>
      </c>
      <c r="X195" s="1">
        <f>((3.141593*Q195/32)*((K195+L195)^2+(M195+N195)^2))*1000000*VLOOKUP(J195,eq!$D$2:$G$42,4,)/2</f>
        <v>28854549.9571875</v>
      </c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customHeight="1">
      <c r="A196" s="1" t="s">
        <v>6</v>
      </c>
      <c r="B196" s="4">
        <v>21</v>
      </c>
      <c r="C196" s="1" t="s">
        <v>23</v>
      </c>
      <c r="D196" s="3" t="s">
        <v>17</v>
      </c>
      <c r="E196" s="4" t="s">
        <v>13</v>
      </c>
      <c r="F196" s="4" t="str">
        <f t="shared" si="17"/>
        <v>TN_21_CTRL_B1</v>
      </c>
      <c r="G196" s="4" t="s">
        <v>8</v>
      </c>
      <c r="H196" s="4" t="s">
        <v>32</v>
      </c>
      <c r="I196" s="4">
        <v>5</v>
      </c>
      <c r="J196" s="4" t="str">
        <f t="shared" si="18"/>
        <v>T_5_NA</v>
      </c>
      <c r="K196" s="4">
        <v>21</v>
      </c>
      <c r="L196" s="4">
        <v>17</v>
      </c>
      <c r="M196" s="4">
        <v>21</v>
      </c>
      <c r="N196" s="4">
        <v>17</v>
      </c>
      <c r="O196" s="4"/>
      <c r="P196" s="4">
        <v>1.07</v>
      </c>
      <c r="Q196" s="4" t="str">
        <f t="shared" si="16"/>
        <v>1.07</v>
      </c>
      <c r="R196" s="4" t="str">
        <f>VLOOKUP(J196,eq!$D$2:$K$42,8,)</f>
        <v>((pi*X2*100/32)*((a+b)^2 + (c+d)^2))*0.25</v>
      </c>
      <c r="S196" s="4" t="str">
        <f t="shared" si="19"/>
        <v>((3.141593*1.07*100/32)*((21+17)^2 + (21+17)^2))*0.25</v>
      </c>
      <c r="T196" s="4" cm="1">
        <f t="array" ref="T196">eval_dw/2</f>
        <v>3792.1972753437503</v>
      </c>
      <c r="U196" s="1">
        <f>T196*2/VLOOKUP(J196,eq!$D$2:$G$42,4,)</f>
        <v>30337.578202750003</v>
      </c>
      <c r="V196" s="1">
        <f t="shared" si="20"/>
        <v>7584.3945506875007</v>
      </c>
      <c r="W196" s="1" cm="1">
        <f t="array" ref="W196">IF(LEFT(J196,1)="S",eval_S/2,((3.141593*Q196/32)*((K196/100+L196/100)^2+(M196/100+N196/100)^2))*1000000*VLOOKUP(J196,eq!$D$2:$G$42,4,)/2)</f>
        <v>3792.1972753437503</v>
      </c>
      <c r="X196" s="1">
        <f>((3.141593*Q196/32)*((K196+L196)^2+(M196+N196)^2))*1000000*VLOOKUP(J196,eq!$D$2:$G$42,4,)/2</f>
        <v>37921972.753437504</v>
      </c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customHeight="1">
      <c r="A197" s="1" t="s">
        <v>6</v>
      </c>
      <c r="B197" s="4">
        <v>21</v>
      </c>
      <c r="C197" s="1" t="s">
        <v>23</v>
      </c>
      <c r="D197" s="3" t="s">
        <v>17</v>
      </c>
      <c r="E197" s="4" t="s">
        <v>7</v>
      </c>
      <c r="F197" s="4" t="str">
        <f t="shared" si="17"/>
        <v>TN_21_CTRL_B2</v>
      </c>
      <c r="G197" s="5" t="s">
        <v>8</v>
      </c>
      <c r="H197" s="5" t="s">
        <v>8</v>
      </c>
      <c r="I197" s="5" t="s">
        <v>8</v>
      </c>
      <c r="J197" s="4" t="str">
        <f t="shared" si="18"/>
        <v>NA_NA_NA</v>
      </c>
      <c r="K197" s="5"/>
      <c r="L197" s="5"/>
      <c r="M197" s="5"/>
      <c r="N197" s="5"/>
      <c r="O197" s="5"/>
      <c r="P197" s="5"/>
      <c r="Q197" s="4" t="str">
        <f t="shared" si="16"/>
        <v/>
      </c>
      <c r="R197" s="4">
        <f>VLOOKUP(J197,eq!$D$2:$K$42,8,)</f>
        <v>0</v>
      </c>
      <c r="S197" s="4" t="str">
        <f t="shared" si="19"/>
        <v>0</v>
      </c>
      <c r="T197" s="4" cm="1">
        <f t="array" ref="T197">eval_dw/2</f>
        <v>0</v>
      </c>
      <c r="U197" s="1" t="e">
        <f>T197*2/VLOOKUP(J197,eq!$D$2:$G$42,4,)</f>
        <v>#DIV/0!</v>
      </c>
      <c r="V197" s="1">
        <f t="shared" si="20"/>
        <v>0</v>
      </c>
      <c r="W197" s="1" t="e" cm="1">
        <f t="array" ref="W197">IF(LEFT(J197,1)="S",eval_S/2,((3.141593*Q197/32)*((K197/100+L197/100)^2+(M197/100+N197/100)^2))*1000000*VLOOKUP(J197,eq!$D$2:$G$42,4,)/2)</f>
        <v>#VALUE!</v>
      </c>
      <c r="X197" s="1" t="e">
        <f>((3.141593*Q197/32)*((K197+L197)^2+(M197+N197)^2))*1000000*VLOOKUP(J197,eq!$D$2:$G$42,4,)/2</f>
        <v>#VALUE!</v>
      </c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customHeight="1">
      <c r="A198" s="1" t="s">
        <v>6</v>
      </c>
      <c r="B198" s="4">
        <v>21</v>
      </c>
      <c r="C198" s="1" t="s">
        <v>23</v>
      </c>
      <c r="D198" s="3" t="s">
        <v>17</v>
      </c>
      <c r="E198" s="4" t="s">
        <v>12</v>
      </c>
      <c r="F198" s="4" t="str">
        <f t="shared" si="17"/>
        <v>TN_21_CTRL_B3</v>
      </c>
      <c r="G198" s="4" t="s">
        <v>8</v>
      </c>
      <c r="H198" s="4" t="s">
        <v>9</v>
      </c>
      <c r="I198" s="4">
        <v>3</v>
      </c>
      <c r="J198" s="4" t="str">
        <f t="shared" si="18"/>
        <v>F_3_NA</v>
      </c>
      <c r="K198" s="4">
        <v>15</v>
      </c>
      <c r="L198" s="4">
        <v>17</v>
      </c>
      <c r="M198" s="4">
        <v>15</v>
      </c>
      <c r="N198" s="4">
        <v>17</v>
      </c>
      <c r="O198" s="4">
        <v>0.69</v>
      </c>
      <c r="P198" s="4"/>
      <c r="Q198" s="4" t="str">
        <f t="shared" si="16"/>
        <v>0.69</v>
      </c>
      <c r="R198" s="4" t="str">
        <f>VLOOKUP(J198,eq!$D$2:$K$42,8,)</f>
        <v>((pi*X2*100/32)*((a+b)^2 + (c+d)^2))*0.26</v>
      </c>
      <c r="S198" s="4" t="str">
        <f t="shared" si="19"/>
        <v>((3.141593*0.69*100/32)*((15+17)^2 + (15+17)^2))*0.26</v>
      </c>
      <c r="T198" s="4" cm="1">
        <f t="array" ref="T198">eval_dw/2</f>
        <v>1803.5257094399997</v>
      </c>
      <c r="U198" s="1">
        <f>T198*2/VLOOKUP(J198,eq!$D$2:$G$42,4,)</f>
        <v>13873.274687999998</v>
      </c>
      <c r="V198" s="1">
        <f t="shared" si="20"/>
        <v>3607.0514188799993</v>
      </c>
      <c r="W198" s="1" cm="1">
        <f t="array" ref="W198">IF(LEFT(J198,1)="S",eval_S/2,((3.141593*Q198/32)*((K198/100+L198/100)^2+(M198/100+N198/100)^2))*1000000*VLOOKUP(J198,eq!$D$2:$G$42,4,)/2)</f>
        <v>1803.5257094399999</v>
      </c>
      <c r="X198" s="1">
        <f>((3.141593*Q198/32)*((K198+L198)^2+(M198+N198)^2))*1000000*VLOOKUP(J198,eq!$D$2:$G$42,4,)/2</f>
        <v>18035257.094399996</v>
      </c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customHeight="1">
      <c r="A199" s="1" t="s">
        <v>6</v>
      </c>
      <c r="B199" s="4">
        <v>21</v>
      </c>
      <c r="C199" s="1" t="s">
        <v>23</v>
      </c>
      <c r="D199" s="3" t="s">
        <v>17</v>
      </c>
      <c r="E199" s="4" t="s">
        <v>10</v>
      </c>
      <c r="F199" s="4" t="str">
        <f t="shared" si="17"/>
        <v>TN_21_CTRL_B4</v>
      </c>
      <c r="G199" s="5" t="s">
        <v>8</v>
      </c>
      <c r="H199" s="5" t="s">
        <v>8</v>
      </c>
      <c r="I199" s="5" t="s">
        <v>8</v>
      </c>
      <c r="J199" s="4" t="str">
        <f t="shared" si="18"/>
        <v>NA_NA_NA</v>
      </c>
      <c r="K199" s="5"/>
      <c r="L199" s="5"/>
      <c r="M199" s="5"/>
      <c r="N199" s="5"/>
      <c r="O199" s="5"/>
      <c r="P199" s="5"/>
      <c r="Q199" s="4" t="str">
        <f t="shared" si="16"/>
        <v/>
      </c>
      <c r="R199" s="4">
        <f>VLOOKUP(J199,eq!$D$2:$K$42,8,)</f>
        <v>0</v>
      </c>
      <c r="S199" s="4" t="str">
        <f t="shared" si="19"/>
        <v>0</v>
      </c>
      <c r="T199" s="4" cm="1">
        <f t="array" ref="T199">eval_dw/2</f>
        <v>0</v>
      </c>
      <c r="U199" s="1" t="e">
        <f>T199*2/VLOOKUP(J199,eq!$D$2:$G$42,4,)</f>
        <v>#DIV/0!</v>
      </c>
      <c r="V199" s="1">
        <f t="shared" si="20"/>
        <v>0</v>
      </c>
      <c r="W199" s="1" t="e" cm="1">
        <f t="array" ref="W199">IF(LEFT(J199,1)="S",eval_S/2,((3.141593*Q199/32)*((K199/100+L199/100)^2+(M199/100+N199/100)^2))*1000000*VLOOKUP(J199,eq!$D$2:$G$42,4,)/2)</f>
        <v>#VALUE!</v>
      </c>
      <c r="X199" s="1" t="e">
        <f>((3.141593*Q199/32)*((K199+L199)^2+(M199+N199)^2))*1000000*VLOOKUP(J199,eq!$D$2:$G$42,4,)/2</f>
        <v>#VALUE!</v>
      </c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customHeight="1">
      <c r="A200" s="1" t="s">
        <v>6</v>
      </c>
      <c r="B200" s="4">
        <v>21</v>
      </c>
      <c r="C200" s="2" t="s">
        <v>22</v>
      </c>
      <c r="D200" s="3" t="s">
        <v>17</v>
      </c>
      <c r="E200" s="4" t="s">
        <v>13</v>
      </c>
      <c r="F200" s="4" t="str">
        <f t="shared" si="17"/>
        <v>TN_21_EX_B1</v>
      </c>
      <c r="G200" s="4" t="s">
        <v>8</v>
      </c>
      <c r="H200" s="4" t="s">
        <v>9</v>
      </c>
      <c r="I200" s="4">
        <v>5</v>
      </c>
      <c r="J200" s="4" t="str">
        <f t="shared" si="18"/>
        <v>F_5_NA</v>
      </c>
      <c r="K200" s="4">
        <v>24</v>
      </c>
      <c r="L200" s="4">
        <v>22</v>
      </c>
      <c r="M200" s="4">
        <v>24</v>
      </c>
      <c r="N200" s="4">
        <v>22</v>
      </c>
      <c r="O200" s="4">
        <v>1.65</v>
      </c>
      <c r="P200" s="4"/>
      <c r="Q200" s="4" t="str">
        <f t="shared" si="16"/>
        <v>1.65</v>
      </c>
      <c r="R200" s="4" t="str">
        <f>VLOOKUP(J200,eq!$D$2:$K$42,8,)</f>
        <v>((pi*X2*100/32)*((a+b)^2 + (c+d)^2))*0.11</v>
      </c>
      <c r="S200" s="4" t="str">
        <f t="shared" si="19"/>
        <v>((3.141593*1.65*100/32)*((24+22)^2 + (24+22)^2))*0.11</v>
      </c>
      <c r="T200" s="4" cm="1">
        <f t="array" ref="T200">eval_dw/2</f>
        <v>3770.4417438187497</v>
      </c>
      <c r="U200" s="1">
        <f>T200*2/VLOOKUP(J200,eq!$D$2:$G$42,4,)</f>
        <v>68553.486251249997</v>
      </c>
      <c r="V200" s="1">
        <f t="shared" si="20"/>
        <v>7540.8834876374995</v>
      </c>
      <c r="W200" s="1" cm="1">
        <f t="array" ref="W200">IF(LEFT(J200,1)="S",eval_S/2,((3.141593*Q200/32)*((K200/100+L200/100)^2+(M200/100+N200/100)^2))*1000000*VLOOKUP(J200,eq!$D$2:$G$42,4,)/2)</f>
        <v>3770.4417438187488</v>
      </c>
      <c r="X200" s="1">
        <f>((3.141593*Q200/32)*((K200+L200)^2+(M200+N200)^2))*1000000*VLOOKUP(J200,eq!$D$2:$G$42,4,)/2</f>
        <v>37704417.438187495</v>
      </c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customHeight="1">
      <c r="A201" s="1" t="s">
        <v>6</v>
      </c>
      <c r="B201" s="4">
        <v>21</v>
      </c>
      <c r="C201" s="2" t="s">
        <v>22</v>
      </c>
      <c r="D201" s="3" t="s">
        <v>17</v>
      </c>
      <c r="E201" s="4" t="s">
        <v>7</v>
      </c>
      <c r="F201" s="4" t="str">
        <f t="shared" si="17"/>
        <v>TN_21_EX_B2</v>
      </c>
      <c r="G201" s="5" t="s">
        <v>8</v>
      </c>
      <c r="H201" s="5" t="s">
        <v>8</v>
      </c>
      <c r="I201" s="5" t="s">
        <v>8</v>
      </c>
      <c r="J201" s="4" t="str">
        <f t="shared" si="18"/>
        <v>NA_NA_NA</v>
      </c>
      <c r="K201" s="5"/>
      <c r="L201" s="5"/>
      <c r="M201" s="5"/>
      <c r="N201" s="5"/>
      <c r="O201" s="5"/>
      <c r="P201" s="5"/>
      <c r="Q201" s="4" t="str">
        <f t="shared" si="16"/>
        <v/>
      </c>
      <c r="R201" s="4">
        <f>VLOOKUP(J201,eq!$D$2:$K$42,8,)</f>
        <v>0</v>
      </c>
      <c r="S201" s="4" t="str">
        <f t="shared" si="19"/>
        <v>0</v>
      </c>
      <c r="T201" s="4" cm="1">
        <f t="array" ref="T201">eval_dw/2</f>
        <v>0</v>
      </c>
      <c r="U201" s="1" t="e">
        <f>T201*2/VLOOKUP(J201,eq!$D$2:$G$42,4,)</f>
        <v>#DIV/0!</v>
      </c>
      <c r="V201" s="1">
        <f t="shared" si="20"/>
        <v>0</v>
      </c>
      <c r="W201" s="1" t="e" cm="1">
        <f t="array" ref="W201">IF(LEFT(J201,1)="S",eval_S/2,((3.141593*Q201/32)*((K201/100+L201/100)^2+(M201/100+N201/100)^2))*1000000*VLOOKUP(J201,eq!$D$2:$G$42,4,)/2)</f>
        <v>#VALUE!</v>
      </c>
      <c r="X201" s="1" t="e">
        <f>((3.141593*Q201/32)*((K201+L201)^2+(M201+N201)^2))*1000000*VLOOKUP(J201,eq!$D$2:$G$42,4,)/2</f>
        <v>#VALUE!</v>
      </c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customHeight="1">
      <c r="A202" s="1" t="s">
        <v>6</v>
      </c>
      <c r="B202" s="4">
        <v>21</v>
      </c>
      <c r="C202" s="2" t="s">
        <v>22</v>
      </c>
      <c r="D202" s="3" t="s">
        <v>17</v>
      </c>
      <c r="E202" s="4" t="s">
        <v>12</v>
      </c>
      <c r="F202" s="4" t="str">
        <f t="shared" si="17"/>
        <v>TN_21_EX_B3</v>
      </c>
      <c r="G202" s="4" t="s">
        <v>8</v>
      </c>
      <c r="H202" s="4" t="s">
        <v>9</v>
      </c>
      <c r="I202" s="4">
        <v>5</v>
      </c>
      <c r="J202" s="4" t="str">
        <f t="shared" si="18"/>
        <v>F_5_NA</v>
      </c>
      <c r="K202" s="4">
        <v>16</v>
      </c>
      <c r="L202" s="4">
        <v>14</v>
      </c>
      <c r="M202" s="4">
        <v>16</v>
      </c>
      <c r="N202" s="4">
        <v>14</v>
      </c>
      <c r="O202" s="4">
        <v>1.82</v>
      </c>
      <c r="P202" s="4"/>
      <c r="Q202" s="4" t="str">
        <f t="shared" si="16"/>
        <v>1.82</v>
      </c>
      <c r="R202" s="4" t="str">
        <f>VLOOKUP(J202,eq!$D$2:$K$42,8,)</f>
        <v>((pi*X2*100/32)*((a+b)^2 + (c+d)^2))*0.11</v>
      </c>
      <c r="S202" s="4" t="str">
        <f t="shared" si="19"/>
        <v>((3.141593*1.82*100/32)*((16+14)^2 + (16+14)^2))*0.11</v>
      </c>
      <c r="T202" s="4" cm="1">
        <f t="array" ref="T202">eval_dw/2</f>
        <v>1768.9132085624997</v>
      </c>
      <c r="U202" s="1">
        <f>T202*2/VLOOKUP(J202,eq!$D$2:$G$42,4,)</f>
        <v>32162.058337499995</v>
      </c>
      <c r="V202" s="1">
        <f t="shared" si="20"/>
        <v>3537.8264171249994</v>
      </c>
      <c r="W202" s="1" cm="1">
        <f t="array" ref="W202">IF(LEFT(J202,1)="S",eval_S/2,((3.141593*Q202/32)*((K202/100+L202/100)^2+(M202/100+N202/100)^2))*1000000*VLOOKUP(J202,eq!$D$2:$G$42,4,)/2)</f>
        <v>1768.9132085625004</v>
      </c>
      <c r="X202" s="1">
        <f>((3.141593*Q202/32)*((K202+L202)^2+(M202+N202)^2))*1000000*VLOOKUP(J202,eq!$D$2:$G$42,4,)/2</f>
        <v>17689132.085624997</v>
      </c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customHeight="1">
      <c r="A203" s="1" t="s">
        <v>6</v>
      </c>
      <c r="B203" s="4">
        <v>21</v>
      </c>
      <c r="C203" s="2" t="s">
        <v>22</v>
      </c>
      <c r="D203" s="3" t="s">
        <v>17</v>
      </c>
      <c r="E203" s="4" t="s">
        <v>10</v>
      </c>
      <c r="F203" s="4" t="str">
        <f t="shared" si="17"/>
        <v>TN_21_EX_B4</v>
      </c>
      <c r="G203" s="5" t="s">
        <v>8</v>
      </c>
      <c r="H203" s="5" t="s">
        <v>8</v>
      </c>
      <c r="I203" s="5" t="s">
        <v>8</v>
      </c>
      <c r="J203" s="4" t="str">
        <f t="shared" si="18"/>
        <v>NA_NA_NA</v>
      </c>
      <c r="K203" s="5"/>
      <c r="L203" s="5"/>
      <c r="M203" s="5"/>
      <c r="N203" s="5"/>
      <c r="O203" s="5"/>
      <c r="P203" s="5"/>
      <c r="Q203" s="4" t="str">
        <f t="shared" si="16"/>
        <v/>
      </c>
      <c r="R203" s="4">
        <f>VLOOKUP(J203,eq!$D$2:$K$42,8,)</f>
        <v>0</v>
      </c>
      <c r="S203" s="4" t="str">
        <f t="shared" si="19"/>
        <v>0</v>
      </c>
      <c r="T203" s="4" cm="1">
        <f t="array" ref="T203">eval_dw/2</f>
        <v>0</v>
      </c>
      <c r="U203" s="1" t="e">
        <f>T203*2/VLOOKUP(J203,eq!$D$2:$G$42,4,)</f>
        <v>#DIV/0!</v>
      </c>
      <c r="V203" s="1">
        <f t="shared" si="20"/>
        <v>0</v>
      </c>
      <c r="W203" s="1" t="e" cm="1">
        <f t="array" ref="W203">IF(LEFT(J203,1)="S",eval_S/2,((3.141593*Q203/32)*((K203/100+L203/100)^2+(M203/100+N203/100)^2))*1000000*VLOOKUP(J203,eq!$D$2:$G$42,4,)/2)</f>
        <v>#VALUE!</v>
      </c>
      <c r="X203" s="1" t="e">
        <f>((3.141593*Q203/32)*((K203+L203)^2+(M203+N203)^2))*1000000*VLOOKUP(J203,eq!$D$2:$G$42,4,)/2</f>
        <v>#VALUE!</v>
      </c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customHeight="1">
      <c r="A204" s="1" t="s">
        <v>6</v>
      </c>
      <c r="B204" s="4">
        <v>22</v>
      </c>
      <c r="C204" s="2" t="s">
        <v>23</v>
      </c>
      <c r="D204" s="3" t="s">
        <v>17</v>
      </c>
      <c r="E204" s="4" t="s">
        <v>13</v>
      </c>
      <c r="F204" s="4" t="str">
        <f t="shared" si="17"/>
        <v>TN_22_CTRL_B1</v>
      </c>
      <c r="G204" s="4" t="s">
        <v>8</v>
      </c>
      <c r="H204" s="4" t="s">
        <v>9</v>
      </c>
      <c r="I204" s="4">
        <v>2</v>
      </c>
      <c r="J204" s="4" t="str">
        <f t="shared" si="18"/>
        <v>F_2_NA</v>
      </c>
      <c r="K204" s="4">
        <v>21</v>
      </c>
      <c r="L204" s="4">
        <v>22</v>
      </c>
      <c r="M204" s="4">
        <v>21</v>
      </c>
      <c r="N204" s="4">
        <v>22</v>
      </c>
      <c r="O204" s="4">
        <v>3.47</v>
      </c>
      <c r="P204" s="4"/>
      <c r="Q204" s="4" t="str">
        <f t="shared" si="16"/>
        <v>3.47</v>
      </c>
      <c r="R204" s="4" t="str">
        <f>VLOOKUP(J204,eq!$D$2:$K$42,8,)</f>
        <v>((pi*X2*100/32)*((a+b)^2 + (c+d)^2))*0.33</v>
      </c>
      <c r="S204" s="4" t="str">
        <f t="shared" si="19"/>
        <v>((3.141593*3.47*100/32)*((21+22)^2 + (21+22)^2))*0.33</v>
      </c>
      <c r="T204" s="4" cm="1">
        <f t="array" ref="T204">eval_dw/2</f>
        <v>20786.44727753344</v>
      </c>
      <c r="U204" s="1">
        <f>T204*2/VLOOKUP(J204,eq!$D$2:$G$42,4,)</f>
        <v>125978.46834868751</v>
      </c>
      <c r="V204" s="1">
        <f t="shared" si="20"/>
        <v>41572.89455506688</v>
      </c>
      <c r="W204" s="1" cm="1">
        <f t="array" ref="W204">IF(LEFT(J204,1)="S",eval_S/2,((3.141593*Q204/32)*((K204/100+L204/100)^2+(M204/100+N204/100)^2))*1000000*VLOOKUP(J204,eq!$D$2:$G$42,4,)/2)</f>
        <v>20786.447277533432</v>
      </c>
      <c r="X204" s="1">
        <f>((3.141593*Q204/32)*((K204+L204)^2+(M204+N204)^2))*1000000*VLOOKUP(J204,eq!$D$2:$G$42,4,)/2</f>
        <v>207864472.77533439</v>
      </c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customHeight="1">
      <c r="A205" s="1" t="s">
        <v>6</v>
      </c>
      <c r="B205" s="4">
        <v>22</v>
      </c>
      <c r="C205" s="2" t="s">
        <v>23</v>
      </c>
      <c r="D205" s="3" t="s">
        <v>17</v>
      </c>
      <c r="E205" s="4" t="s">
        <v>13</v>
      </c>
      <c r="F205" s="4" t="str">
        <f t="shared" si="17"/>
        <v>TN_22_CTRL_B1</v>
      </c>
      <c r="G205" s="4" t="s">
        <v>8</v>
      </c>
      <c r="H205" s="4" t="s">
        <v>9</v>
      </c>
      <c r="I205" s="4">
        <v>1</v>
      </c>
      <c r="J205" s="4" t="str">
        <f t="shared" si="18"/>
        <v>F_1_NA</v>
      </c>
      <c r="K205" s="4">
        <v>20</v>
      </c>
      <c r="L205" s="4">
        <v>19</v>
      </c>
      <c r="M205" s="4">
        <v>20</v>
      </c>
      <c r="N205" s="4">
        <v>19</v>
      </c>
      <c r="O205" s="4">
        <v>2.93</v>
      </c>
      <c r="P205" s="4"/>
      <c r="Q205" s="4" t="str">
        <f t="shared" si="16"/>
        <v>2.93</v>
      </c>
      <c r="R205" s="4" t="str">
        <f>VLOOKUP(J205,eq!$D$2:$K$42,8,)</f>
        <v>((pi*X2*100/32)*((a+b)^2 + (c+d)^2))*0.4</v>
      </c>
      <c r="S205" s="4" t="str">
        <f t="shared" si="19"/>
        <v>((3.141593*2.93*100/32)*((20+19)^2 + (20+19)^2))*0.4</v>
      </c>
      <c r="T205" s="4" cm="1">
        <f t="array" ref="T205">eval_dw/2</f>
        <v>17500.754315362501</v>
      </c>
      <c r="U205" s="1">
        <f>T205*2/VLOOKUP(J205,eq!$D$2:$G$42,4,)</f>
        <v>87503.771576812505</v>
      </c>
      <c r="V205" s="1">
        <f t="shared" si="20"/>
        <v>35001.508630725002</v>
      </c>
      <c r="W205" s="1" cm="1">
        <f t="array" ref="W205">IF(LEFT(J205,1)="S",eval_S/2,((3.141593*Q205/32)*((K205/100+L205/100)^2+(M205/100+N205/100)^2))*1000000*VLOOKUP(J205,eq!$D$2:$G$42,4,)/2)</f>
        <v>17500.754315362501</v>
      </c>
      <c r="X205" s="1">
        <f>((3.141593*Q205/32)*((K205+L205)^2+(M205+N205)^2))*1000000*VLOOKUP(J205,eq!$D$2:$G$42,4,)/2</f>
        <v>175007543.15362501</v>
      </c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customHeight="1">
      <c r="A206" s="1" t="s">
        <v>6</v>
      </c>
      <c r="B206" s="4">
        <v>22</v>
      </c>
      <c r="C206" s="2" t="s">
        <v>23</v>
      </c>
      <c r="D206" s="3" t="s">
        <v>17</v>
      </c>
      <c r="E206" s="4" t="s">
        <v>13</v>
      </c>
      <c r="F206" s="4" t="str">
        <f t="shared" si="17"/>
        <v>TN_22_CTRL_B1</v>
      </c>
      <c r="G206" s="4" t="s">
        <v>8</v>
      </c>
      <c r="H206" s="4" t="s">
        <v>9</v>
      </c>
      <c r="I206" s="4">
        <v>3</v>
      </c>
      <c r="J206" s="4" t="str">
        <f t="shared" si="18"/>
        <v>F_3_NA</v>
      </c>
      <c r="K206" s="4">
        <v>18</v>
      </c>
      <c r="L206" s="4">
        <v>16</v>
      </c>
      <c r="M206" s="4">
        <v>18</v>
      </c>
      <c r="N206" s="4">
        <v>16</v>
      </c>
      <c r="O206" s="4">
        <v>0.8</v>
      </c>
      <c r="P206" s="4"/>
      <c r="Q206" s="4" t="str">
        <f t="shared" si="16"/>
        <v>0.8</v>
      </c>
      <c r="R206" s="4" t="str">
        <f>VLOOKUP(J206,eq!$D$2:$K$42,8,)</f>
        <v>((pi*X2*100/32)*((a+b)^2 + (c+d)^2))*0.26</v>
      </c>
      <c r="S206" s="4" t="str">
        <f t="shared" si="19"/>
        <v>((3.141593*0.8*100/32)*((18+16)^2 + (18+16)^2))*0.26</v>
      </c>
      <c r="T206" s="4" cm="1">
        <f t="array" ref="T206">eval_dw/2</f>
        <v>2360.5929802000001</v>
      </c>
      <c r="U206" s="1">
        <f>T206*2/VLOOKUP(J206,eq!$D$2:$G$42,4,)</f>
        <v>18158.40754</v>
      </c>
      <c r="V206" s="1">
        <f t="shared" si="20"/>
        <v>4721.1859604000001</v>
      </c>
      <c r="W206" s="1" cm="1">
        <f t="array" ref="W206">IF(LEFT(J206,1)="S",eval_S/2,((3.141593*Q206/32)*((K206/100+L206/100)^2+(M206/100+N206/100)^2))*1000000*VLOOKUP(J206,eq!$D$2:$G$42,4,)/2)</f>
        <v>2360.5929801999996</v>
      </c>
      <c r="X206" s="1">
        <f>((3.141593*Q206/32)*((K206+L206)^2+(M206+N206)^2))*1000000*VLOOKUP(J206,eq!$D$2:$G$42,4,)/2</f>
        <v>23605929.802000001</v>
      </c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customHeight="1">
      <c r="A207" s="1" t="s">
        <v>6</v>
      </c>
      <c r="B207" s="4">
        <v>22</v>
      </c>
      <c r="C207" s="2" t="s">
        <v>23</v>
      </c>
      <c r="D207" s="3" t="s">
        <v>17</v>
      </c>
      <c r="E207" s="4" t="s">
        <v>7</v>
      </c>
      <c r="F207" s="4" t="str">
        <f t="shared" si="17"/>
        <v>TN_22_CTRL_B2</v>
      </c>
      <c r="G207" s="4" t="s">
        <v>8</v>
      </c>
      <c r="H207" s="4" t="s">
        <v>8</v>
      </c>
      <c r="I207" s="4" t="s">
        <v>8</v>
      </c>
      <c r="J207" s="4" t="str">
        <f t="shared" si="18"/>
        <v>NA_NA_NA</v>
      </c>
      <c r="K207" s="4"/>
      <c r="L207" s="4"/>
      <c r="M207" s="4"/>
      <c r="N207" s="4"/>
      <c r="O207" s="4"/>
      <c r="P207" s="5"/>
      <c r="Q207" s="4" t="str">
        <f t="shared" si="16"/>
        <v/>
      </c>
      <c r="R207" s="4">
        <f>VLOOKUP(J207,eq!$D$2:$K$42,8,)</f>
        <v>0</v>
      </c>
      <c r="S207" s="4" t="str">
        <f t="shared" si="19"/>
        <v>0</v>
      </c>
      <c r="T207" s="4" cm="1">
        <f t="array" ref="T207">eval_dw/2</f>
        <v>0</v>
      </c>
      <c r="U207" s="1" t="e">
        <f>T207*2/VLOOKUP(J207,eq!$D$2:$G$42,4,)</f>
        <v>#DIV/0!</v>
      </c>
      <c r="V207" s="1">
        <f t="shared" si="20"/>
        <v>0</v>
      </c>
      <c r="W207" s="1" t="e" cm="1">
        <f t="array" ref="W207">IF(LEFT(J207,1)="S",eval_S/2,((3.141593*Q207/32)*((K207/100+L207/100)^2+(M207/100+N207/100)^2))*1000000*VLOOKUP(J207,eq!$D$2:$G$42,4,)/2)</f>
        <v>#VALUE!</v>
      </c>
      <c r="X207" s="1" t="e">
        <f>((3.141593*Q207/32)*((K207+L207)^2+(M207+N207)^2))*1000000*VLOOKUP(J207,eq!$D$2:$G$42,4,)/2</f>
        <v>#VALUE!</v>
      </c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customHeight="1">
      <c r="A208" s="1" t="s">
        <v>6</v>
      </c>
      <c r="B208" s="4">
        <v>22</v>
      </c>
      <c r="C208" s="2" t="s">
        <v>23</v>
      </c>
      <c r="D208" s="3" t="s">
        <v>17</v>
      </c>
      <c r="E208" s="4" t="s">
        <v>12</v>
      </c>
      <c r="F208" s="4" t="str">
        <f t="shared" si="17"/>
        <v>TN_22_CTRL_B3</v>
      </c>
      <c r="G208" s="4" t="s">
        <v>8</v>
      </c>
      <c r="H208" s="4" t="s">
        <v>9</v>
      </c>
      <c r="I208" s="4">
        <v>4</v>
      </c>
      <c r="J208" s="4" t="str">
        <f t="shared" si="18"/>
        <v>F_4_NA</v>
      </c>
      <c r="K208" s="4">
        <v>15</v>
      </c>
      <c r="L208" s="4">
        <v>16</v>
      </c>
      <c r="M208" s="4">
        <v>15</v>
      </c>
      <c r="N208" s="4">
        <v>16</v>
      </c>
      <c r="O208" s="4">
        <v>2.4300000000000002</v>
      </c>
      <c r="P208" s="4"/>
      <c r="Q208" s="4" t="str">
        <f t="shared" si="16"/>
        <v>2.43</v>
      </c>
      <c r="R208" s="4" t="str">
        <f>VLOOKUP(J208,eq!$D$2:$K$42,8,)</f>
        <v>((pi*X2*100/32)*((a+b)^2 + (c+d)^2))*0.15</v>
      </c>
      <c r="S208" s="4" t="str">
        <f t="shared" si="19"/>
        <v>((3.141593*2.43*100/32)*((15+16)^2 + (15+16)^2))*0.15</v>
      </c>
      <c r="T208" s="4" cm="1">
        <f t="array" ref="T208">eval_dw/2</f>
        <v>3438.910416276562</v>
      </c>
      <c r="U208" s="1">
        <f>T208*2/VLOOKUP(J208,eq!$D$2:$G$42,4,)</f>
        <v>45852.138883687498</v>
      </c>
      <c r="V208" s="1">
        <f t="shared" si="20"/>
        <v>6877.8208325531241</v>
      </c>
      <c r="W208" s="1" cm="1">
        <f t="array" ref="W208">IF(LEFT(J208,1)="S",eval_S/2,((3.141593*Q208/32)*((K208/100+L208/100)^2+(M208/100+N208/100)^2))*1000000*VLOOKUP(J208,eq!$D$2:$G$42,4,)/2)</f>
        <v>3438.910416276563</v>
      </c>
      <c r="X208" s="1">
        <f>((3.141593*Q208/32)*((K208+L208)^2+(M208+N208)^2))*1000000*VLOOKUP(J208,eq!$D$2:$G$42,4,)/2</f>
        <v>34389104.162765622</v>
      </c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customHeight="1">
      <c r="A209" s="1" t="s">
        <v>6</v>
      </c>
      <c r="B209" s="4">
        <v>22</v>
      </c>
      <c r="C209" s="2" t="s">
        <v>23</v>
      </c>
      <c r="D209" s="3" t="s">
        <v>17</v>
      </c>
      <c r="E209" s="4" t="s">
        <v>12</v>
      </c>
      <c r="F209" s="4" t="str">
        <f t="shared" si="17"/>
        <v>TN_22_CTRL_B3</v>
      </c>
      <c r="G209" s="4" t="s">
        <v>8</v>
      </c>
      <c r="H209" s="4" t="s">
        <v>9</v>
      </c>
      <c r="I209" s="4">
        <v>3</v>
      </c>
      <c r="J209" s="4" t="str">
        <f t="shared" si="18"/>
        <v>F_3_NA</v>
      </c>
      <c r="K209" s="4">
        <v>18</v>
      </c>
      <c r="L209" s="4">
        <v>18</v>
      </c>
      <c r="M209" s="4">
        <v>18</v>
      </c>
      <c r="N209" s="4">
        <v>18</v>
      </c>
      <c r="O209" s="4">
        <v>0.88</v>
      </c>
      <c r="P209" s="4"/>
      <c r="Q209" s="4" t="str">
        <f t="shared" si="16"/>
        <v>0.88</v>
      </c>
      <c r="R209" s="4" t="str">
        <f>VLOOKUP(J209,eq!$D$2:$K$42,8,)</f>
        <v>((pi*X2*100/32)*((a+b)^2 + (c+d)^2))*0.26</v>
      </c>
      <c r="S209" s="4" t="str">
        <f t="shared" si="19"/>
        <v>((3.141593*0.88*100/32)*((18+18)^2 + (18+18)^2))*0.26</v>
      </c>
      <c r="T209" s="4" cm="1">
        <f t="array" ref="T209">eval_dw/2</f>
        <v>2911.1257375200003</v>
      </c>
      <c r="U209" s="1">
        <f>T209*2/VLOOKUP(J209,eq!$D$2:$G$42,4,)</f>
        <v>22393.274904000002</v>
      </c>
      <c r="V209" s="1">
        <f t="shared" si="20"/>
        <v>5822.2514750400005</v>
      </c>
      <c r="W209" s="1" cm="1">
        <f t="array" ref="W209">IF(LEFT(J209,1)="S",eval_S/2,((3.141593*Q209/32)*((K209/100+L209/100)^2+(M209/100+N209/100)^2))*1000000*VLOOKUP(J209,eq!$D$2:$G$42,4,)/2)</f>
        <v>2911.1257375200003</v>
      </c>
      <c r="X209" s="1">
        <f>((3.141593*Q209/32)*((K209+L209)^2+(M209+N209)^2))*1000000*VLOOKUP(J209,eq!$D$2:$G$42,4,)/2</f>
        <v>29111257.3752</v>
      </c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customHeight="1">
      <c r="A210" s="1" t="s">
        <v>6</v>
      </c>
      <c r="B210" s="4">
        <v>22</v>
      </c>
      <c r="C210" s="2" t="s">
        <v>23</v>
      </c>
      <c r="D210" s="3" t="s">
        <v>17</v>
      </c>
      <c r="E210" s="4" t="s">
        <v>10</v>
      </c>
      <c r="F210" s="4" t="str">
        <f t="shared" si="17"/>
        <v>TN_22_CTRL_B4</v>
      </c>
      <c r="G210" s="4" t="s">
        <v>8</v>
      </c>
      <c r="H210" s="4" t="s">
        <v>9</v>
      </c>
      <c r="I210" s="4">
        <v>1</v>
      </c>
      <c r="J210" s="4" t="str">
        <f t="shared" si="18"/>
        <v>F_1_NA</v>
      </c>
      <c r="K210" s="4">
        <v>41</v>
      </c>
      <c r="L210" s="4">
        <v>47</v>
      </c>
      <c r="M210" s="4">
        <v>41</v>
      </c>
      <c r="N210" s="4">
        <v>47</v>
      </c>
      <c r="O210" s="4">
        <v>2.4</v>
      </c>
      <c r="P210" s="4"/>
      <c r="Q210" s="4" t="str">
        <f t="shared" si="16"/>
        <v>2.4</v>
      </c>
      <c r="R210" s="4" t="str">
        <f>VLOOKUP(J210,eq!$D$2:$K$42,8,)</f>
        <v>((pi*X2*100/32)*((a+b)^2 + (c+d)^2))*0.4</v>
      </c>
      <c r="S210" s="4" t="str">
        <f t="shared" si="19"/>
        <v>((3.141593*2.4*100/32)*((41+47)^2 + (41+47)^2))*0.4</v>
      </c>
      <c r="T210" s="4" cm="1">
        <f t="array" ref="T210">eval_dw/2</f>
        <v>72985.488575999989</v>
      </c>
      <c r="U210" s="1">
        <f>T210*2/VLOOKUP(J210,eq!$D$2:$G$42,4,)</f>
        <v>364927.44287999993</v>
      </c>
      <c r="V210" s="1">
        <f t="shared" si="20"/>
        <v>145970.97715199998</v>
      </c>
      <c r="W210" s="1" cm="1">
        <f t="array" ref="W210">IF(LEFT(J210,1)="S",eval_S/2,((3.141593*Q210/32)*((K210/100+L210/100)^2+(M210/100+N210/100)^2))*1000000*VLOOKUP(J210,eq!$D$2:$G$42,4,)/2)</f>
        <v>72985.488575999974</v>
      </c>
      <c r="X210" s="1">
        <f>((3.141593*Q210/32)*((K210+L210)^2+(M210+N210)^2))*1000000*VLOOKUP(J210,eq!$D$2:$G$42,4,)/2</f>
        <v>729854885.75999987</v>
      </c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customHeight="1">
      <c r="A211" s="1" t="s">
        <v>6</v>
      </c>
      <c r="B211" s="4">
        <v>22</v>
      </c>
      <c r="C211" s="2" t="s">
        <v>23</v>
      </c>
      <c r="D211" s="3" t="s">
        <v>17</v>
      </c>
      <c r="E211" s="4" t="s">
        <v>10</v>
      </c>
      <c r="F211" s="4" t="str">
        <f t="shared" si="17"/>
        <v>TN_22_CTRL_B4</v>
      </c>
      <c r="G211" s="4" t="s">
        <v>8</v>
      </c>
      <c r="H211" s="4" t="s">
        <v>9</v>
      </c>
      <c r="I211" s="4">
        <v>3</v>
      </c>
      <c r="J211" s="4" t="str">
        <f t="shared" si="18"/>
        <v>F_3_NA</v>
      </c>
      <c r="K211" s="4">
        <v>16</v>
      </c>
      <c r="L211" s="4">
        <v>18</v>
      </c>
      <c r="M211" s="4">
        <v>16</v>
      </c>
      <c r="N211" s="4">
        <v>18</v>
      </c>
      <c r="O211" s="4">
        <v>2.06</v>
      </c>
      <c r="P211" s="4"/>
      <c r="Q211" s="4" t="str">
        <f t="shared" si="16"/>
        <v>2.06</v>
      </c>
      <c r="R211" s="4" t="str">
        <f>VLOOKUP(J211,eq!$D$2:$K$42,8,)</f>
        <v>((pi*X2*100/32)*((a+b)^2 + (c+d)^2))*0.26</v>
      </c>
      <c r="S211" s="4" t="str">
        <f t="shared" si="19"/>
        <v>((3.141593*2.06*100/32)*((16+18)^2 + (16+18)^2))*0.26</v>
      </c>
      <c r="T211" s="4" cm="1">
        <f t="array" ref="T211">eval_dw/2</f>
        <v>6078.526924015001</v>
      </c>
      <c r="U211" s="1">
        <f>T211*2/VLOOKUP(J211,eq!$D$2:$G$42,4,)</f>
        <v>46757.899415500004</v>
      </c>
      <c r="V211" s="1">
        <f t="shared" si="20"/>
        <v>12157.053848030002</v>
      </c>
      <c r="W211" s="1" cm="1">
        <f t="array" ref="W211">IF(LEFT(J211,1)="S",eval_S/2,((3.141593*Q211/32)*((K211/100+L211/100)^2+(M211/100+N211/100)^2))*1000000*VLOOKUP(J211,eq!$D$2:$G$42,4,)/2)</f>
        <v>6078.5269240150001</v>
      </c>
      <c r="X211" s="1">
        <f>((3.141593*Q211/32)*((K211+L211)^2+(M211+N211)^2))*1000000*VLOOKUP(J211,eq!$D$2:$G$42,4,)/2</f>
        <v>60785269.240150005</v>
      </c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customHeight="1">
      <c r="A212" s="1" t="s">
        <v>6</v>
      </c>
      <c r="B212" s="4">
        <v>22</v>
      </c>
      <c r="C212" s="2" t="s">
        <v>22</v>
      </c>
      <c r="D212" s="3" t="s">
        <v>17</v>
      </c>
      <c r="E212" s="4" t="s">
        <v>13</v>
      </c>
      <c r="F212" s="4" t="str">
        <f t="shared" si="17"/>
        <v>TN_22_EX_B1</v>
      </c>
      <c r="G212" s="4" t="s">
        <v>8</v>
      </c>
      <c r="H212" s="4" t="s">
        <v>8</v>
      </c>
      <c r="I212" s="4" t="s">
        <v>8</v>
      </c>
      <c r="J212" s="4" t="str">
        <f t="shared" si="18"/>
        <v>NA_NA_NA</v>
      </c>
      <c r="K212" s="4"/>
      <c r="L212" s="4"/>
      <c r="M212" s="4"/>
      <c r="N212" s="4"/>
      <c r="O212" s="4"/>
      <c r="P212" s="4"/>
      <c r="Q212" s="4" t="str">
        <f t="shared" si="16"/>
        <v/>
      </c>
      <c r="R212" s="4">
        <f>VLOOKUP(J212,eq!$D$2:$K$42,8,)</f>
        <v>0</v>
      </c>
      <c r="S212" s="4" t="str">
        <f t="shared" si="19"/>
        <v>0</v>
      </c>
      <c r="T212" s="4" cm="1">
        <f t="array" ref="T212">eval_dw/2</f>
        <v>0</v>
      </c>
      <c r="U212" s="1" t="e">
        <f>T212*2/VLOOKUP(J212,eq!$D$2:$G$42,4,)</f>
        <v>#DIV/0!</v>
      </c>
      <c r="V212" s="1">
        <f t="shared" si="20"/>
        <v>0</v>
      </c>
      <c r="W212" s="1" t="e" cm="1">
        <f t="array" ref="W212">IF(LEFT(J212,1)="S",eval_S/2,((3.141593*Q212/32)*((K212/100+L212/100)^2+(M212/100+N212/100)^2))*1000000*VLOOKUP(J212,eq!$D$2:$G$42,4,)/2)</f>
        <v>#VALUE!</v>
      </c>
      <c r="X212" s="1" t="e">
        <f>((3.141593*Q212/32)*((K212+L212)^2+(M212+N212)^2))*1000000*VLOOKUP(J212,eq!$D$2:$G$42,4,)/2</f>
        <v>#VALUE!</v>
      </c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customHeight="1">
      <c r="A213" s="1" t="s">
        <v>6</v>
      </c>
      <c r="B213" s="4">
        <v>22</v>
      </c>
      <c r="C213" s="2" t="s">
        <v>22</v>
      </c>
      <c r="D213" s="3" t="s">
        <v>17</v>
      </c>
      <c r="E213" s="4" t="s">
        <v>7</v>
      </c>
      <c r="F213" s="4" t="str">
        <f t="shared" si="17"/>
        <v>TN_22_EX_B2</v>
      </c>
      <c r="G213" s="4" t="s">
        <v>8</v>
      </c>
      <c r="H213" s="4" t="s">
        <v>9</v>
      </c>
      <c r="I213" s="4">
        <v>3</v>
      </c>
      <c r="J213" s="4" t="str">
        <f t="shared" si="18"/>
        <v>F_3_NA</v>
      </c>
      <c r="K213" s="4">
        <v>18</v>
      </c>
      <c r="L213" s="4">
        <v>17</v>
      </c>
      <c r="M213" s="4">
        <v>18</v>
      </c>
      <c r="N213" s="4">
        <v>17</v>
      </c>
      <c r="O213" s="4">
        <v>1.21</v>
      </c>
      <c r="P213" s="4"/>
      <c r="Q213" s="4" t="str">
        <f t="shared" si="16"/>
        <v>1.21</v>
      </c>
      <c r="R213" s="4" t="str">
        <f>VLOOKUP(J213,eq!$D$2:$K$42,8,)</f>
        <v>((pi*X2*100/32)*((a+b)^2 + (c+d)^2))*0.26</v>
      </c>
      <c r="S213" s="4" t="str">
        <f t="shared" si="19"/>
        <v>((3.141593*1.21*100/32)*((18+17)^2 + (18+17)^2))*0.26</v>
      </c>
      <c r="T213" s="4" cm="1">
        <f t="array" ref="T213">eval_dw/2</f>
        <v>3783.5088072031249</v>
      </c>
      <c r="U213" s="1">
        <f>T213*2/VLOOKUP(J213,eq!$D$2:$G$42,4,)</f>
        <v>29103.913901562497</v>
      </c>
      <c r="V213" s="1">
        <f t="shared" si="20"/>
        <v>7567.0176144062498</v>
      </c>
      <c r="W213" s="1" cm="1">
        <f t="array" ref="W213">IF(LEFT(J213,1)="S",eval_S/2,((3.141593*Q213/32)*((K213/100+L213/100)^2+(M213/100+N213/100)^2))*1000000*VLOOKUP(J213,eq!$D$2:$G$42,4,)/2)</f>
        <v>3783.5088072031244</v>
      </c>
      <c r="X213" s="1">
        <f>((3.141593*Q213/32)*((K213+L213)^2+(M213+N213)^2))*1000000*VLOOKUP(J213,eq!$D$2:$G$42,4,)/2</f>
        <v>37835088.072031252</v>
      </c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customHeight="1">
      <c r="A214" s="1" t="s">
        <v>6</v>
      </c>
      <c r="B214" s="4">
        <v>22</v>
      </c>
      <c r="C214" s="2" t="s">
        <v>22</v>
      </c>
      <c r="D214" s="3" t="s">
        <v>17</v>
      </c>
      <c r="E214" s="4" t="s">
        <v>12</v>
      </c>
      <c r="F214" s="4" t="str">
        <f t="shared" si="17"/>
        <v>TN_22_EX_B3</v>
      </c>
      <c r="G214" s="4" t="s">
        <v>8</v>
      </c>
      <c r="H214" s="4" t="s">
        <v>9</v>
      </c>
      <c r="I214" s="4">
        <v>2</v>
      </c>
      <c r="J214" s="4" t="str">
        <f t="shared" si="18"/>
        <v>F_2_NA</v>
      </c>
      <c r="K214" s="4">
        <v>20</v>
      </c>
      <c r="L214" s="4">
        <v>26</v>
      </c>
      <c r="M214" s="4">
        <v>20</v>
      </c>
      <c r="N214" s="4">
        <v>26</v>
      </c>
      <c r="O214" s="4">
        <v>3.82</v>
      </c>
      <c r="P214" s="4"/>
      <c r="Q214" s="4" t="str">
        <f t="shared" si="16"/>
        <v>3.82</v>
      </c>
      <c r="R214" s="4" t="str">
        <f>VLOOKUP(J214,eq!$D$2:$K$42,8,)</f>
        <v>((pi*X2*100/32)*((a+b)^2 + (c+d)^2))*0.33</v>
      </c>
      <c r="S214" s="4" t="str">
        <f t="shared" si="19"/>
        <v>((3.141593*3.82*100/32)*((20+26)^2 + (20+26)^2))*0.33</v>
      </c>
      <c r="T214" s="4" cm="1">
        <f t="array" ref="T214">eval_dw/2</f>
        <v>26187.431747977498</v>
      </c>
      <c r="U214" s="1">
        <f>T214*2/VLOOKUP(J214,eq!$D$2:$G$42,4,)</f>
        <v>158711.70756349998</v>
      </c>
      <c r="V214" s="1">
        <f t="shared" si="20"/>
        <v>52374.863495954996</v>
      </c>
      <c r="W214" s="1" cm="1">
        <f t="array" ref="W214">IF(LEFT(J214,1)="S",eval_S/2,((3.141593*Q214/32)*((K214/100+L214/100)^2+(M214/100+N214/100)^2))*1000000*VLOOKUP(J214,eq!$D$2:$G$42,4,)/2)</f>
        <v>26187.431747977498</v>
      </c>
      <c r="X214" s="1">
        <f>((3.141593*Q214/32)*((K214+L214)^2+(M214+N214)^2))*1000000*VLOOKUP(J214,eq!$D$2:$G$42,4,)/2</f>
        <v>261874317.47977498</v>
      </c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customHeight="1">
      <c r="A215" s="1" t="s">
        <v>6</v>
      </c>
      <c r="B215" s="4">
        <v>22</v>
      </c>
      <c r="C215" s="2" t="s">
        <v>22</v>
      </c>
      <c r="D215" s="3" t="s">
        <v>17</v>
      </c>
      <c r="E215" s="4" t="s">
        <v>12</v>
      </c>
      <c r="F215" s="4" t="str">
        <f t="shared" si="17"/>
        <v>TN_22_EX_B3</v>
      </c>
      <c r="G215" s="4" t="s">
        <v>8</v>
      </c>
      <c r="H215" s="4" t="s">
        <v>9</v>
      </c>
      <c r="I215" s="4">
        <v>2</v>
      </c>
      <c r="J215" s="4" t="str">
        <f t="shared" si="18"/>
        <v>F_2_NA</v>
      </c>
      <c r="K215" s="4">
        <v>17</v>
      </c>
      <c r="L215" s="4">
        <v>19</v>
      </c>
      <c r="M215" s="4">
        <v>17</v>
      </c>
      <c r="N215" s="4">
        <v>19</v>
      </c>
      <c r="O215" s="4">
        <v>3.46</v>
      </c>
      <c r="P215" s="4"/>
      <c r="Q215" s="4" t="str">
        <f t="shared" si="16"/>
        <v>3.46</v>
      </c>
      <c r="R215" s="4" t="str">
        <f>VLOOKUP(J215,eq!$D$2:$K$42,8,)</f>
        <v>((pi*X2*100/32)*((a+b)^2 + (c+d)^2))*0.33</v>
      </c>
      <c r="S215" s="4" t="str">
        <f t="shared" si="19"/>
        <v>((3.141593*3.46*100/32)*((17+19)^2 + (17+19)^2))*0.33</v>
      </c>
      <c r="T215" s="4" cm="1">
        <f t="array" ref="T215">eval_dw/2</f>
        <v>14527.637093970001</v>
      </c>
      <c r="U215" s="1">
        <f>T215*2/VLOOKUP(J215,eq!$D$2:$G$42,4,)</f>
        <v>88046.285417999999</v>
      </c>
      <c r="V215" s="1">
        <f t="shared" si="20"/>
        <v>29055.274187940002</v>
      </c>
      <c r="W215" s="1" cm="1">
        <f t="array" ref="W215">IF(LEFT(J215,1)="S",eval_S/2,((3.141593*Q215/32)*((K215/100+L215/100)^2+(M215/100+N215/100)^2))*1000000*VLOOKUP(J215,eq!$D$2:$G$42,4,)/2)</f>
        <v>14527.637093969997</v>
      </c>
      <c r="X215" s="1">
        <f>((3.141593*Q215/32)*((K215+L215)^2+(M215+N215)^2))*1000000*VLOOKUP(J215,eq!$D$2:$G$42,4,)/2</f>
        <v>145276370.93970001</v>
      </c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customHeight="1">
      <c r="A216" s="1" t="s">
        <v>6</v>
      </c>
      <c r="B216" s="4">
        <v>22</v>
      </c>
      <c r="C216" s="2" t="s">
        <v>22</v>
      </c>
      <c r="D216" s="3" t="s">
        <v>17</v>
      </c>
      <c r="E216" s="4" t="s">
        <v>12</v>
      </c>
      <c r="F216" s="4" t="str">
        <f t="shared" si="17"/>
        <v>TN_22_EX_B3</v>
      </c>
      <c r="G216" s="4" t="s">
        <v>8</v>
      </c>
      <c r="H216" s="4" t="s">
        <v>9</v>
      </c>
      <c r="I216" s="4">
        <v>2</v>
      </c>
      <c r="J216" s="4" t="str">
        <f t="shared" si="18"/>
        <v>F_2_NA</v>
      </c>
      <c r="K216" s="4">
        <v>16</v>
      </c>
      <c r="L216" s="4">
        <v>17</v>
      </c>
      <c r="M216" s="4">
        <v>16</v>
      </c>
      <c r="N216" s="4">
        <v>17</v>
      </c>
      <c r="O216" s="4">
        <v>3.36</v>
      </c>
      <c r="P216" s="4"/>
      <c r="Q216" s="4" t="str">
        <f t="shared" si="16"/>
        <v>3.36</v>
      </c>
      <c r="R216" s="4" t="str">
        <f>VLOOKUP(J216,eq!$D$2:$K$42,8,)</f>
        <v>((pi*X2*100/32)*((a+b)^2 + (c+d)^2))*0.33</v>
      </c>
      <c r="S216" s="4" t="str">
        <f t="shared" si="19"/>
        <v>((3.141593*3.36*100/32)*((16+17)^2 + (16+17)^2))*0.33</v>
      </c>
      <c r="T216" s="4" cm="1">
        <f t="array" ref="T216">eval_dw/2</f>
        <v>11854.439902304999</v>
      </c>
      <c r="U216" s="1">
        <f>T216*2/VLOOKUP(J216,eq!$D$2:$G$42,4,)</f>
        <v>71845.090316999995</v>
      </c>
      <c r="V216" s="1">
        <f t="shared" si="20"/>
        <v>23708.879804609998</v>
      </c>
      <c r="W216" s="1" cm="1">
        <f t="array" ref="W216">IF(LEFT(J216,1)="S",eval_S/2,((3.141593*Q216/32)*((K216/100+L216/100)^2+(M216/100+N216/100)^2))*1000000*VLOOKUP(J216,eq!$D$2:$G$42,4,)/2)</f>
        <v>11854.439902304999</v>
      </c>
      <c r="X216" s="1">
        <f>((3.141593*Q216/32)*((K216+L216)^2+(M216+N216)^2))*1000000*VLOOKUP(J216,eq!$D$2:$G$42,4,)/2</f>
        <v>118544399.02305</v>
      </c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customHeight="1">
      <c r="A217" s="1" t="s">
        <v>6</v>
      </c>
      <c r="B217" s="4">
        <v>22</v>
      </c>
      <c r="C217" s="2" t="s">
        <v>22</v>
      </c>
      <c r="D217" s="3" t="s">
        <v>17</v>
      </c>
      <c r="E217" s="4" t="s">
        <v>12</v>
      </c>
      <c r="F217" s="4" t="str">
        <f t="shared" si="17"/>
        <v>TN_22_EX_B3</v>
      </c>
      <c r="G217" s="4" t="s">
        <v>8</v>
      </c>
      <c r="H217" s="4" t="s">
        <v>9</v>
      </c>
      <c r="I217" s="4">
        <v>2</v>
      </c>
      <c r="J217" s="4" t="str">
        <f t="shared" si="18"/>
        <v>F_2_NA</v>
      </c>
      <c r="K217" s="4">
        <v>17</v>
      </c>
      <c r="L217" s="4">
        <v>20</v>
      </c>
      <c r="M217" s="4">
        <v>17</v>
      </c>
      <c r="N217" s="4">
        <v>20</v>
      </c>
      <c r="O217" s="4">
        <v>2.15</v>
      </c>
      <c r="P217" s="4"/>
      <c r="Q217" s="4" t="str">
        <f t="shared" si="16"/>
        <v>2.15</v>
      </c>
      <c r="R217" s="4" t="str">
        <f>VLOOKUP(J217,eq!$D$2:$K$42,8,)</f>
        <v>((pi*X2*100/32)*((a+b)^2 + (c+d)^2))*0.33</v>
      </c>
      <c r="S217" s="4" t="str">
        <f t="shared" si="19"/>
        <v>((3.141593*2.15*100/32)*((17+20)^2 + (17+20)^2))*0.33</v>
      </c>
      <c r="T217" s="4" cm="1">
        <f t="array" ref="T217">eval_dw/2</f>
        <v>9535.7704989421873</v>
      </c>
      <c r="U217" s="1">
        <f>T217*2/VLOOKUP(J217,eq!$D$2:$G$42,4,)</f>
        <v>57792.548478437493</v>
      </c>
      <c r="V217" s="1">
        <f t="shared" si="20"/>
        <v>19071.540997884375</v>
      </c>
      <c r="W217" s="1" cm="1">
        <f t="array" ref="W217">IF(LEFT(J217,1)="S",eval_S/2,((3.141593*Q217/32)*((K217/100+L217/100)^2+(M217/100+N217/100)^2))*1000000*VLOOKUP(J217,eq!$D$2:$G$42,4,)/2)</f>
        <v>9535.7704989421873</v>
      </c>
      <c r="X217" s="1">
        <f>((3.141593*Q217/32)*((K217+L217)^2+(M217+N217)^2))*1000000*VLOOKUP(J217,eq!$D$2:$G$42,4,)/2</f>
        <v>95357704.989421874</v>
      </c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customHeight="1">
      <c r="A218" s="1" t="s">
        <v>6</v>
      </c>
      <c r="B218" s="4">
        <v>22</v>
      </c>
      <c r="C218" s="2" t="s">
        <v>22</v>
      </c>
      <c r="D218" s="3" t="s">
        <v>17</v>
      </c>
      <c r="E218" s="4" t="s">
        <v>10</v>
      </c>
      <c r="F218" s="4" t="str">
        <f t="shared" si="17"/>
        <v>TN_22_EX_B4</v>
      </c>
      <c r="G218" s="4" t="s">
        <v>8</v>
      </c>
      <c r="H218" s="4" t="s">
        <v>32</v>
      </c>
      <c r="I218" s="4">
        <v>4</v>
      </c>
      <c r="J218" s="4" t="str">
        <f t="shared" si="18"/>
        <v>T_4_NA</v>
      </c>
      <c r="K218" s="4">
        <v>17</v>
      </c>
      <c r="L218" s="4">
        <v>21</v>
      </c>
      <c r="M218" s="4">
        <v>17</v>
      </c>
      <c r="N218" s="4">
        <v>21</v>
      </c>
      <c r="O218" s="4"/>
      <c r="P218" s="4">
        <v>0.83</v>
      </c>
      <c r="Q218" s="4" t="str">
        <f t="shared" si="16"/>
        <v>0.83</v>
      </c>
      <c r="R218" s="4" t="str">
        <f>VLOOKUP(J218,eq!$D$2:$K$42,8,)</f>
        <v>((pi*X2*100/32)*((a+b)^2 + (c+d)^2))*0.25</v>
      </c>
      <c r="S218" s="4" t="str">
        <f t="shared" si="19"/>
        <v>((3.141593*0.83*100/32)*((17+21)^2 + (17+21)^2))*0.25</v>
      </c>
      <c r="T218" s="4" cm="1">
        <f t="array" ref="T218">eval_dw/2</f>
        <v>2941.6109705937497</v>
      </c>
      <c r="U218" s="1">
        <f>T218*2/VLOOKUP(J218,eq!$D$2:$G$42,4,)</f>
        <v>23532.887764749998</v>
      </c>
      <c r="V218" s="1">
        <f t="shared" si="20"/>
        <v>5883.2219411874994</v>
      </c>
      <c r="W218" s="1" cm="1">
        <f t="array" ref="W218">IF(LEFT(J218,1)="S",eval_S/2,((3.141593*Q218/32)*((K218/100+L218/100)^2+(M218/100+N218/100)^2))*1000000*VLOOKUP(J218,eq!$D$2:$G$42,4,)/2)</f>
        <v>2941.6109705937497</v>
      </c>
      <c r="X218" s="1">
        <f>((3.141593*Q218/32)*((K218+L218)^2+(M218+N218)^2))*1000000*VLOOKUP(J218,eq!$D$2:$G$42,4,)/2</f>
        <v>29416109.705937497</v>
      </c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customHeight="1">
      <c r="A219" s="1" t="s">
        <v>6</v>
      </c>
      <c r="B219" s="4">
        <v>22</v>
      </c>
      <c r="C219" s="2" t="s">
        <v>22</v>
      </c>
      <c r="D219" s="3" t="s">
        <v>17</v>
      </c>
      <c r="E219" s="4" t="s">
        <v>10</v>
      </c>
      <c r="F219" s="4" t="str">
        <f t="shared" si="17"/>
        <v>TN_22_EX_B4</v>
      </c>
      <c r="G219" s="4" t="s">
        <v>8</v>
      </c>
      <c r="H219" s="4" t="s">
        <v>9</v>
      </c>
      <c r="I219" s="4">
        <v>3</v>
      </c>
      <c r="J219" s="4" t="str">
        <f t="shared" si="18"/>
        <v>F_3_NA</v>
      </c>
      <c r="K219" s="4">
        <v>13</v>
      </c>
      <c r="L219" s="4">
        <v>17</v>
      </c>
      <c r="M219" s="4">
        <v>13</v>
      </c>
      <c r="N219" s="4">
        <v>17</v>
      </c>
      <c r="O219" s="4">
        <v>0.98</v>
      </c>
      <c r="P219" s="4"/>
      <c r="Q219" s="4" t="str">
        <f t="shared" si="16"/>
        <v>0.98</v>
      </c>
      <c r="R219" s="4" t="str">
        <f>VLOOKUP(J219,eq!$D$2:$K$42,8,)</f>
        <v>((pi*X2*100/32)*((a+b)^2 + (c+d)^2))*0.26</v>
      </c>
      <c r="S219" s="4" t="str">
        <f t="shared" si="19"/>
        <v>((3.141593*0.98*100/32)*((13+17)^2 + (13+17)^2))*0.26</v>
      </c>
      <c r="T219" s="4" cm="1">
        <f t="array" ref="T219">eval_dw/2</f>
        <v>2251.3440836249997</v>
      </c>
      <c r="U219" s="1">
        <f>T219*2/VLOOKUP(J219,eq!$D$2:$G$42,4,)</f>
        <v>17318.031412499997</v>
      </c>
      <c r="V219" s="1">
        <f t="shared" si="20"/>
        <v>4502.6881672499994</v>
      </c>
      <c r="W219" s="1" cm="1">
        <f t="array" ref="W219">IF(LEFT(J219,1)="S",eval_S/2,((3.141593*Q219/32)*((K219/100+L219/100)^2+(M219/100+N219/100)^2))*1000000*VLOOKUP(J219,eq!$D$2:$G$42,4,)/2)</f>
        <v>2251.3440836250006</v>
      </c>
      <c r="X219" s="1">
        <f>((3.141593*Q219/32)*((K219+L219)^2+(M219+N219)^2))*1000000*VLOOKUP(J219,eq!$D$2:$G$42,4,)/2</f>
        <v>22513440.83625</v>
      </c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customHeight="1">
      <c r="A220" s="1" t="s">
        <v>6</v>
      </c>
      <c r="B220" s="4">
        <v>22</v>
      </c>
      <c r="C220" s="2" t="s">
        <v>22</v>
      </c>
      <c r="D220" s="3" t="s">
        <v>17</v>
      </c>
      <c r="E220" s="4" t="s">
        <v>10</v>
      </c>
      <c r="F220" s="4" t="str">
        <f t="shared" si="17"/>
        <v>TN_22_EX_B4</v>
      </c>
      <c r="G220" s="4" t="s">
        <v>8</v>
      </c>
      <c r="H220" s="4" t="s">
        <v>9</v>
      </c>
      <c r="I220" s="4">
        <v>4</v>
      </c>
      <c r="J220" s="4" t="str">
        <f t="shared" si="18"/>
        <v>F_4_NA</v>
      </c>
      <c r="K220" s="4">
        <v>18</v>
      </c>
      <c r="L220" s="4">
        <v>18</v>
      </c>
      <c r="M220" s="4">
        <v>18</v>
      </c>
      <c r="N220" s="4">
        <v>18</v>
      </c>
      <c r="O220" s="4">
        <v>0.85</v>
      </c>
      <c r="P220" s="4"/>
      <c r="Q220" s="4" t="str">
        <f t="shared" si="16"/>
        <v>0.85</v>
      </c>
      <c r="R220" s="4" t="str">
        <f>VLOOKUP(J220,eq!$D$2:$K$42,8,)</f>
        <v>((pi*X2*100/32)*((a+b)^2 + (c+d)^2))*0.15</v>
      </c>
      <c r="S220" s="4" t="str">
        <f t="shared" si="19"/>
        <v>((3.141593*0.85*100/32)*((18+18)^2 + (18+18)^2))*0.15</v>
      </c>
      <c r="T220" s="4" cm="1">
        <f t="array" ref="T220">eval_dw/2</f>
        <v>1622.2400853749998</v>
      </c>
      <c r="U220" s="1">
        <f>T220*2/VLOOKUP(J220,eq!$D$2:$G$42,4,)</f>
        <v>21629.867804999998</v>
      </c>
      <c r="V220" s="1">
        <f t="shared" si="20"/>
        <v>3244.4801707499996</v>
      </c>
      <c r="W220" s="1" cm="1">
        <f t="array" ref="W220">IF(LEFT(J220,1)="S",eval_S/2,((3.141593*Q220/32)*((K220/100+L220/100)^2+(M220/100+N220/100)^2))*1000000*VLOOKUP(J220,eq!$D$2:$G$42,4,)/2)</f>
        <v>1622.2400853749998</v>
      </c>
      <c r="X220" s="1">
        <f>((3.141593*Q220/32)*((K220+L220)^2+(M220+N220)^2))*1000000*VLOOKUP(J220,eq!$D$2:$G$42,4,)/2</f>
        <v>16222400.853749998</v>
      </c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customHeight="1">
      <c r="A221" s="1" t="s">
        <v>6</v>
      </c>
      <c r="B221" s="4">
        <v>23</v>
      </c>
      <c r="C221" s="1" t="s">
        <v>8</v>
      </c>
      <c r="D221" s="3" t="s">
        <v>17</v>
      </c>
      <c r="E221" s="4" t="s">
        <v>13</v>
      </c>
      <c r="F221" s="4" t="str">
        <f t="shared" si="17"/>
        <v>TN_23_NA_B1</v>
      </c>
      <c r="G221" s="4" t="s">
        <v>8</v>
      </c>
      <c r="H221" s="4" t="s">
        <v>8</v>
      </c>
      <c r="I221" s="4" t="s">
        <v>8</v>
      </c>
      <c r="J221" s="4" t="str">
        <f t="shared" si="18"/>
        <v>NA_NA_NA</v>
      </c>
      <c r="K221" s="4"/>
      <c r="L221" s="4"/>
      <c r="M221" s="4"/>
      <c r="N221" s="4"/>
      <c r="O221" s="4"/>
      <c r="P221" s="4"/>
      <c r="Q221" s="4" t="str">
        <f t="shared" si="16"/>
        <v/>
      </c>
      <c r="R221" s="4">
        <f>VLOOKUP(J221,eq!$D$2:$K$42,8,)</f>
        <v>0</v>
      </c>
      <c r="S221" s="4" t="str">
        <f t="shared" si="19"/>
        <v>0</v>
      </c>
      <c r="T221" s="4" cm="1">
        <f t="array" ref="T221">eval_dw/2</f>
        <v>0</v>
      </c>
      <c r="U221" s="1" t="e">
        <f>T221*2/VLOOKUP(J221,eq!$D$2:$G$42,4,)</f>
        <v>#DIV/0!</v>
      </c>
      <c r="V221" s="1">
        <f t="shared" si="20"/>
        <v>0</v>
      </c>
      <c r="W221" s="1" t="e" cm="1">
        <f t="array" ref="W221">IF(LEFT(J221,1)="S",eval_S/2,((3.141593*Q221/32)*((K221/100+L221/100)^2+(M221/100+N221/100)^2))*1000000*VLOOKUP(J221,eq!$D$2:$G$42,4,)/2)</f>
        <v>#VALUE!</v>
      </c>
      <c r="X221" s="1" t="e">
        <f>((3.141593*Q221/32)*((K221+L221)^2+(M221+N221)^2))*1000000*VLOOKUP(J221,eq!$D$2:$G$42,4,)/2</f>
        <v>#VALUE!</v>
      </c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customHeight="1">
      <c r="A222" s="1" t="s">
        <v>6</v>
      </c>
      <c r="B222" s="4">
        <v>23</v>
      </c>
      <c r="C222" s="1" t="s">
        <v>8</v>
      </c>
      <c r="D222" s="3" t="s">
        <v>17</v>
      </c>
      <c r="E222" s="4" t="s">
        <v>7</v>
      </c>
      <c r="F222" s="4" t="str">
        <f t="shared" si="17"/>
        <v>TN_23_NA_B2</v>
      </c>
      <c r="G222" s="4" t="s">
        <v>8</v>
      </c>
      <c r="H222" s="4" t="s">
        <v>8</v>
      </c>
      <c r="I222" s="4" t="s">
        <v>8</v>
      </c>
      <c r="J222" s="4" t="str">
        <f t="shared" si="18"/>
        <v>NA_NA_NA</v>
      </c>
      <c r="K222" s="4"/>
      <c r="L222" s="4"/>
      <c r="M222" s="4"/>
      <c r="N222" s="4"/>
      <c r="O222" s="4"/>
      <c r="P222" s="4"/>
      <c r="Q222" s="4" t="str">
        <f t="shared" si="16"/>
        <v/>
      </c>
      <c r="R222" s="4">
        <f>VLOOKUP(J222,eq!$D$2:$K$42,8,)</f>
        <v>0</v>
      </c>
      <c r="S222" s="4" t="str">
        <f t="shared" si="19"/>
        <v>0</v>
      </c>
      <c r="T222" s="4" cm="1">
        <f t="array" ref="T222">eval_dw/2</f>
        <v>0</v>
      </c>
      <c r="U222" s="1" t="e">
        <f>T222*2/VLOOKUP(J222,eq!$D$2:$G$42,4,)</f>
        <v>#DIV/0!</v>
      </c>
      <c r="V222" s="1">
        <f t="shared" si="20"/>
        <v>0</v>
      </c>
      <c r="W222" s="1" t="e" cm="1">
        <f t="array" ref="W222">IF(LEFT(J222,1)="S",eval_S/2,((3.141593*Q222/32)*((K222/100+L222/100)^2+(M222/100+N222/100)^2))*1000000*VLOOKUP(J222,eq!$D$2:$G$42,4,)/2)</f>
        <v>#VALUE!</v>
      </c>
      <c r="X222" s="1" t="e">
        <f>((3.141593*Q222/32)*((K222+L222)^2+(M222+N222)^2))*1000000*VLOOKUP(J222,eq!$D$2:$G$42,4,)/2</f>
        <v>#VALUE!</v>
      </c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customHeight="1">
      <c r="A223" s="1" t="s">
        <v>6</v>
      </c>
      <c r="B223" s="4">
        <v>23</v>
      </c>
      <c r="C223" s="1" t="s">
        <v>8</v>
      </c>
      <c r="D223" s="3" t="s">
        <v>17</v>
      </c>
      <c r="E223" s="4" t="s">
        <v>12</v>
      </c>
      <c r="F223" s="4" t="str">
        <f t="shared" si="17"/>
        <v>TN_23_NA_B3</v>
      </c>
      <c r="G223" s="4" t="s">
        <v>8</v>
      </c>
      <c r="H223" s="4" t="s">
        <v>8</v>
      </c>
      <c r="I223" s="4" t="s">
        <v>8</v>
      </c>
      <c r="J223" s="4" t="str">
        <f t="shared" si="18"/>
        <v>NA_NA_NA</v>
      </c>
      <c r="K223" s="4"/>
      <c r="L223" s="4"/>
      <c r="M223" s="4"/>
      <c r="N223" s="4"/>
      <c r="O223" s="4"/>
      <c r="P223" s="4"/>
      <c r="Q223" s="4" t="str">
        <f t="shared" si="16"/>
        <v/>
      </c>
      <c r="R223" s="4">
        <f>VLOOKUP(J223,eq!$D$2:$K$42,8,)</f>
        <v>0</v>
      </c>
      <c r="S223" s="4" t="str">
        <f t="shared" si="19"/>
        <v>0</v>
      </c>
      <c r="T223" s="4" cm="1">
        <f t="array" ref="T223">eval_dw/2</f>
        <v>0</v>
      </c>
      <c r="U223" s="1" t="e">
        <f>T223*2/VLOOKUP(J223,eq!$D$2:$G$42,4,)</f>
        <v>#DIV/0!</v>
      </c>
      <c r="V223" s="1">
        <f t="shared" si="20"/>
        <v>0</v>
      </c>
      <c r="W223" s="1" t="e" cm="1">
        <f t="array" ref="W223">IF(LEFT(J223,1)="S",eval_S/2,((3.141593*Q223/32)*((K223/100+L223/100)^2+(M223/100+N223/100)^2))*1000000*VLOOKUP(J223,eq!$D$2:$G$42,4,)/2)</f>
        <v>#VALUE!</v>
      </c>
      <c r="X223" s="1" t="e">
        <f>((3.141593*Q223/32)*((K223+L223)^2+(M223+N223)^2))*1000000*VLOOKUP(J223,eq!$D$2:$G$42,4,)/2</f>
        <v>#VALUE!</v>
      </c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customHeight="1">
      <c r="A224" s="1" t="s">
        <v>6</v>
      </c>
      <c r="B224" s="4">
        <v>23</v>
      </c>
      <c r="C224" s="1" t="s">
        <v>8</v>
      </c>
      <c r="D224" s="3" t="s">
        <v>17</v>
      </c>
      <c r="E224" s="4" t="s">
        <v>10</v>
      </c>
      <c r="F224" s="4" t="str">
        <f t="shared" si="17"/>
        <v>TN_23_NA_B4</v>
      </c>
      <c r="G224" s="4" t="s">
        <v>8</v>
      </c>
      <c r="H224" s="4" t="s">
        <v>9</v>
      </c>
      <c r="I224" s="4">
        <v>4</v>
      </c>
      <c r="J224" s="4" t="str">
        <f t="shared" si="18"/>
        <v>F_4_NA</v>
      </c>
      <c r="K224" s="4">
        <v>8</v>
      </c>
      <c r="L224" s="4">
        <v>9</v>
      </c>
      <c r="M224" s="4">
        <v>22</v>
      </c>
      <c r="N224" s="4">
        <v>12</v>
      </c>
      <c r="O224" s="4">
        <v>1.4</v>
      </c>
      <c r="P224" s="4"/>
      <c r="Q224" s="4" t="str">
        <f t="shared" si="16"/>
        <v>1.4</v>
      </c>
      <c r="R224" s="4" t="str">
        <f>VLOOKUP(J224,eq!$D$2:$K$42,8,)</f>
        <v>((pi*X2*100/32)*((a+b)^2 + (c+d)^2))*0.15</v>
      </c>
      <c r="S224" s="4" t="str">
        <f t="shared" si="19"/>
        <v>((3.141593*1.4*100/32)*((8+9)^2 + (22+12)^2))*0.15</v>
      </c>
      <c r="T224" s="4" cm="1">
        <f t="array" ref="T224">eval_dw/2</f>
        <v>1489.5568685156247</v>
      </c>
      <c r="U224" s="1">
        <f>T224*2/VLOOKUP(J224,eq!$D$2:$G$42,4,)</f>
        <v>19860.758246874997</v>
      </c>
      <c r="V224" s="1">
        <f t="shared" si="20"/>
        <v>2979.1137370312495</v>
      </c>
      <c r="W224" s="1" cm="1">
        <f t="array" ref="W224">IF(LEFT(J224,1)="S",eval_S/2,((3.141593*Q224/32)*((K224/100+L224/100)^2+(M224/100+N224/100)^2))*1000000*VLOOKUP(J224,eq!$D$2:$G$42,4,)/2)</f>
        <v>1489.5568685156245</v>
      </c>
      <c r="X224" s="1">
        <f>((3.141593*Q224/32)*((K224+L224)^2+(M224+N224)^2))*1000000*VLOOKUP(J224,eq!$D$2:$G$42,4,)/2</f>
        <v>14895568.685156247</v>
      </c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customHeight="1">
      <c r="A225" s="1" t="s">
        <v>6</v>
      </c>
      <c r="B225" s="4">
        <v>24</v>
      </c>
      <c r="C225" s="1" t="s">
        <v>8</v>
      </c>
      <c r="D225" s="3" t="s">
        <v>17</v>
      </c>
      <c r="E225" s="4" t="s">
        <v>13</v>
      </c>
      <c r="F225" s="4" t="str">
        <f t="shared" si="17"/>
        <v>TN_24_NA_B1</v>
      </c>
      <c r="G225" s="4" t="s">
        <v>8</v>
      </c>
      <c r="H225" s="4" t="s">
        <v>9</v>
      </c>
      <c r="I225" s="4">
        <v>4</v>
      </c>
      <c r="J225" s="4" t="str">
        <f t="shared" si="18"/>
        <v>F_4_NA</v>
      </c>
      <c r="K225" s="4">
        <v>43</v>
      </c>
      <c r="L225" s="4">
        <v>11</v>
      </c>
      <c r="M225" s="4">
        <v>29</v>
      </c>
      <c r="N225" s="4">
        <v>18</v>
      </c>
      <c r="O225" s="4">
        <v>3.28</v>
      </c>
      <c r="P225" s="4"/>
      <c r="Q225" s="4" t="str">
        <f t="shared" si="16"/>
        <v>3.28</v>
      </c>
      <c r="R225" s="4" t="str">
        <f>VLOOKUP(J225,eq!$D$2:$K$42,8,)</f>
        <v>((pi*X2*100/32)*((a+b)^2 + (c+d)^2))*0.15</v>
      </c>
      <c r="S225" s="4" t="str">
        <f t="shared" si="19"/>
        <v>((3.141593*3.28*100/32)*((43+11)^2 + (29+18)^2))*0.15</v>
      </c>
      <c r="T225" s="4" cm="1">
        <f t="array" ref="T225">eval_dw/2</f>
        <v>12377.385546093748</v>
      </c>
      <c r="U225" s="1">
        <f>T225*2/VLOOKUP(J225,eq!$D$2:$G$42,4,)</f>
        <v>165031.80728124999</v>
      </c>
      <c r="V225" s="1">
        <f t="shared" si="20"/>
        <v>24754.771092187497</v>
      </c>
      <c r="W225" s="1" cm="1">
        <f t="array" ref="W225">IF(LEFT(J225,1)="S",eval_S/2,((3.141593*Q225/32)*((K225/100+L225/100)^2+(M225/100+N225/100)^2))*1000000*VLOOKUP(J225,eq!$D$2:$G$42,4,)/2)</f>
        <v>12377.385546093745</v>
      </c>
      <c r="X225" s="1">
        <f>((3.141593*Q225/32)*((K225+L225)^2+(M225+N225)^2))*1000000*VLOOKUP(J225,eq!$D$2:$G$42,4,)/2</f>
        <v>123773855.46093746</v>
      </c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customHeight="1">
      <c r="A226" s="1" t="s">
        <v>6</v>
      </c>
      <c r="B226" s="4">
        <v>24</v>
      </c>
      <c r="C226" s="1" t="s">
        <v>8</v>
      </c>
      <c r="D226" s="3" t="s">
        <v>17</v>
      </c>
      <c r="E226" s="4" t="s">
        <v>13</v>
      </c>
      <c r="F226" s="4" t="str">
        <f t="shared" si="17"/>
        <v>TN_24_NA_B1</v>
      </c>
      <c r="G226" s="4" t="s">
        <v>8</v>
      </c>
      <c r="H226" s="4" t="s">
        <v>9</v>
      </c>
      <c r="I226" s="4">
        <v>3</v>
      </c>
      <c r="J226" s="4" t="str">
        <f t="shared" si="18"/>
        <v>F_3_NA</v>
      </c>
      <c r="K226" s="4">
        <v>23</v>
      </c>
      <c r="L226" s="4">
        <v>27</v>
      </c>
      <c r="M226" s="4">
        <v>11</v>
      </c>
      <c r="N226" s="4">
        <v>10</v>
      </c>
      <c r="O226" s="4">
        <v>0.52</v>
      </c>
      <c r="P226" s="4"/>
      <c r="Q226" s="4" t="str">
        <f t="shared" si="16"/>
        <v>0.52</v>
      </c>
      <c r="R226" s="4" t="str">
        <f>VLOOKUP(J226,eq!$D$2:$K$42,8,)</f>
        <v>((pi*X2*100/32)*((a+b)^2 + (c+d)^2))*0.26</v>
      </c>
      <c r="S226" s="4" t="str">
        <f t="shared" si="19"/>
        <v>((3.141593*0.52*100/32)*((23+27)^2 + (11+10)^2))*0.26</v>
      </c>
      <c r="T226" s="4" cm="1">
        <f t="array" ref="T226">eval_dw/2</f>
        <v>1951.8285339962499</v>
      </c>
      <c r="U226" s="1">
        <f>T226*2/VLOOKUP(J226,eq!$D$2:$G$42,4,)</f>
        <v>15014.065646124998</v>
      </c>
      <c r="V226" s="1">
        <f t="shared" si="20"/>
        <v>3903.6570679924998</v>
      </c>
      <c r="W226" s="1" cm="1">
        <f t="array" ref="W226">IF(LEFT(J226,1)="S",eval_S/2,((3.141593*Q226/32)*((K226/100+L226/100)^2+(M226/100+N226/100)^2))*1000000*VLOOKUP(J226,eq!$D$2:$G$42,4,)/2)</f>
        <v>1951.8285339962501</v>
      </c>
      <c r="X226" s="1">
        <f>((3.141593*Q226/32)*((K226+L226)^2+(M226+N226)^2))*1000000*VLOOKUP(J226,eq!$D$2:$G$42,4,)/2</f>
        <v>19518285.339962497</v>
      </c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customHeight="1">
      <c r="A227" s="1" t="s">
        <v>6</v>
      </c>
      <c r="B227" s="4">
        <v>24</v>
      </c>
      <c r="C227" s="1" t="s">
        <v>8</v>
      </c>
      <c r="D227" s="3" t="s">
        <v>17</v>
      </c>
      <c r="E227" s="4" t="s">
        <v>7</v>
      </c>
      <c r="F227" s="4" t="str">
        <f t="shared" si="17"/>
        <v>TN_24_NA_B2</v>
      </c>
      <c r="G227" s="4" t="s">
        <v>8</v>
      </c>
      <c r="H227" s="4" t="s">
        <v>8</v>
      </c>
      <c r="I227" s="4" t="s">
        <v>8</v>
      </c>
      <c r="J227" s="4" t="str">
        <f t="shared" si="18"/>
        <v>NA_NA_NA</v>
      </c>
      <c r="K227" s="4"/>
      <c r="L227" s="4"/>
      <c r="M227" s="4"/>
      <c r="N227" s="4"/>
      <c r="O227" s="4"/>
      <c r="P227" s="4"/>
      <c r="Q227" s="4" t="str">
        <f t="shared" si="16"/>
        <v/>
      </c>
      <c r="R227" s="4">
        <f>VLOOKUP(J227,eq!$D$2:$K$42,8,)</f>
        <v>0</v>
      </c>
      <c r="S227" s="4" t="str">
        <f t="shared" si="19"/>
        <v>0</v>
      </c>
      <c r="T227" s="4" cm="1">
        <f t="array" ref="T227">eval_dw/2</f>
        <v>0</v>
      </c>
      <c r="U227" s="1" t="e">
        <f>T227*2/VLOOKUP(J227,eq!$D$2:$G$42,4,)</f>
        <v>#DIV/0!</v>
      </c>
      <c r="V227" s="1">
        <f t="shared" si="20"/>
        <v>0</v>
      </c>
      <c r="W227" s="1" t="e" cm="1">
        <f t="array" ref="W227">IF(LEFT(J227,1)="S",eval_S/2,((3.141593*Q227/32)*((K227/100+L227/100)^2+(M227/100+N227/100)^2))*1000000*VLOOKUP(J227,eq!$D$2:$G$42,4,)/2)</f>
        <v>#VALUE!</v>
      </c>
      <c r="X227" s="1" t="e">
        <f>((3.141593*Q227/32)*((K227+L227)^2+(M227+N227)^2))*1000000*VLOOKUP(J227,eq!$D$2:$G$42,4,)/2</f>
        <v>#VALUE!</v>
      </c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customHeight="1">
      <c r="A228" s="1" t="s">
        <v>6</v>
      </c>
      <c r="B228" s="4">
        <v>24</v>
      </c>
      <c r="C228" s="1" t="s">
        <v>8</v>
      </c>
      <c r="D228" s="3" t="s">
        <v>17</v>
      </c>
      <c r="E228" s="4" t="s">
        <v>12</v>
      </c>
      <c r="F228" s="4" t="str">
        <f t="shared" si="17"/>
        <v>TN_24_NA_B3</v>
      </c>
      <c r="G228" s="4" t="s">
        <v>8</v>
      </c>
      <c r="H228" s="4" t="s">
        <v>9</v>
      </c>
      <c r="I228" s="4">
        <v>5</v>
      </c>
      <c r="J228" s="4" t="str">
        <f t="shared" si="18"/>
        <v>F_5_NA</v>
      </c>
      <c r="K228" s="4">
        <v>54</v>
      </c>
      <c r="L228" s="4">
        <v>37</v>
      </c>
      <c r="M228" s="4">
        <v>54</v>
      </c>
      <c r="N228" s="4">
        <v>37</v>
      </c>
      <c r="O228" s="4">
        <v>0.52</v>
      </c>
      <c r="P228" s="4"/>
      <c r="Q228" s="4" t="str">
        <f t="shared" si="16"/>
        <v>0.52</v>
      </c>
      <c r="R228" s="4" t="str">
        <f>VLOOKUP(J228,eq!$D$2:$K$42,8,)</f>
        <v>((pi*X2*100/32)*((a+b)^2 + (c+d)^2))*0.11</v>
      </c>
      <c r="S228" s="4" t="str">
        <f t="shared" si="19"/>
        <v>((3.141593*0.52*100/32)*((54+37)^2 + (54+37)^2))*0.11</v>
      </c>
      <c r="T228" s="4" cm="1">
        <f t="array" ref="T228">eval_dw/2</f>
        <v>4650.2762793987495</v>
      </c>
      <c r="U228" s="1">
        <f>T228*2/VLOOKUP(J228,eq!$D$2:$G$42,4,)</f>
        <v>84550.47780724999</v>
      </c>
      <c r="V228" s="1">
        <f t="shared" si="20"/>
        <v>9300.5525587974989</v>
      </c>
      <c r="W228" s="1" cm="1">
        <f t="array" ref="W228">IF(LEFT(J228,1)="S",eval_S/2,((3.141593*Q228/32)*((K228/100+L228/100)^2+(M228/100+N228/100)^2))*1000000*VLOOKUP(J228,eq!$D$2:$G$42,4,)/2)</f>
        <v>4650.2762793987504</v>
      </c>
      <c r="X228" s="1">
        <f>((3.141593*Q228/32)*((K228+L228)^2+(M228+N228)^2))*1000000*VLOOKUP(J228,eq!$D$2:$G$42,4,)/2</f>
        <v>46502762.79398749</v>
      </c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customHeight="1">
      <c r="A229" s="1" t="s">
        <v>6</v>
      </c>
      <c r="B229" s="4">
        <v>24</v>
      </c>
      <c r="C229" s="1" t="s">
        <v>8</v>
      </c>
      <c r="D229" s="3" t="s">
        <v>17</v>
      </c>
      <c r="E229" s="4" t="s">
        <v>12</v>
      </c>
      <c r="F229" s="4" t="str">
        <f t="shared" si="17"/>
        <v>TN_24_NA_B3</v>
      </c>
      <c r="G229" s="4" t="s">
        <v>8</v>
      </c>
      <c r="H229" s="4" t="s">
        <v>9</v>
      </c>
      <c r="I229" s="4">
        <v>5</v>
      </c>
      <c r="J229" s="4" t="str">
        <f t="shared" si="18"/>
        <v>F_5_NA</v>
      </c>
      <c r="K229" s="4">
        <v>17</v>
      </c>
      <c r="L229" s="4">
        <v>10</v>
      </c>
      <c r="M229" s="4">
        <v>17</v>
      </c>
      <c r="N229" s="4">
        <v>10</v>
      </c>
      <c r="O229" s="4">
        <v>3.28</v>
      </c>
      <c r="P229" s="4"/>
      <c r="Q229" s="4" t="str">
        <f t="shared" si="16"/>
        <v>3.28</v>
      </c>
      <c r="R229" s="4" t="str">
        <f>VLOOKUP(J229,eq!$D$2:$K$42,8,)</f>
        <v>((pi*X2*100/32)*((a+b)^2 + (c+d)^2))*0.11</v>
      </c>
      <c r="S229" s="4" t="str">
        <f t="shared" si="19"/>
        <v>((3.141593*3.28*100/32)*((17+10)^2 + (17+10)^2))*0.11</v>
      </c>
      <c r="T229" s="4" cm="1">
        <f t="array" ref="T229">eval_dw/2</f>
        <v>2582.2245123674998</v>
      </c>
      <c r="U229" s="1">
        <f>T229*2/VLOOKUP(J229,eq!$D$2:$G$42,4,)</f>
        <v>46949.536588499992</v>
      </c>
      <c r="V229" s="1">
        <f t="shared" si="20"/>
        <v>5164.4490247349995</v>
      </c>
      <c r="W229" s="1" cm="1">
        <f t="array" ref="W229">IF(LEFT(J229,1)="S",eval_S/2,((3.141593*Q229/32)*((K229/100+L229/100)^2+(M229/100+N229/100)^2))*1000000*VLOOKUP(J229,eq!$D$2:$G$42,4,)/2)</f>
        <v>2582.2245123674998</v>
      </c>
      <c r="X229" s="1">
        <f>((3.141593*Q229/32)*((K229+L229)^2+(M229+N229)^2))*1000000*VLOOKUP(J229,eq!$D$2:$G$42,4,)/2</f>
        <v>25822245.123674992</v>
      </c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customHeight="1">
      <c r="A230" s="1" t="s">
        <v>6</v>
      </c>
      <c r="B230" s="4">
        <v>24</v>
      </c>
      <c r="C230" s="1" t="s">
        <v>8</v>
      </c>
      <c r="D230" s="3" t="s">
        <v>17</v>
      </c>
      <c r="E230" s="4" t="s">
        <v>10</v>
      </c>
      <c r="F230" s="4" t="str">
        <f t="shared" si="17"/>
        <v>TN_24_NA_B4</v>
      </c>
      <c r="G230" s="4" t="s">
        <v>8</v>
      </c>
      <c r="H230" s="4" t="s">
        <v>9</v>
      </c>
      <c r="I230" s="4">
        <v>5</v>
      </c>
      <c r="J230" s="4" t="str">
        <f t="shared" si="18"/>
        <v>F_5_NA</v>
      </c>
      <c r="K230" s="4">
        <v>10</v>
      </c>
      <c r="L230" s="4">
        <v>12</v>
      </c>
      <c r="M230" s="4">
        <v>10</v>
      </c>
      <c r="N230" s="4">
        <v>12</v>
      </c>
      <c r="O230" s="4">
        <v>0.48</v>
      </c>
      <c r="P230" s="4"/>
      <c r="Q230" s="4" t="str">
        <f t="shared" si="16"/>
        <v>0.48</v>
      </c>
      <c r="R230" s="4" t="str">
        <f>VLOOKUP(J230,eq!$D$2:$K$42,8,)</f>
        <v>((pi*X2*100/32)*((a+b)^2 + (c+d)^2))*0.11</v>
      </c>
      <c r="S230" s="4" t="str">
        <f t="shared" si="19"/>
        <v>((3.141593*0.48*100/32)*((10+12)^2 + (10+12)^2))*0.11</v>
      </c>
      <c r="T230" s="4" cm="1">
        <f t="array" ref="T230">eval_dw/2</f>
        <v>250.88761697999996</v>
      </c>
      <c r="U230" s="1">
        <f>T230*2/VLOOKUP(J230,eq!$D$2:$G$42,4,)</f>
        <v>4561.5930359999993</v>
      </c>
      <c r="V230" s="1">
        <f t="shared" si="20"/>
        <v>501.77523395999992</v>
      </c>
      <c r="W230" s="1" cm="1">
        <f t="array" ref="W230">IF(LEFT(J230,1)="S",eval_S/2,((3.141593*Q230/32)*((K230/100+L230/100)^2+(M230/100+N230/100)^2))*1000000*VLOOKUP(J230,eq!$D$2:$G$42,4,)/2)</f>
        <v>250.88761698000002</v>
      </c>
      <c r="X230" s="1">
        <f>((3.141593*Q230/32)*((K230+L230)^2+(M230+N230)^2))*1000000*VLOOKUP(J230,eq!$D$2:$G$42,4,)/2</f>
        <v>2508876.1697999998</v>
      </c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customHeight="1">
      <c r="A231" s="1" t="s">
        <v>6</v>
      </c>
      <c r="B231" s="4">
        <v>25</v>
      </c>
      <c r="C231" s="6" t="s">
        <v>23</v>
      </c>
      <c r="D231" s="1" t="s">
        <v>14</v>
      </c>
      <c r="E231" s="7" t="s">
        <v>13</v>
      </c>
      <c r="F231" s="4" t="str">
        <f t="shared" si="17"/>
        <v>TN_25_CTRL_B1</v>
      </c>
      <c r="G231" s="7" t="s">
        <v>8</v>
      </c>
      <c r="H231" s="7" t="s">
        <v>8</v>
      </c>
      <c r="I231" s="7" t="s">
        <v>8</v>
      </c>
      <c r="J231" s="4" t="str">
        <f t="shared" si="18"/>
        <v>NA_NA_NA</v>
      </c>
      <c r="K231" s="7"/>
      <c r="L231" s="7"/>
      <c r="M231" s="7"/>
      <c r="N231" s="7"/>
      <c r="O231" s="7"/>
      <c r="P231" s="7"/>
      <c r="Q231" s="4" t="str">
        <f t="shared" si="16"/>
        <v/>
      </c>
      <c r="R231" s="4">
        <f>VLOOKUP(J231,eq!$D$2:$K$42,8,)</f>
        <v>0</v>
      </c>
      <c r="S231" s="4" t="str">
        <f t="shared" si="19"/>
        <v>0</v>
      </c>
      <c r="T231" s="4" cm="1">
        <f t="array" ref="T231">eval_dw/2</f>
        <v>0</v>
      </c>
      <c r="U231" s="1" t="e">
        <f>T231*2/VLOOKUP(J231,eq!$D$2:$G$42,4,)</f>
        <v>#DIV/0!</v>
      </c>
      <c r="V231" s="1">
        <f t="shared" si="20"/>
        <v>0</v>
      </c>
      <c r="W231" s="1" t="e" cm="1">
        <f t="array" ref="W231">IF(LEFT(J231,1)="S",eval_S/2,((3.141593*Q231/32)*((K231/100+L231/100)^2+(M231/100+N231/100)^2))*1000000*VLOOKUP(J231,eq!$D$2:$G$42,4,)/2)</f>
        <v>#VALUE!</v>
      </c>
      <c r="X231" s="1" t="e">
        <f>((3.141593*Q231/32)*((K231+L231)^2+(M231+N231)^2))*1000000*VLOOKUP(J231,eq!$D$2:$G$42,4,)/2</f>
        <v>#VALUE!</v>
      </c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customHeight="1">
      <c r="A232" s="1" t="s">
        <v>6</v>
      </c>
      <c r="B232" s="4">
        <v>25</v>
      </c>
      <c r="C232" s="6" t="s">
        <v>23</v>
      </c>
      <c r="D232" s="1" t="s">
        <v>14</v>
      </c>
      <c r="E232" s="7" t="s">
        <v>7</v>
      </c>
      <c r="F232" s="4" t="str">
        <f t="shared" si="17"/>
        <v>TN_25_CTRL_B2</v>
      </c>
      <c r="G232" s="7" t="s">
        <v>8</v>
      </c>
      <c r="H232" s="7" t="s">
        <v>8</v>
      </c>
      <c r="I232" s="7" t="s">
        <v>8</v>
      </c>
      <c r="J232" s="4" t="str">
        <f t="shared" si="18"/>
        <v>NA_NA_NA</v>
      </c>
      <c r="K232" s="7"/>
      <c r="L232" s="7"/>
      <c r="M232" s="7"/>
      <c r="N232" s="7"/>
      <c r="O232" s="7"/>
      <c r="P232" s="7"/>
      <c r="Q232" s="4" t="str">
        <f t="shared" si="16"/>
        <v/>
      </c>
      <c r="R232" s="4">
        <f>VLOOKUP(J232,eq!$D$2:$K$42,8,)</f>
        <v>0</v>
      </c>
      <c r="S232" s="4" t="str">
        <f t="shared" si="19"/>
        <v>0</v>
      </c>
      <c r="T232" s="4" cm="1">
        <f t="array" ref="T232">eval_dw/2</f>
        <v>0</v>
      </c>
      <c r="U232" s="1" t="e">
        <f>T232*2/VLOOKUP(J232,eq!$D$2:$G$42,4,)</f>
        <v>#DIV/0!</v>
      </c>
      <c r="V232" s="1">
        <f t="shared" si="20"/>
        <v>0</v>
      </c>
      <c r="W232" s="1" t="e" cm="1">
        <f t="array" ref="W232">IF(LEFT(J232,1)="S",eval_S/2,((3.141593*Q232/32)*((K232/100+L232/100)^2+(M232/100+N232/100)^2))*1000000*VLOOKUP(J232,eq!$D$2:$G$42,4,)/2)</f>
        <v>#VALUE!</v>
      </c>
      <c r="X232" s="1" t="e">
        <f>((3.141593*Q232/32)*((K232+L232)^2+(M232+N232)^2))*1000000*VLOOKUP(J232,eq!$D$2:$G$42,4,)/2</f>
        <v>#VALUE!</v>
      </c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customHeight="1">
      <c r="A233" s="1" t="s">
        <v>6</v>
      </c>
      <c r="B233" s="4">
        <v>25</v>
      </c>
      <c r="C233" s="6" t="s">
        <v>23</v>
      </c>
      <c r="D233" s="1" t="s">
        <v>14</v>
      </c>
      <c r="E233" s="7" t="s">
        <v>12</v>
      </c>
      <c r="F233" s="4" t="str">
        <f t="shared" si="17"/>
        <v>TN_25_CTRL_B3</v>
      </c>
      <c r="G233" s="7" t="s">
        <v>8</v>
      </c>
      <c r="H233" s="7" t="s">
        <v>8</v>
      </c>
      <c r="I233" s="7" t="s">
        <v>8</v>
      </c>
      <c r="J233" s="4" t="str">
        <f t="shared" si="18"/>
        <v>NA_NA_NA</v>
      </c>
      <c r="K233" s="7"/>
      <c r="L233" s="7"/>
      <c r="M233" s="7"/>
      <c r="N233" s="7"/>
      <c r="O233" s="7"/>
      <c r="P233" s="7"/>
      <c r="Q233" s="4" t="str">
        <f t="shared" si="16"/>
        <v/>
      </c>
      <c r="R233" s="4">
        <f>VLOOKUP(J233,eq!$D$2:$K$42,8,)</f>
        <v>0</v>
      </c>
      <c r="S233" s="4" t="str">
        <f t="shared" si="19"/>
        <v>0</v>
      </c>
      <c r="T233" s="4" cm="1">
        <f t="array" ref="T233">eval_dw/2</f>
        <v>0</v>
      </c>
      <c r="U233" s="1" t="e">
        <f>T233*2/VLOOKUP(J233,eq!$D$2:$G$42,4,)</f>
        <v>#DIV/0!</v>
      </c>
      <c r="V233" s="1">
        <f t="shared" si="20"/>
        <v>0</v>
      </c>
      <c r="W233" s="1" t="e" cm="1">
        <f t="array" ref="W233">IF(LEFT(J233,1)="S",eval_S/2,((3.141593*Q233/32)*((K233/100+L233/100)^2+(M233/100+N233/100)^2))*1000000*VLOOKUP(J233,eq!$D$2:$G$42,4,)/2)</f>
        <v>#VALUE!</v>
      </c>
      <c r="X233" s="1" t="e">
        <f>((3.141593*Q233/32)*((K233+L233)^2+(M233+N233)^2))*1000000*VLOOKUP(J233,eq!$D$2:$G$42,4,)/2</f>
        <v>#VALUE!</v>
      </c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customHeight="1">
      <c r="A234" s="1" t="s">
        <v>6</v>
      </c>
      <c r="B234" s="4">
        <v>25</v>
      </c>
      <c r="C234" s="6" t="s">
        <v>23</v>
      </c>
      <c r="D234" s="1" t="s">
        <v>14</v>
      </c>
      <c r="E234" s="7" t="s">
        <v>10</v>
      </c>
      <c r="F234" s="4" t="str">
        <f t="shared" si="17"/>
        <v>TN_25_CTRL_B4</v>
      </c>
      <c r="G234" s="7" t="s">
        <v>8</v>
      </c>
      <c r="H234" s="7" t="s">
        <v>8</v>
      </c>
      <c r="I234" s="7" t="s">
        <v>8</v>
      </c>
      <c r="J234" s="4" t="str">
        <f t="shared" si="18"/>
        <v>NA_NA_NA</v>
      </c>
      <c r="K234" s="7"/>
      <c r="L234" s="7"/>
      <c r="M234" s="7"/>
      <c r="N234" s="7"/>
      <c r="O234" s="7"/>
      <c r="P234" s="7"/>
      <c r="Q234" s="4" t="str">
        <f t="shared" si="16"/>
        <v/>
      </c>
      <c r="R234" s="4">
        <f>VLOOKUP(J234,eq!$D$2:$K$42,8,)</f>
        <v>0</v>
      </c>
      <c r="S234" s="4" t="str">
        <f t="shared" si="19"/>
        <v>0</v>
      </c>
      <c r="T234" s="4" cm="1">
        <f t="array" ref="T234">eval_dw/2</f>
        <v>0</v>
      </c>
      <c r="U234" s="1" t="e">
        <f>T234*2/VLOOKUP(J234,eq!$D$2:$G$42,4,)</f>
        <v>#DIV/0!</v>
      </c>
      <c r="V234" s="1">
        <f t="shared" si="20"/>
        <v>0</v>
      </c>
      <c r="W234" s="1" t="e" cm="1">
        <f t="array" ref="W234">IF(LEFT(J234,1)="S",eval_S/2,((3.141593*Q234/32)*((K234/100+L234/100)^2+(M234/100+N234/100)^2))*1000000*VLOOKUP(J234,eq!$D$2:$G$42,4,)/2)</f>
        <v>#VALUE!</v>
      </c>
      <c r="X234" s="1" t="e">
        <f>((3.141593*Q234/32)*((K234+L234)^2+(M234+N234)^2))*1000000*VLOOKUP(J234,eq!$D$2:$G$42,4,)/2</f>
        <v>#VALUE!</v>
      </c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customHeight="1">
      <c r="A235" s="1" t="s">
        <v>6</v>
      </c>
      <c r="B235" s="4">
        <v>25</v>
      </c>
      <c r="C235" s="6" t="s">
        <v>22</v>
      </c>
      <c r="D235" s="1" t="s">
        <v>14</v>
      </c>
      <c r="E235" s="4" t="s">
        <v>13</v>
      </c>
      <c r="F235" s="4" t="str">
        <f t="shared" si="17"/>
        <v>TN_25_EX_B1</v>
      </c>
      <c r="G235" s="4" t="s">
        <v>8</v>
      </c>
      <c r="H235" s="4" t="s">
        <v>9</v>
      </c>
      <c r="I235" s="4">
        <v>5</v>
      </c>
      <c r="J235" s="4" t="str">
        <f t="shared" si="18"/>
        <v>F_5_NA</v>
      </c>
      <c r="K235" s="4">
        <v>18</v>
      </c>
      <c r="L235" s="4">
        <v>11</v>
      </c>
      <c r="M235" s="4">
        <v>17</v>
      </c>
      <c r="N235" s="4">
        <v>16</v>
      </c>
      <c r="O235" s="4">
        <v>1.6</v>
      </c>
      <c r="P235" s="4"/>
      <c r="Q235" s="4" t="str">
        <f t="shared" si="16"/>
        <v>1.6</v>
      </c>
      <c r="R235" s="4" t="str">
        <f>VLOOKUP(J235,eq!$D$2:$K$42,8,)</f>
        <v>((pi*X2*100/32)*((a+b)^2 + (c+d)^2))*0.11</v>
      </c>
      <c r="S235" s="4" t="str">
        <f t="shared" si="19"/>
        <v>((3.141593*1.6*100/32)*((18+11)^2 + (17+16)^2))*0.11</v>
      </c>
      <c r="T235" s="4" cm="1">
        <f t="array" ref="T235">eval_dw/2</f>
        <v>1667.4004847500003</v>
      </c>
      <c r="U235" s="1">
        <f>T235*2/VLOOKUP(J235,eq!$D$2:$G$42,4,)</f>
        <v>30316.372450000006</v>
      </c>
      <c r="V235" s="1">
        <f t="shared" si="20"/>
        <v>3334.8009695000005</v>
      </c>
      <c r="W235" s="1" cm="1">
        <f t="array" ref="W235">IF(LEFT(J235,1)="S",eval_S/2,((3.141593*Q235/32)*((K235/100+L235/100)^2+(M235/100+N235/100)^2))*1000000*VLOOKUP(J235,eq!$D$2:$G$42,4,)/2)</f>
        <v>1667.4004847500003</v>
      </c>
      <c r="X235" s="1">
        <f>((3.141593*Q235/32)*((K235+L235)^2+(M235+N235)^2))*1000000*VLOOKUP(J235,eq!$D$2:$G$42,4,)/2</f>
        <v>16674004.847500004</v>
      </c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customHeight="1">
      <c r="A236" s="1" t="s">
        <v>6</v>
      </c>
      <c r="B236" s="4">
        <v>25</v>
      </c>
      <c r="C236" s="6" t="s">
        <v>22</v>
      </c>
      <c r="D236" s="1" t="s">
        <v>14</v>
      </c>
      <c r="E236" s="4" t="s">
        <v>7</v>
      </c>
      <c r="F236" s="4" t="str">
        <f t="shared" si="17"/>
        <v>TN_25_EX_B2</v>
      </c>
      <c r="G236" s="4" t="s">
        <v>8</v>
      </c>
      <c r="H236" s="4" t="s">
        <v>9</v>
      </c>
      <c r="I236" s="4">
        <v>1</v>
      </c>
      <c r="J236" s="4" t="str">
        <f t="shared" si="18"/>
        <v>F_1_NA</v>
      </c>
      <c r="K236" s="4">
        <v>16</v>
      </c>
      <c r="L236" s="4">
        <v>16</v>
      </c>
      <c r="M236" s="4">
        <v>27</v>
      </c>
      <c r="N236" s="4">
        <v>29</v>
      </c>
      <c r="O236" s="4">
        <v>3.86</v>
      </c>
      <c r="P236" s="4"/>
      <c r="Q236" s="4" t="str">
        <f t="shared" si="16"/>
        <v>3.86</v>
      </c>
      <c r="R236" s="4" t="str">
        <f>VLOOKUP(J236,eq!$D$2:$K$42,8,)</f>
        <v>((pi*X2*100/32)*((a+b)^2 + (c+d)^2))*0.4</v>
      </c>
      <c r="S236" s="4" t="str">
        <f t="shared" si="19"/>
        <v>((3.141593*3.86*100/32)*((16+16)^2 + (27+29)^2))*0.4</v>
      </c>
      <c r="T236" s="4" cm="1">
        <f t="array" ref="T236">eval_dw/2</f>
        <v>31529.027348</v>
      </c>
      <c r="U236" s="1">
        <f>T236*2/VLOOKUP(J236,eq!$D$2:$G$42,4,)</f>
        <v>157645.13673999999</v>
      </c>
      <c r="V236" s="1">
        <f t="shared" si="20"/>
        <v>63058.054695999999</v>
      </c>
      <c r="W236" s="1" cm="1">
        <f t="array" ref="W236">IF(LEFT(J236,1)="S",eval_S/2,((3.141593*Q236/32)*((K236/100+L236/100)^2+(M236/100+N236/100)^2))*1000000*VLOOKUP(J236,eq!$D$2:$G$42,4,)/2)</f>
        <v>31529.027348</v>
      </c>
      <c r="X236" s="1">
        <f>((3.141593*Q236/32)*((K236+L236)^2+(M236+N236)^2))*1000000*VLOOKUP(J236,eq!$D$2:$G$42,4,)/2</f>
        <v>315290273.48000002</v>
      </c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customHeight="1">
      <c r="A237" s="1" t="s">
        <v>6</v>
      </c>
      <c r="B237" s="4">
        <v>25</v>
      </c>
      <c r="C237" s="6" t="s">
        <v>22</v>
      </c>
      <c r="D237" s="1" t="s">
        <v>14</v>
      </c>
      <c r="E237" s="4" t="s">
        <v>7</v>
      </c>
      <c r="F237" s="4" t="str">
        <f t="shared" si="17"/>
        <v>TN_25_EX_B2</v>
      </c>
      <c r="G237" s="4" t="s">
        <v>8</v>
      </c>
      <c r="H237" s="4" t="s">
        <v>9</v>
      </c>
      <c r="I237" s="4">
        <v>3</v>
      </c>
      <c r="J237" s="4" t="str">
        <f t="shared" si="18"/>
        <v>F_3_NA</v>
      </c>
      <c r="K237" s="4">
        <v>17</v>
      </c>
      <c r="L237" s="4">
        <v>20</v>
      </c>
      <c r="M237" s="4">
        <v>17</v>
      </c>
      <c r="N237" s="4">
        <v>18</v>
      </c>
      <c r="O237" s="4">
        <v>1.83</v>
      </c>
      <c r="P237" s="4"/>
      <c r="Q237" s="4" t="str">
        <f t="shared" si="16"/>
        <v>1.83</v>
      </c>
      <c r="R237" s="4" t="str">
        <f>VLOOKUP(J237,eq!$D$2:$K$42,8,)</f>
        <v>((pi*X2*100/32)*((a+b)^2 + (c+d)^2))*0.26</v>
      </c>
      <c r="S237" s="4" t="str">
        <f t="shared" si="19"/>
        <v>((3.141593*1.83*100/32)*((17+20)^2 + (17+18)^2))*0.26</v>
      </c>
      <c r="T237" s="4" cm="1">
        <f t="array" ref="T237">eval_dw/2</f>
        <v>6058.4894511618759</v>
      </c>
      <c r="U237" s="1">
        <f>T237*2/VLOOKUP(J237,eq!$D$2:$G$42,4,)</f>
        <v>46603.765008937502</v>
      </c>
      <c r="V237" s="1">
        <f t="shared" si="20"/>
        <v>12116.978902323752</v>
      </c>
      <c r="W237" s="1" cm="1">
        <f t="array" ref="W237">IF(LEFT(J237,1)="S",eval_S/2,((3.141593*Q237/32)*((K237/100+L237/100)^2+(M237/100+N237/100)^2))*1000000*VLOOKUP(J237,eq!$D$2:$G$42,4,)/2)</f>
        <v>6058.489451161875</v>
      </c>
      <c r="X237" s="1">
        <f>((3.141593*Q237/32)*((K237+L237)^2+(M237+N237)^2))*1000000*VLOOKUP(J237,eq!$D$2:$G$42,4,)/2</f>
        <v>60584894.511618756</v>
      </c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customHeight="1">
      <c r="A238" s="1" t="s">
        <v>6</v>
      </c>
      <c r="B238" s="4">
        <v>25</v>
      </c>
      <c r="C238" s="6" t="s">
        <v>22</v>
      </c>
      <c r="D238" s="1" t="s">
        <v>14</v>
      </c>
      <c r="E238" s="4" t="s">
        <v>7</v>
      </c>
      <c r="F238" s="4" t="str">
        <f t="shared" si="17"/>
        <v>TN_25_EX_B2</v>
      </c>
      <c r="G238" s="4" t="s">
        <v>8</v>
      </c>
      <c r="H238" s="4" t="s">
        <v>9</v>
      </c>
      <c r="I238" s="4">
        <v>5</v>
      </c>
      <c r="J238" s="4" t="str">
        <f t="shared" si="18"/>
        <v>F_5_NA</v>
      </c>
      <c r="K238" s="4">
        <v>18</v>
      </c>
      <c r="L238" s="4">
        <v>9</v>
      </c>
      <c r="M238" s="4">
        <v>11</v>
      </c>
      <c r="N238" s="4">
        <v>8</v>
      </c>
      <c r="O238" s="4">
        <v>3.6</v>
      </c>
      <c r="P238" s="4"/>
      <c r="Q238" s="4" t="str">
        <f t="shared" si="16"/>
        <v>3.6</v>
      </c>
      <c r="R238" s="4" t="str">
        <f>VLOOKUP(J238,eq!$D$2:$K$42,8,)</f>
        <v>((pi*X2*100/32)*((a+b)^2 + (c+d)^2))*0.11</v>
      </c>
      <c r="S238" s="4" t="str">
        <f t="shared" si="19"/>
        <v>((3.141593*3.6*100/32)*((18+9)^2 + (11+8)^2))*0.11</v>
      </c>
      <c r="T238" s="4" cm="1">
        <f t="array" ref="T238">eval_dw/2</f>
        <v>2118.8081289374995</v>
      </c>
      <c r="U238" s="1">
        <f>T238*2/VLOOKUP(J238,eq!$D$2:$G$42,4,)</f>
        <v>38523.784162499993</v>
      </c>
      <c r="V238" s="1">
        <f t="shared" si="20"/>
        <v>4237.6162578749991</v>
      </c>
      <c r="W238" s="1" cm="1">
        <f t="array" ref="W238">IF(LEFT(J238,1)="S",eval_S/2,((3.141593*Q238/32)*((K238/100+L238/100)^2+(M238/100+N238/100)^2))*1000000*VLOOKUP(J238,eq!$D$2:$G$42,4,)/2)</f>
        <v>2118.8081289375004</v>
      </c>
      <c r="X238" s="1">
        <f>((3.141593*Q238/32)*((K238+L238)^2+(M238+N238)^2))*1000000*VLOOKUP(J238,eq!$D$2:$G$42,4,)/2</f>
        <v>21188081.289375</v>
      </c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customHeight="1">
      <c r="A239" s="1" t="s">
        <v>6</v>
      </c>
      <c r="B239" s="4">
        <v>25</v>
      </c>
      <c r="C239" s="6" t="s">
        <v>22</v>
      </c>
      <c r="D239" s="1" t="s">
        <v>14</v>
      </c>
      <c r="E239" s="4" t="s">
        <v>7</v>
      </c>
      <c r="F239" s="4" t="str">
        <f t="shared" si="17"/>
        <v>TN_25_EX_B2</v>
      </c>
      <c r="G239" s="4" t="s">
        <v>8</v>
      </c>
      <c r="H239" s="4" t="s">
        <v>9</v>
      </c>
      <c r="I239" s="4">
        <v>4</v>
      </c>
      <c r="J239" s="4" t="str">
        <f t="shared" si="18"/>
        <v>F_4_NA</v>
      </c>
      <c r="K239" s="4">
        <v>13</v>
      </c>
      <c r="L239" s="4">
        <v>19</v>
      </c>
      <c r="M239" s="4">
        <v>14</v>
      </c>
      <c r="N239" s="4">
        <v>18</v>
      </c>
      <c r="O239" s="4">
        <v>1.1599999999999999</v>
      </c>
      <c r="P239" s="4"/>
      <c r="Q239" s="4" t="str">
        <f t="shared" si="16"/>
        <v>1.16</v>
      </c>
      <c r="R239" s="4" t="str">
        <f>VLOOKUP(J239,eq!$D$2:$K$42,8,)</f>
        <v>((pi*X2*100/32)*((a+b)^2 + (c+d)^2))*0.15</v>
      </c>
      <c r="S239" s="4" t="str">
        <f t="shared" si="19"/>
        <v>((3.141593*1.16*100/32)*((13+19)^2 + (14+18)^2))*0.15</v>
      </c>
      <c r="T239" s="4" cm="1">
        <f t="array" ref="T239">eval_dw/2</f>
        <v>1749.2389823999999</v>
      </c>
      <c r="U239" s="1">
        <f>T239*2/VLOOKUP(J239,eq!$D$2:$G$42,4,)</f>
        <v>23323.186431999999</v>
      </c>
      <c r="V239" s="1">
        <f t="shared" si="20"/>
        <v>3498.4779647999999</v>
      </c>
      <c r="W239" s="1" cm="1">
        <f t="array" ref="W239">IF(LEFT(J239,1)="S",eval_S/2,((3.141593*Q239/32)*((K239/100+L239/100)^2+(M239/100+N239/100)^2))*1000000*VLOOKUP(J239,eq!$D$2:$G$42,4,)/2)</f>
        <v>1749.2389823999999</v>
      </c>
      <c r="X239" s="1">
        <f>((3.141593*Q239/32)*((K239+L239)^2+(M239+N239)^2))*1000000*VLOOKUP(J239,eq!$D$2:$G$42,4,)/2</f>
        <v>17492389.823999997</v>
      </c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customHeight="1">
      <c r="A240" s="1" t="s">
        <v>6</v>
      </c>
      <c r="B240" s="4">
        <v>25</v>
      </c>
      <c r="C240" s="6" t="s">
        <v>22</v>
      </c>
      <c r="D240" s="1" t="s">
        <v>14</v>
      </c>
      <c r="E240" s="4" t="s">
        <v>12</v>
      </c>
      <c r="F240" s="4" t="str">
        <f t="shared" si="17"/>
        <v>TN_25_EX_B3</v>
      </c>
      <c r="G240" s="4" t="s">
        <v>8</v>
      </c>
      <c r="H240" s="4" t="s">
        <v>9</v>
      </c>
      <c r="I240" s="4">
        <v>1</v>
      </c>
      <c r="J240" s="4" t="str">
        <f t="shared" si="18"/>
        <v>F_1_NA</v>
      </c>
      <c r="K240" s="4">
        <v>17</v>
      </c>
      <c r="L240" s="4">
        <v>16</v>
      </c>
      <c r="M240" s="4">
        <v>12</v>
      </c>
      <c r="N240" s="4">
        <v>11</v>
      </c>
      <c r="O240" s="4">
        <v>3.19</v>
      </c>
      <c r="P240" s="4"/>
      <c r="Q240" s="4" t="str">
        <f t="shared" si="16"/>
        <v>3.19</v>
      </c>
      <c r="R240" s="4" t="str">
        <f>VLOOKUP(J240,eq!$D$2:$K$42,8,)</f>
        <v>((pi*X2*100/32)*((a+b)^2 + (c+d)^2))*0.4</v>
      </c>
      <c r="S240" s="4" t="str">
        <f t="shared" si="19"/>
        <v>((3.141593*3.19*100/32)*((17+16)^2 + (12+11)^2))*0.4</v>
      </c>
      <c r="T240" s="4" cm="1">
        <f t="array" ref="T240">eval_dw/2</f>
        <v>10134.425588787501</v>
      </c>
      <c r="U240" s="1">
        <f>T240*2/VLOOKUP(J240,eq!$D$2:$G$42,4,)</f>
        <v>50672.127943937499</v>
      </c>
      <c r="V240" s="1">
        <f t="shared" si="20"/>
        <v>20268.851177575001</v>
      </c>
      <c r="W240" s="1" cm="1">
        <f t="array" ref="W240">IF(LEFT(J240,1)="S",eval_S/2,((3.141593*Q240/32)*((K240/100+L240/100)^2+(M240/100+N240/100)^2))*1000000*VLOOKUP(J240,eq!$D$2:$G$42,4,)/2)</f>
        <v>10134.425588787499</v>
      </c>
      <c r="X240" s="1">
        <f>((3.141593*Q240/32)*((K240+L240)^2+(M240+N240)^2))*1000000*VLOOKUP(J240,eq!$D$2:$G$42,4,)/2</f>
        <v>101344255.88787501</v>
      </c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customHeight="1">
      <c r="A241" s="1" t="s">
        <v>6</v>
      </c>
      <c r="B241" s="4">
        <v>25</v>
      </c>
      <c r="C241" s="6" t="s">
        <v>22</v>
      </c>
      <c r="D241" s="1" t="s">
        <v>14</v>
      </c>
      <c r="E241" s="4" t="s">
        <v>12</v>
      </c>
      <c r="F241" s="4" t="str">
        <f t="shared" si="17"/>
        <v>TN_25_EX_B3</v>
      </c>
      <c r="G241" s="4" t="s">
        <v>8</v>
      </c>
      <c r="H241" s="4" t="s">
        <v>9</v>
      </c>
      <c r="I241" s="4">
        <v>1</v>
      </c>
      <c r="J241" s="4" t="str">
        <f t="shared" si="18"/>
        <v>F_1_NA</v>
      </c>
      <c r="K241" s="4">
        <v>9</v>
      </c>
      <c r="L241" s="4">
        <v>10</v>
      </c>
      <c r="M241" s="4">
        <v>10</v>
      </c>
      <c r="N241" s="4">
        <v>11</v>
      </c>
      <c r="O241" s="4">
        <v>1.19</v>
      </c>
      <c r="P241" s="4"/>
      <c r="Q241" s="4" t="str">
        <f t="shared" si="16"/>
        <v>1.19</v>
      </c>
      <c r="R241" s="4" t="str">
        <f>VLOOKUP(J241,eq!$D$2:$K$42,8,)</f>
        <v>((pi*X2*100/32)*((a+b)^2 + (c+d)^2))*0.4</v>
      </c>
      <c r="S241" s="4" t="str">
        <f t="shared" si="19"/>
        <v>((3.141593*1.19*100/32)*((9+10)^2 + (10+11)^2))*0.4</v>
      </c>
      <c r="T241" s="4" cm="1">
        <f t="array" ref="T241">eval_dw/2</f>
        <v>1873.9209545874999</v>
      </c>
      <c r="U241" s="1">
        <f>T241*2/VLOOKUP(J241,eq!$D$2:$G$42,4,)</f>
        <v>9369.6047729374986</v>
      </c>
      <c r="V241" s="1">
        <f t="shared" si="20"/>
        <v>3747.8419091749997</v>
      </c>
      <c r="W241" s="1" cm="1">
        <f t="array" ref="W241">IF(LEFT(J241,1)="S",eval_S/2,((3.141593*Q241/32)*((K241/100+L241/100)^2+(M241/100+N241/100)^2))*1000000*VLOOKUP(J241,eq!$D$2:$G$42,4,)/2)</f>
        <v>1873.9209545875001</v>
      </c>
      <c r="X241" s="1">
        <f>((3.141593*Q241/32)*((K241+L241)^2+(M241+N241)^2))*1000000*VLOOKUP(J241,eq!$D$2:$G$42,4,)/2</f>
        <v>18739209.545874998</v>
      </c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customHeight="1">
      <c r="A242" s="1" t="s">
        <v>6</v>
      </c>
      <c r="B242" s="4">
        <v>25</v>
      </c>
      <c r="C242" s="6" t="s">
        <v>22</v>
      </c>
      <c r="D242" s="1" t="s">
        <v>14</v>
      </c>
      <c r="E242" s="4" t="s">
        <v>12</v>
      </c>
      <c r="F242" s="4" t="str">
        <f t="shared" si="17"/>
        <v>TN_25_EX_B3</v>
      </c>
      <c r="G242" s="4" t="s">
        <v>8</v>
      </c>
      <c r="H242" s="4" t="s">
        <v>9</v>
      </c>
      <c r="I242" s="4">
        <v>2</v>
      </c>
      <c r="J242" s="4" t="str">
        <f t="shared" si="18"/>
        <v>F_2_NA</v>
      </c>
      <c r="K242" s="4">
        <v>4</v>
      </c>
      <c r="L242" s="4">
        <v>11</v>
      </c>
      <c r="M242" s="4">
        <v>12</v>
      </c>
      <c r="N242" s="4">
        <v>13</v>
      </c>
      <c r="O242" s="4">
        <v>0.32</v>
      </c>
      <c r="P242" s="4"/>
      <c r="Q242" s="4" t="str">
        <f t="shared" si="16"/>
        <v>0.32</v>
      </c>
      <c r="R242" s="4" t="str">
        <f>VLOOKUP(J242,eq!$D$2:$K$42,8,)</f>
        <v>((pi*X2*100/32)*((a+b)^2 + (c+d)^2))*0.33</v>
      </c>
      <c r="S242" s="4" t="str">
        <f t="shared" si="19"/>
        <v>((3.141593*0.32*100/32)*((4+11)^2 + (12+13)^2))*0.33</v>
      </c>
      <c r="T242" s="4" cm="1">
        <f t="array" ref="T242">eval_dw/2</f>
        <v>440.60841825000006</v>
      </c>
      <c r="U242" s="1">
        <f>T242*2/VLOOKUP(J242,eq!$D$2:$G$42,4,)</f>
        <v>2670.3540500000004</v>
      </c>
      <c r="V242" s="1">
        <f t="shared" si="20"/>
        <v>881.21683650000011</v>
      </c>
      <c r="W242" s="1" cm="1">
        <f t="array" ref="W242">IF(LEFT(J242,1)="S",eval_S/2,((3.141593*Q242/32)*((K242/100+L242/100)^2+(M242/100+N242/100)^2))*1000000*VLOOKUP(J242,eq!$D$2:$G$42,4,)/2)</f>
        <v>440.60841825</v>
      </c>
      <c r="X242" s="1">
        <f>((3.141593*Q242/32)*((K242+L242)^2+(M242+N242)^2))*1000000*VLOOKUP(J242,eq!$D$2:$G$42,4,)/2</f>
        <v>4406084.182500001</v>
      </c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customHeight="1">
      <c r="A243" s="1" t="s">
        <v>6</v>
      </c>
      <c r="B243" s="4">
        <v>25</v>
      </c>
      <c r="C243" s="6" t="s">
        <v>22</v>
      </c>
      <c r="D243" s="1" t="s">
        <v>14</v>
      </c>
      <c r="E243" s="4" t="s">
        <v>10</v>
      </c>
      <c r="F243" s="4" t="str">
        <f t="shared" si="17"/>
        <v>TN_25_EX_B4</v>
      </c>
      <c r="G243" s="4" t="s">
        <v>8</v>
      </c>
      <c r="H243" s="4" t="s">
        <v>9</v>
      </c>
      <c r="I243" s="4">
        <v>1</v>
      </c>
      <c r="J243" s="4" t="str">
        <f t="shared" si="18"/>
        <v>F_1_NA</v>
      </c>
      <c r="K243" s="4">
        <v>13</v>
      </c>
      <c r="L243" s="4">
        <v>12</v>
      </c>
      <c r="M243" s="4">
        <v>15</v>
      </c>
      <c r="N243" s="4">
        <v>12</v>
      </c>
      <c r="O243" s="4">
        <v>3.1</v>
      </c>
      <c r="P243" s="4"/>
      <c r="Q243" s="4" t="str">
        <f t="shared" si="16"/>
        <v>3.1</v>
      </c>
      <c r="R243" s="4" t="str">
        <f>VLOOKUP(J243,eq!$D$2:$K$42,8,)</f>
        <v>((pi*X2*100/32)*((a+b)^2 + (c+d)^2))*0.4</v>
      </c>
      <c r="S243" s="4" t="str">
        <f t="shared" si="19"/>
        <v>((3.141593*3.1*100/32)*((13+12)^2 + (15+12)^2))*0.4</v>
      </c>
      <c r="T243" s="4" cm="1">
        <f t="array" ref="T243">eval_dw/2</f>
        <v>8241.5765363749997</v>
      </c>
      <c r="U243" s="1">
        <f>T243*2/VLOOKUP(J243,eq!$D$2:$G$42,4,)</f>
        <v>41207.882681874995</v>
      </c>
      <c r="V243" s="1">
        <f t="shared" si="20"/>
        <v>16483.153072749999</v>
      </c>
      <c r="W243" s="1" cm="1">
        <f t="array" ref="W243">IF(LEFT(J243,1)="S",eval_S/2,((3.141593*Q243/32)*((K243/100+L243/100)^2+(M243/100+N243/100)^2))*1000000*VLOOKUP(J243,eq!$D$2:$G$42,4,)/2)</f>
        <v>8241.5765363750015</v>
      </c>
      <c r="X243" s="1">
        <f>((3.141593*Q243/32)*((K243+L243)^2+(M243+N243)^2))*1000000*VLOOKUP(J243,eq!$D$2:$G$42,4,)/2</f>
        <v>82415765.363749996</v>
      </c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customHeight="1">
      <c r="A244" s="1" t="s">
        <v>6</v>
      </c>
      <c r="B244" s="4">
        <v>25</v>
      </c>
      <c r="C244" s="6" t="s">
        <v>22</v>
      </c>
      <c r="D244" s="1" t="s">
        <v>14</v>
      </c>
      <c r="E244" s="4" t="s">
        <v>10</v>
      </c>
      <c r="F244" s="4" t="str">
        <f t="shared" si="17"/>
        <v>TN_25_EX_B4</v>
      </c>
      <c r="G244" s="4" t="s">
        <v>8</v>
      </c>
      <c r="H244" s="4" t="s">
        <v>9</v>
      </c>
      <c r="I244" s="4">
        <v>5</v>
      </c>
      <c r="J244" s="4" t="str">
        <f t="shared" si="18"/>
        <v>F_5_NA</v>
      </c>
      <c r="K244" s="4">
        <v>10</v>
      </c>
      <c r="L244" s="4">
        <v>11</v>
      </c>
      <c r="M244" s="4">
        <v>15</v>
      </c>
      <c r="N244" s="4">
        <v>11</v>
      </c>
      <c r="O244" s="4">
        <v>4.91</v>
      </c>
      <c r="P244" s="4"/>
      <c r="Q244" s="4" t="str">
        <f t="shared" ref="Q244:Q307" si="21">O244&amp;P244</f>
        <v>4.91</v>
      </c>
      <c r="R244" s="4" t="str">
        <f>VLOOKUP(J244,eq!$D$2:$K$42,8,)</f>
        <v>((pi*X2*100/32)*((a+b)^2 + (c+d)^2))*0.11</v>
      </c>
      <c r="S244" s="4" t="str">
        <f t="shared" si="19"/>
        <v>((3.141593*4.91*100/32)*((10+11)^2 + (15+11)^2))*0.11</v>
      </c>
      <c r="T244" s="4" cm="1">
        <f t="array" ref="T244">eval_dw/2</f>
        <v>2961.401533872031</v>
      </c>
      <c r="U244" s="1">
        <f>T244*2/VLOOKUP(J244,eq!$D$2:$G$42,4,)</f>
        <v>53843.664252218747</v>
      </c>
      <c r="V244" s="1">
        <f t="shared" si="20"/>
        <v>5922.803067744062</v>
      </c>
      <c r="W244" s="1" cm="1">
        <f t="array" ref="W244">IF(LEFT(J244,1)="S",eval_S/2,((3.141593*Q244/32)*((K244/100+L244/100)^2+(M244/100+N244/100)^2))*1000000*VLOOKUP(J244,eq!$D$2:$G$42,4,)/2)</f>
        <v>2961.4015338720319</v>
      </c>
      <c r="X244" s="1">
        <f>((3.141593*Q244/32)*((K244+L244)^2+(M244+N244)^2))*1000000*VLOOKUP(J244,eq!$D$2:$G$42,4,)/2</f>
        <v>29614015.33872031</v>
      </c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customHeight="1">
      <c r="A245" s="6" t="s">
        <v>6</v>
      </c>
      <c r="B245" s="4">
        <v>26</v>
      </c>
      <c r="C245" s="6" t="s">
        <v>8</v>
      </c>
      <c r="D245" s="6" t="s">
        <v>14</v>
      </c>
      <c r="E245" s="7" t="s">
        <v>13</v>
      </c>
      <c r="F245" s="4" t="str">
        <f t="shared" si="17"/>
        <v>TN_26_NA_B1</v>
      </c>
      <c r="G245" s="7" t="s">
        <v>8</v>
      </c>
      <c r="H245" s="7" t="s">
        <v>8</v>
      </c>
      <c r="I245" s="7" t="s">
        <v>8</v>
      </c>
      <c r="J245" s="4" t="str">
        <f t="shared" si="18"/>
        <v>NA_NA_NA</v>
      </c>
      <c r="K245" s="7"/>
      <c r="L245" s="7"/>
      <c r="M245" s="7"/>
      <c r="N245" s="7"/>
      <c r="O245" s="7"/>
      <c r="P245" s="7"/>
      <c r="Q245" s="4" t="str">
        <f t="shared" si="21"/>
        <v/>
      </c>
      <c r="R245" s="4">
        <f>VLOOKUP(J245,eq!$D$2:$K$42,8,)</f>
        <v>0</v>
      </c>
      <c r="S245" s="4" t="str">
        <f t="shared" si="19"/>
        <v>0</v>
      </c>
      <c r="T245" s="4" cm="1">
        <f t="array" ref="T245">eval_dw/2</f>
        <v>0</v>
      </c>
      <c r="U245" s="1" t="e">
        <f>T245*2/VLOOKUP(J245,eq!$D$2:$G$42,4,)</f>
        <v>#DIV/0!</v>
      </c>
      <c r="V245" s="1">
        <f t="shared" si="20"/>
        <v>0</v>
      </c>
      <c r="W245" s="1" t="e" cm="1">
        <f t="array" ref="W245">IF(LEFT(J245,1)="S",eval_S/2,((3.141593*Q245/32)*((K245/100+L245/100)^2+(M245/100+N245/100)^2))*1000000*VLOOKUP(J245,eq!$D$2:$G$42,4,)/2)</f>
        <v>#VALUE!</v>
      </c>
      <c r="X245" s="1" t="e">
        <f>((3.141593*Q245/32)*((K245+L245)^2+(M245+N245)^2))*1000000*VLOOKUP(J245,eq!$D$2:$G$42,4,)/2</f>
        <v>#VALUE!</v>
      </c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customHeight="1">
      <c r="A246" s="6" t="s">
        <v>6</v>
      </c>
      <c r="B246" s="4">
        <v>26</v>
      </c>
      <c r="C246" s="6" t="s">
        <v>8</v>
      </c>
      <c r="D246" s="6" t="s">
        <v>14</v>
      </c>
      <c r="E246" s="7" t="s">
        <v>7</v>
      </c>
      <c r="F246" s="4" t="str">
        <f t="shared" si="17"/>
        <v>TN_26_NA_B2</v>
      </c>
      <c r="G246" s="7" t="s">
        <v>8</v>
      </c>
      <c r="H246" s="7" t="s">
        <v>8</v>
      </c>
      <c r="I246" s="7" t="s">
        <v>8</v>
      </c>
      <c r="J246" s="4" t="str">
        <f t="shared" si="18"/>
        <v>NA_NA_NA</v>
      </c>
      <c r="K246" s="7"/>
      <c r="L246" s="7"/>
      <c r="M246" s="7"/>
      <c r="N246" s="7"/>
      <c r="O246" s="7"/>
      <c r="P246" s="7"/>
      <c r="Q246" s="4" t="str">
        <f t="shared" si="21"/>
        <v/>
      </c>
      <c r="R246" s="4">
        <f>VLOOKUP(J246,eq!$D$2:$K$42,8,)</f>
        <v>0</v>
      </c>
      <c r="S246" s="4" t="str">
        <f t="shared" si="19"/>
        <v>0</v>
      </c>
      <c r="T246" s="4" cm="1">
        <f t="array" ref="T246">eval_dw/2</f>
        <v>0</v>
      </c>
      <c r="U246" s="1" t="e">
        <f>T246*2/VLOOKUP(J246,eq!$D$2:$G$42,4,)</f>
        <v>#DIV/0!</v>
      </c>
      <c r="V246" s="1">
        <f t="shared" si="20"/>
        <v>0</v>
      </c>
      <c r="W246" s="1" t="e" cm="1">
        <f t="array" ref="W246">IF(LEFT(J246,1)="S",eval_S/2,((3.141593*Q246/32)*((K246/100+L246/100)^2+(M246/100+N246/100)^2))*1000000*VLOOKUP(J246,eq!$D$2:$G$42,4,)/2)</f>
        <v>#VALUE!</v>
      </c>
      <c r="X246" s="1" t="e">
        <f>((3.141593*Q246/32)*((K246+L246)^2+(M246+N246)^2))*1000000*VLOOKUP(J246,eq!$D$2:$G$42,4,)/2</f>
        <v>#VALUE!</v>
      </c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customHeight="1">
      <c r="A247" s="1" t="s">
        <v>6</v>
      </c>
      <c r="B247" s="4">
        <v>26</v>
      </c>
      <c r="C247" s="1" t="s">
        <v>8</v>
      </c>
      <c r="D247" s="1" t="s">
        <v>14</v>
      </c>
      <c r="E247" s="4" t="s">
        <v>12</v>
      </c>
      <c r="F247" s="4" t="str">
        <f t="shared" si="17"/>
        <v>TN_26_NA_B3</v>
      </c>
      <c r="G247" s="4" t="s">
        <v>8</v>
      </c>
      <c r="H247" s="4" t="s">
        <v>32</v>
      </c>
      <c r="I247" s="4">
        <v>4</v>
      </c>
      <c r="J247" s="4" t="str">
        <f t="shared" si="18"/>
        <v>T_4_NA</v>
      </c>
      <c r="K247" s="4">
        <v>40</v>
      </c>
      <c r="L247" s="4">
        <v>37</v>
      </c>
      <c r="M247" s="4">
        <v>40</v>
      </c>
      <c r="N247" s="4">
        <v>37</v>
      </c>
      <c r="O247" s="4"/>
      <c r="P247" s="4">
        <v>0.12</v>
      </c>
      <c r="Q247" s="4" t="str">
        <f t="shared" si="21"/>
        <v>0.12</v>
      </c>
      <c r="R247" s="4" t="str">
        <f>VLOOKUP(J247,eq!$D$2:$K$42,8,)</f>
        <v>((pi*X2*100/32)*((a+b)^2 + (c+d)^2))*0.25</v>
      </c>
      <c r="S247" s="4" t="str">
        <f t="shared" si="19"/>
        <v>((3.141593*0.12*100/32)*((40+37)^2 + (40+37)^2))*0.25</v>
      </c>
      <c r="T247" s="4" cm="1">
        <f t="array" ref="T247">eval_dw/2</f>
        <v>1746.2348340937499</v>
      </c>
      <c r="U247" s="1">
        <f>T247*2/VLOOKUP(J247,eq!$D$2:$G$42,4,)</f>
        <v>13969.878672749999</v>
      </c>
      <c r="V247" s="1">
        <f t="shared" si="20"/>
        <v>3492.4696681874998</v>
      </c>
      <c r="W247" s="1" cm="1">
        <f t="array" ref="W247">IF(LEFT(J247,1)="S",eval_S/2,((3.141593*Q247/32)*((K247/100+L247/100)^2+(M247/100+N247/100)^2))*1000000*VLOOKUP(J247,eq!$D$2:$G$42,4,)/2)</f>
        <v>1746.2348340937499</v>
      </c>
      <c r="X247" s="1">
        <f>((3.141593*Q247/32)*((K247+L247)^2+(M247+N247)^2))*1000000*VLOOKUP(J247,eq!$D$2:$G$42,4,)/2</f>
        <v>17462348.340937499</v>
      </c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customHeight="1">
      <c r="A248" s="6" t="s">
        <v>6</v>
      </c>
      <c r="B248" s="4">
        <v>26</v>
      </c>
      <c r="C248" s="6" t="s">
        <v>8</v>
      </c>
      <c r="D248" s="6" t="s">
        <v>14</v>
      </c>
      <c r="E248" s="7" t="s">
        <v>10</v>
      </c>
      <c r="F248" s="4" t="str">
        <f t="shared" si="17"/>
        <v>TN_26_NA_B4</v>
      </c>
      <c r="G248" s="7" t="s">
        <v>8</v>
      </c>
      <c r="H248" s="7" t="s">
        <v>8</v>
      </c>
      <c r="I248" s="7" t="s">
        <v>8</v>
      </c>
      <c r="J248" s="4" t="str">
        <f t="shared" si="18"/>
        <v>NA_NA_NA</v>
      </c>
      <c r="K248" s="7"/>
      <c r="L248" s="7"/>
      <c r="M248" s="7"/>
      <c r="N248" s="7"/>
      <c r="O248" s="7"/>
      <c r="P248" s="7"/>
      <c r="Q248" s="4" t="str">
        <f t="shared" si="21"/>
        <v/>
      </c>
      <c r="R248" s="4">
        <f>VLOOKUP(J248,eq!$D$2:$K$42,8,)</f>
        <v>0</v>
      </c>
      <c r="S248" s="4" t="str">
        <f t="shared" si="19"/>
        <v>0</v>
      </c>
      <c r="T248" s="4" cm="1">
        <f t="array" ref="T248">eval_dw/2</f>
        <v>0</v>
      </c>
      <c r="U248" s="1" t="e">
        <f>T248*2/VLOOKUP(J248,eq!$D$2:$G$42,4,)</f>
        <v>#DIV/0!</v>
      </c>
      <c r="V248" s="1">
        <f t="shared" si="20"/>
        <v>0</v>
      </c>
      <c r="W248" s="1" t="e" cm="1">
        <f t="array" ref="W248">IF(LEFT(J248,1)="S",eval_S/2,((3.141593*Q248/32)*((K248/100+L248/100)^2+(M248/100+N248/100)^2))*1000000*VLOOKUP(J248,eq!$D$2:$G$42,4,)/2)</f>
        <v>#VALUE!</v>
      </c>
      <c r="X248" s="1" t="e">
        <f>((3.141593*Q248/32)*((K248+L248)^2+(M248+N248)^2))*1000000*VLOOKUP(J248,eq!$D$2:$G$42,4,)/2</f>
        <v>#VALUE!</v>
      </c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customHeight="1">
      <c r="A249" s="1" t="s">
        <v>6</v>
      </c>
      <c r="B249" s="4">
        <v>27</v>
      </c>
      <c r="C249" s="1" t="s">
        <v>8</v>
      </c>
      <c r="D249" s="1" t="s">
        <v>14</v>
      </c>
      <c r="E249" s="4" t="s">
        <v>13</v>
      </c>
      <c r="F249" s="4" t="str">
        <f t="shared" si="17"/>
        <v>TN_27_NA_B1</v>
      </c>
      <c r="G249" s="5" t="s">
        <v>8</v>
      </c>
      <c r="H249" s="5" t="s">
        <v>32</v>
      </c>
      <c r="I249" s="5">
        <v>5</v>
      </c>
      <c r="J249" s="4" t="str">
        <f t="shared" si="18"/>
        <v>T_5_NA</v>
      </c>
      <c r="K249" s="5">
        <v>22</v>
      </c>
      <c r="L249" s="5">
        <v>24</v>
      </c>
      <c r="M249" s="5">
        <v>22</v>
      </c>
      <c r="N249" s="5">
        <v>24</v>
      </c>
      <c r="O249" s="5"/>
      <c r="P249" s="5">
        <v>0.61</v>
      </c>
      <c r="Q249" s="4" t="str">
        <f t="shared" si="21"/>
        <v>0.61</v>
      </c>
      <c r="R249" s="4" t="str">
        <f>VLOOKUP(J249,eq!$D$2:$K$42,8,)</f>
        <v>((pi*X2*100/32)*((a+b)^2 + (c+d)^2))*0.25</v>
      </c>
      <c r="S249" s="4" t="str">
        <f t="shared" si="19"/>
        <v>((3.141593*0.61*100/32)*((22+24)^2 + (22+24)^2))*0.25</v>
      </c>
      <c r="T249" s="4" cm="1">
        <f t="array" ref="T249">eval_dw/2</f>
        <v>3168.0020161562497</v>
      </c>
      <c r="U249" s="1">
        <f>T249*2/VLOOKUP(J249,eq!$D$2:$G$42,4,)</f>
        <v>25344.016129249998</v>
      </c>
      <c r="V249" s="1">
        <f t="shared" si="20"/>
        <v>6336.0040323124995</v>
      </c>
      <c r="W249" s="1" cm="1">
        <f t="array" ref="W249">IF(LEFT(J249,1)="S",eval_S/2,((3.141593*Q249/32)*((K249/100+L249/100)^2+(M249/100+N249/100)^2))*1000000*VLOOKUP(J249,eq!$D$2:$G$42,4,)/2)</f>
        <v>3168.0020161562493</v>
      </c>
      <c r="X249" s="1">
        <f>((3.141593*Q249/32)*((K249+L249)^2+(M249+N249)^2))*1000000*VLOOKUP(J249,eq!$D$2:$G$42,4,)/2</f>
        <v>31680020.161562495</v>
      </c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customHeight="1">
      <c r="A250" s="1" t="s">
        <v>6</v>
      </c>
      <c r="B250" s="4">
        <v>27</v>
      </c>
      <c r="C250" s="1" t="s">
        <v>8</v>
      </c>
      <c r="D250" s="1" t="s">
        <v>14</v>
      </c>
      <c r="E250" s="4" t="s">
        <v>7</v>
      </c>
      <c r="F250" s="4" t="str">
        <f t="shared" si="17"/>
        <v>TN_27_NA_B2</v>
      </c>
      <c r="G250" s="5" t="s">
        <v>8</v>
      </c>
      <c r="H250" s="5" t="s">
        <v>8</v>
      </c>
      <c r="I250" s="5" t="s">
        <v>8</v>
      </c>
      <c r="J250" s="4" t="str">
        <f t="shared" si="18"/>
        <v>NA_NA_NA</v>
      </c>
      <c r="K250" s="5"/>
      <c r="L250" s="5"/>
      <c r="M250" s="5"/>
      <c r="N250" s="5"/>
      <c r="O250" s="5"/>
      <c r="P250" s="5"/>
      <c r="Q250" s="4" t="str">
        <f t="shared" si="21"/>
        <v/>
      </c>
      <c r="R250" s="4">
        <f>VLOOKUP(J250,eq!$D$2:$K$42,8,)</f>
        <v>0</v>
      </c>
      <c r="S250" s="4" t="str">
        <f t="shared" si="19"/>
        <v>0</v>
      </c>
      <c r="T250" s="4" cm="1">
        <f t="array" ref="T250">eval_dw/2</f>
        <v>0</v>
      </c>
      <c r="U250" s="1" t="e">
        <f>T250*2/VLOOKUP(J250,eq!$D$2:$G$42,4,)</f>
        <v>#DIV/0!</v>
      </c>
      <c r="V250" s="1">
        <f t="shared" si="20"/>
        <v>0</v>
      </c>
      <c r="W250" s="1" t="e" cm="1">
        <f t="array" ref="W250">IF(LEFT(J250,1)="S",eval_S/2,((3.141593*Q250/32)*((K250/100+L250/100)^2+(M250/100+N250/100)^2))*1000000*VLOOKUP(J250,eq!$D$2:$G$42,4,)/2)</f>
        <v>#VALUE!</v>
      </c>
      <c r="X250" s="1" t="e">
        <f>((3.141593*Q250/32)*((K250+L250)^2+(M250+N250)^2))*1000000*VLOOKUP(J250,eq!$D$2:$G$42,4,)/2</f>
        <v>#VALUE!</v>
      </c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customHeight="1">
      <c r="A251" s="1" t="s">
        <v>6</v>
      </c>
      <c r="B251" s="4">
        <v>27</v>
      </c>
      <c r="C251" s="1" t="s">
        <v>8</v>
      </c>
      <c r="D251" s="1" t="s">
        <v>14</v>
      </c>
      <c r="E251" s="4" t="s">
        <v>12</v>
      </c>
      <c r="F251" s="4" t="str">
        <f t="shared" si="17"/>
        <v>TN_27_NA_B3</v>
      </c>
      <c r="G251" s="5" t="s">
        <v>8</v>
      </c>
      <c r="H251" s="5" t="s">
        <v>11</v>
      </c>
      <c r="I251" s="5">
        <v>2</v>
      </c>
      <c r="J251" s="4" t="str">
        <f t="shared" si="18"/>
        <v>S_2_NA</v>
      </c>
      <c r="K251" s="5">
        <v>12</v>
      </c>
      <c r="L251" s="5"/>
      <c r="M251" s="5"/>
      <c r="N251" s="5"/>
      <c r="O251" s="5"/>
      <c r="P251" s="5">
        <v>2.5</v>
      </c>
      <c r="Q251" s="4" t="str">
        <f t="shared" si="21"/>
        <v>2.5</v>
      </c>
      <c r="R251" s="4" t="str">
        <f>VLOOKUP(J251,eq!$D$2:$K$42,8,)</f>
        <v>((0.0000598*((X4^2)*X2)^0.946)*(1.0-0.0019*X4)*1000003)*0.38</v>
      </c>
      <c r="S251" s="4" t="str">
        <f t="shared" si="19"/>
        <v>((0.0000598*((12^2)*2.5)^0.946)*(1.0-0.0019*12)*1000003)*0.38</v>
      </c>
      <c r="T251" s="4" cm="1">
        <f t="array" ref="T251">eval_dw/2</f>
        <v>2908.7186254237627</v>
      </c>
      <c r="U251" s="1">
        <f>T251*2/VLOOKUP(J251,eq!$D$2:$G$42,4,)</f>
        <v>15309.045396967173</v>
      </c>
      <c r="V251" s="1">
        <f t="shared" si="20"/>
        <v>5817.4372508475253</v>
      </c>
      <c r="W251" s="1" cm="1">
        <f t="array" ref="W251">IF(LEFT(J251,1)="S",eval_S/2,((3.141593*Q251/32)*((K251/100+L251/100)^2+(M251/100+N251/100)^2))*1000000*VLOOKUP(J251,eq!$D$2:$G$42,4,)/2)</f>
        <v>2908.7186254237627</v>
      </c>
      <c r="X251" s="1">
        <f>((3.141593*Q251/32)*((K251+L251)^2+(M251+N251)^2))*1000000*VLOOKUP(J251,eq!$D$2:$G$42,4,)/2</f>
        <v>6715155.0374999996</v>
      </c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customHeight="1">
      <c r="A252" s="1" t="s">
        <v>6</v>
      </c>
      <c r="B252" s="4">
        <v>27</v>
      </c>
      <c r="C252" s="1" t="s">
        <v>8</v>
      </c>
      <c r="D252" s="1" t="s">
        <v>14</v>
      </c>
      <c r="E252" s="4" t="s">
        <v>10</v>
      </c>
      <c r="F252" s="4" t="str">
        <f t="shared" si="17"/>
        <v>TN_27_NA_B4</v>
      </c>
      <c r="G252" s="5" t="s">
        <v>8</v>
      </c>
      <c r="H252" s="5" t="s">
        <v>8</v>
      </c>
      <c r="I252" s="5" t="s">
        <v>8</v>
      </c>
      <c r="J252" s="4" t="str">
        <f t="shared" si="18"/>
        <v>NA_NA_NA</v>
      </c>
      <c r="K252" s="5"/>
      <c r="L252" s="5"/>
      <c r="M252" s="5"/>
      <c r="N252" s="5"/>
      <c r="O252" s="5"/>
      <c r="P252" s="5"/>
      <c r="Q252" s="4" t="str">
        <f t="shared" si="21"/>
        <v/>
      </c>
      <c r="R252" s="4">
        <f>VLOOKUP(J252,eq!$D$2:$K$42,8,)</f>
        <v>0</v>
      </c>
      <c r="S252" s="4" t="str">
        <f t="shared" si="19"/>
        <v>0</v>
      </c>
      <c r="T252" s="4" cm="1">
        <f t="array" ref="T252">eval_dw/2</f>
        <v>0</v>
      </c>
      <c r="U252" s="1" t="e">
        <f>T252*2/VLOOKUP(J252,eq!$D$2:$G$42,4,)</f>
        <v>#DIV/0!</v>
      </c>
      <c r="V252" s="1">
        <f t="shared" si="20"/>
        <v>0</v>
      </c>
      <c r="W252" s="1" t="e" cm="1">
        <f t="array" ref="W252">IF(LEFT(J252,1)="S",eval_S/2,((3.141593*Q252/32)*((K252/100+L252/100)^2+(M252/100+N252/100)^2))*1000000*VLOOKUP(J252,eq!$D$2:$G$42,4,)/2)</f>
        <v>#VALUE!</v>
      </c>
      <c r="X252" s="1" t="e">
        <f>((3.141593*Q252/32)*((K252+L252)^2+(M252+N252)^2))*1000000*VLOOKUP(J252,eq!$D$2:$G$42,4,)/2</f>
        <v>#VALUE!</v>
      </c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customHeight="1">
      <c r="A253" s="1" t="s">
        <v>6</v>
      </c>
      <c r="B253" s="4">
        <v>28</v>
      </c>
      <c r="C253" s="1" t="s">
        <v>8</v>
      </c>
      <c r="D253" s="1" t="s">
        <v>14</v>
      </c>
      <c r="E253" s="4" t="s">
        <v>13</v>
      </c>
      <c r="F253" s="4" t="str">
        <f t="shared" si="17"/>
        <v>TN_28_NA_B1</v>
      </c>
      <c r="G253" s="5" t="s">
        <v>8</v>
      </c>
      <c r="H253" s="5" t="s">
        <v>8</v>
      </c>
      <c r="I253" s="5" t="s">
        <v>8</v>
      </c>
      <c r="J253" s="4" t="str">
        <f t="shared" si="18"/>
        <v>NA_NA_NA</v>
      </c>
      <c r="K253" s="5"/>
      <c r="L253" s="5"/>
      <c r="M253" s="5"/>
      <c r="N253" s="5"/>
      <c r="O253" s="5"/>
      <c r="P253" s="5"/>
      <c r="Q253" s="4" t="str">
        <f t="shared" si="21"/>
        <v/>
      </c>
      <c r="R253" s="4">
        <f>VLOOKUP(J253,eq!$D$2:$K$42,8,)</f>
        <v>0</v>
      </c>
      <c r="S253" s="4" t="str">
        <f t="shared" si="19"/>
        <v>0</v>
      </c>
      <c r="T253" s="4" cm="1">
        <f t="array" ref="T253">eval_dw/2</f>
        <v>0</v>
      </c>
      <c r="U253" s="1" t="e">
        <f>T253*2/VLOOKUP(J253,eq!$D$2:$G$42,4,)</f>
        <v>#DIV/0!</v>
      </c>
      <c r="V253" s="1">
        <f t="shared" si="20"/>
        <v>0</v>
      </c>
      <c r="W253" s="1" t="e" cm="1">
        <f t="array" ref="W253">IF(LEFT(J253,1)="S",eval_S/2,((3.141593*Q253/32)*((K253/100+L253/100)^2+(M253/100+N253/100)^2))*1000000*VLOOKUP(J253,eq!$D$2:$G$42,4,)/2)</f>
        <v>#VALUE!</v>
      </c>
      <c r="X253" s="1" t="e">
        <f>((3.141593*Q253/32)*((K253+L253)^2+(M253+N253)^2))*1000000*VLOOKUP(J253,eq!$D$2:$G$42,4,)/2</f>
        <v>#VALUE!</v>
      </c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customHeight="1">
      <c r="A254" s="1" t="s">
        <v>6</v>
      </c>
      <c r="B254" s="4">
        <v>28</v>
      </c>
      <c r="C254" s="1" t="s">
        <v>8</v>
      </c>
      <c r="D254" s="1" t="s">
        <v>14</v>
      </c>
      <c r="E254" s="4" t="s">
        <v>7</v>
      </c>
      <c r="F254" s="4" t="str">
        <f t="shared" si="17"/>
        <v>TN_28_NA_B2</v>
      </c>
      <c r="G254" s="4" t="s">
        <v>8</v>
      </c>
      <c r="H254" s="4" t="s">
        <v>9</v>
      </c>
      <c r="I254" s="4">
        <v>3</v>
      </c>
      <c r="J254" s="4" t="str">
        <f t="shared" si="18"/>
        <v>F_3_NA</v>
      </c>
      <c r="K254" s="4">
        <v>18</v>
      </c>
      <c r="L254" s="4">
        <v>17</v>
      </c>
      <c r="M254" s="4">
        <v>18</v>
      </c>
      <c r="N254" s="4">
        <v>17</v>
      </c>
      <c r="O254" s="4">
        <v>1.78</v>
      </c>
      <c r="P254" s="4"/>
      <c r="Q254" s="4" t="str">
        <f t="shared" si="21"/>
        <v>1.78</v>
      </c>
      <c r="R254" s="4" t="str">
        <f>VLOOKUP(J254,eq!$D$2:$K$42,8,)</f>
        <v>((pi*X2*100/32)*((a+b)^2 + (c+d)^2))*0.26</v>
      </c>
      <c r="S254" s="4" t="str">
        <f t="shared" si="19"/>
        <v>((3.141593*1.78*100/32)*((18+17)^2 + (18+17)^2))*0.26</v>
      </c>
      <c r="T254" s="4" cm="1">
        <f t="array" ref="T254">eval_dw/2</f>
        <v>5565.8228734062495</v>
      </c>
      <c r="U254" s="1">
        <f>T254*2/VLOOKUP(J254,eq!$D$2:$G$42,4,)</f>
        <v>42814.022103124997</v>
      </c>
      <c r="V254" s="1">
        <f t="shared" si="20"/>
        <v>11131.645746812499</v>
      </c>
      <c r="W254" s="1" cm="1">
        <f t="array" ref="W254">IF(LEFT(J254,1)="S",eval_S/2,((3.141593*Q254/32)*((K254/100+L254/100)^2+(M254/100+N254/100)^2))*1000000*VLOOKUP(J254,eq!$D$2:$G$42,4,)/2)</f>
        <v>5565.8228734062486</v>
      </c>
      <c r="X254" s="1">
        <f>((3.141593*Q254/32)*((K254+L254)^2+(M254+N254)^2))*1000000*VLOOKUP(J254,eq!$D$2:$G$42,4,)/2</f>
        <v>55658228.734062493</v>
      </c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customHeight="1">
      <c r="A255" s="1" t="s">
        <v>6</v>
      </c>
      <c r="B255" s="4">
        <v>28</v>
      </c>
      <c r="C255" s="1" t="s">
        <v>8</v>
      </c>
      <c r="D255" s="1" t="s">
        <v>14</v>
      </c>
      <c r="E255" s="4" t="s">
        <v>12</v>
      </c>
      <c r="F255" s="4" t="str">
        <f t="shared" si="17"/>
        <v>TN_28_NA_B3</v>
      </c>
      <c r="G255" s="5" t="s">
        <v>8</v>
      </c>
      <c r="H255" s="5" t="s">
        <v>8</v>
      </c>
      <c r="I255" s="5" t="s">
        <v>8</v>
      </c>
      <c r="J255" s="4" t="str">
        <f t="shared" si="18"/>
        <v>NA_NA_NA</v>
      </c>
      <c r="K255" s="5"/>
      <c r="L255" s="5"/>
      <c r="M255" s="5"/>
      <c r="N255" s="5"/>
      <c r="O255" s="5"/>
      <c r="P255" s="5"/>
      <c r="Q255" s="4" t="str">
        <f t="shared" si="21"/>
        <v/>
      </c>
      <c r="R255" s="4">
        <f>VLOOKUP(J255,eq!$D$2:$K$42,8,)</f>
        <v>0</v>
      </c>
      <c r="S255" s="4" t="str">
        <f t="shared" si="19"/>
        <v>0</v>
      </c>
      <c r="T255" s="4" cm="1">
        <f t="array" ref="T255">eval_dw/2</f>
        <v>0</v>
      </c>
      <c r="U255" s="1" t="e">
        <f>T255*2/VLOOKUP(J255,eq!$D$2:$G$42,4,)</f>
        <v>#DIV/0!</v>
      </c>
      <c r="V255" s="1">
        <f t="shared" si="20"/>
        <v>0</v>
      </c>
      <c r="W255" s="1" t="e" cm="1">
        <f t="array" ref="W255">IF(LEFT(J255,1)="S",eval_S/2,((3.141593*Q255/32)*((K255/100+L255/100)^2+(M255/100+N255/100)^2))*1000000*VLOOKUP(J255,eq!$D$2:$G$42,4,)/2)</f>
        <v>#VALUE!</v>
      </c>
      <c r="X255" s="1" t="e">
        <f>((3.141593*Q255/32)*((K255+L255)^2+(M255+N255)^2))*1000000*VLOOKUP(J255,eq!$D$2:$G$42,4,)/2</f>
        <v>#VALUE!</v>
      </c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customHeight="1">
      <c r="A256" s="1" t="s">
        <v>6</v>
      </c>
      <c r="B256" s="4">
        <v>28</v>
      </c>
      <c r="C256" s="1" t="s">
        <v>8</v>
      </c>
      <c r="D256" s="1" t="s">
        <v>14</v>
      </c>
      <c r="E256" s="4" t="s">
        <v>10</v>
      </c>
      <c r="F256" s="4" t="str">
        <f t="shared" si="17"/>
        <v>TN_28_NA_B4</v>
      </c>
      <c r="G256" s="5" t="s">
        <v>8</v>
      </c>
      <c r="H256" s="5" t="s">
        <v>9</v>
      </c>
      <c r="I256" s="5">
        <v>4</v>
      </c>
      <c r="J256" s="4" t="str">
        <f t="shared" si="18"/>
        <v>F_4_NA</v>
      </c>
      <c r="K256" s="5">
        <v>19</v>
      </c>
      <c r="L256" s="5">
        <v>20</v>
      </c>
      <c r="M256" s="5">
        <v>19</v>
      </c>
      <c r="N256" s="5">
        <v>20</v>
      </c>
      <c r="O256" s="5">
        <v>2.25</v>
      </c>
      <c r="P256" s="5"/>
      <c r="Q256" s="4" t="str">
        <f t="shared" si="21"/>
        <v>2.25</v>
      </c>
      <c r="R256" s="4" t="str">
        <f>VLOOKUP(J256,eq!$D$2:$K$42,8,)</f>
        <v>((pi*X2*100/32)*((a+b)^2 + (c+d)^2))*0.15</v>
      </c>
      <c r="S256" s="4" t="str">
        <f t="shared" si="19"/>
        <v>((3.141593*2.25*100/32)*((19+20)^2 + (19+20)^2))*0.15</v>
      </c>
      <c r="T256" s="4" cm="1">
        <f t="array" ref="T256">eval_dw/2</f>
        <v>5039.6796769921875</v>
      </c>
      <c r="U256" s="1">
        <f>T256*2/VLOOKUP(J256,eq!$D$2:$G$42,4,)</f>
        <v>67195.729026562505</v>
      </c>
      <c r="V256" s="1">
        <f t="shared" si="20"/>
        <v>10079.359353984375</v>
      </c>
      <c r="W256" s="1" cm="1">
        <f t="array" ref="W256">IF(LEFT(J256,1)="S",eval_S/2,((3.141593*Q256/32)*((K256/100+L256/100)^2+(M256/100+N256/100)^2))*1000000*VLOOKUP(J256,eq!$D$2:$G$42,4,)/2)</f>
        <v>5039.6796769921875</v>
      </c>
      <c r="X256" s="1">
        <f>((3.141593*Q256/32)*((K256+L256)^2+(M256+N256)^2))*1000000*VLOOKUP(J256,eq!$D$2:$G$42,4,)/2</f>
        <v>50396796.769921876</v>
      </c>
      <c r="Y256" s="1"/>
      <c r="Z256" s="1"/>
      <c r="AA256" s="1"/>
      <c r="AB256" s="1"/>
      <c r="AC256" s="1"/>
      <c r="AD256" s="1"/>
      <c r="AE256" s="1"/>
      <c r="AF256" s="1"/>
      <c r="AG256" s="1"/>
      <c r="AH256" s="1"/>
    </row>
    <row r="257" spans="1:34" ht="15.75" customHeight="1">
      <c r="A257" s="1" t="s">
        <v>6</v>
      </c>
      <c r="B257" s="4">
        <v>29</v>
      </c>
      <c r="C257" s="1" t="s">
        <v>8</v>
      </c>
      <c r="D257" s="1" t="s">
        <v>14</v>
      </c>
      <c r="E257" s="4" t="s">
        <v>13</v>
      </c>
      <c r="F257" s="4" t="str">
        <f t="shared" si="17"/>
        <v>TN_29_NA_B1</v>
      </c>
      <c r="G257" s="4" t="s">
        <v>8</v>
      </c>
      <c r="H257" s="4" t="s">
        <v>9</v>
      </c>
      <c r="I257" s="4">
        <v>5</v>
      </c>
      <c r="J257" s="4" t="str">
        <f t="shared" si="18"/>
        <v>F_5_NA</v>
      </c>
      <c r="K257" s="4">
        <v>12</v>
      </c>
      <c r="L257" s="4">
        <v>9</v>
      </c>
      <c r="M257" s="4">
        <v>8</v>
      </c>
      <c r="N257" s="4">
        <v>8</v>
      </c>
      <c r="O257" s="4">
        <v>1.89</v>
      </c>
      <c r="P257" s="4"/>
      <c r="Q257" s="4" t="str">
        <f t="shared" si="21"/>
        <v>1.89</v>
      </c>
      <c r="R257" s="4" t="str">
        <f>VLOOKUP(J257,eq!$D$2:$K$42,8,)</f>
        <v>((pi*X2*100/32)*((a+b)^2 + (c+d)^2))*0.11</v>
      </c>
      <c r="S257" s="4" t="str">
        <f t="shared" si="19"/>
        <v>((3.141593*1.89*100/32)*((12+9)^2 + (8+8)^2))*0.11</v>
      </c>
      <c r="T257" s="4" cm="1">
        <f t="array" ref="T257">eval_dw/2</f>
        <v>711.30721521234364</v>
      </c>
      <c r="U257" s="1">
        <f>T257*2/VLOOKUP(J257,eq!$D$2:$G$42,4,)</f>
        <v>12932.858458406248</v>
      </c>
      <c r="V257" s="1">
        <f t="shared" si="20"/>
        <v>1422.6144304246873</v>
      </c>
      <c r="W257" s="1" cm="1">
        <f t="array" ref="W257">IF(LEFT(J257,1)="S",eval_S/2,((3.141593*Q257/32)*((K257/100+L257/100)^2+(M257/100+N257/100)^2))*1000000*VLOOKUP(J257,eq!$D$2:$G$42,4,)/2)</f>
        <v>711.30721521234352</v>
      </c>
      <c r="X257" s="1">
        <f>((3.141593*Q257/32)*((K257+L257)^2+(M257+N257)^2))*1000000*VLOOKUP(J257,eq!$D$2:$G$42,4,)/2</f>
        <v>7113072.1521234363</v>
      </c>
      <c r="Y257" s="1"/>
      <c r="Z257" s="1"/>
      <c r="AA257" s="1"/>
      <c r="AB257" s="1"/>
      <c r="AC257" s="1"/>
      <c r="AD257" s="1"/>
      <c r="AE257" s="1"/>
      <c r="AF257" s="1"/>
      <c r="AG257" s="1"/>
      <c r="AH257" s="1"/>
    </row>
    <row r="258" spans="1:34" ht="15.75" customHeight="1">
      <c r="A258" s="1" t="s">
        <v>6</v>
      </c>
      <c r="B258" s="4">
        <v>29</v>
      </c>
      <c r="C258" s="1" t="s">
        <v>8</v>
      </c>
      <c r="D258" s="1" t="s">
        <v>14</v>
      </c>
      <c r="E258" s="4" t="s">
        <v>13</v>
      </c>
      <c r="F258" s="4" t="str">
        <f t="shared" ref="F258:F321" si="22">A258&amp;"_"&amp;B258&amp;"_"&amp;C258&amp;"_"&amp;E258</f>
        <v>TN_29_NA_B1</v>
      </c>
      <c r="G258" s="4" t="s">
        <v>8</v>
      </c>
      <c r="H258" s="4" t="s">
        <v>9</v>
      </c>
      <c r="I258" s="4">
        <v>5</v>
      </c>
      <c r="J258" s="4" t="str">
        <f t="shared" ref="J258:J321" si="23">H258&amp;"_"&amp;I258&amp;"_"&amp;G258</f>
        <v>F_5_NA</v>
      </c>
      <c r="K258" s="4">
        <v>14</v>
      </c>
      <c r="L258" s="4">
        <v>10</v>
      </c>
      <c r="M258" s="4">
        <v>8</v>
      </c>
      <c r="N258" s="4">
        <v>12</v>
      </c>
      <c r="O258" s="4">
        <v>0.82</v>
      </c>
      <c r="P258" s="4"/>
      <c r="Q258" s="4" t="str">
        <f t="shared" si="21"/>
        <v>0.82</v>
      </c>
      <c r="R258" s="4" t="str">
        <f>VLOOKUP(J258,eq!$D$2:$K$42,8,)</f>
        <v>((pi*X2*100/32)*((a+b)^2 + (c+d)^2))*0.11</v>
      </c>
      <c r="S258" s="4" t="str">
        <f t="shared" si="19"/>
        <v>((3.141593*0.82*100/32)*((14+10)^2 + (8+12)^2))*0.11</v>
      </c>
      <c r="T258" s="4" cm="1">
        <f t="array" ref="T258">eval_dw/2</f>
        <v>432.14182511499996</v>
      </c>
      <c r="U258" s="1">
        <f>T258*2/VLOOKUP(J258,eq!$D$2:$G$42,4,)</f>
        <v>7857.1240929999994</v>
      </c>
      <c r="V258" s="1">
        <f t="shared" si="20"/>
        <v>864.28365022999992</v>
      </c>
      <c r="W258" s="1" cm="1">
        <f t="array" ref="W258">IF(LEFT(J258,1)="S",eval_S/2,((3.141593*Q258/32)*((K258/100+L258/100)^2+(M258/100+N258/100)^2))*1000000*VLOOKUP(J258,eq!$D$2:$G$42,4,)/2)</f>
        <v>432.14182511500002</v>
      </c>
      <c r="X258" s="1">
        <f>((3.141593*Q258/32)*((K258+L258)^2+(M258+N258)^2))*1000000*VLOOKUP(J258,eq!$D$2:$G$42,4,)/2</f>
        <v>4321418.2511499999</v>
      </c>
      <c r="Y258" s="1"/>
      <c r="Z258" s="1"/>
      <c r="AA258" s="1"/>
      <c r="AB258" s="1"/>
      <c r="AC258" s="1"/>
      <c r="AD258" s="1"/>
      <c r="AE258" s="1"/>
      <c r="AF258" s="1"/>
      <c r="AG258" s="1"/>
      <c r="AH258" s="1"/>
    </row>
    <row r="259" spans="1:34" ht="15.75" customHeight="1">
      <c r="A259" s="1" t="s">
        <v>6</v>
      </c>
      <c r="B259" s="4">
        <v>29</v>
      </c>
      <c r="C259" s="1" t="s">
        <v>8</v>
      </c>
      <c r="D259" s="1" t="s">
        <v>14</v>
      </c>
      <c r="E259" s="4" t="s">
        <v>7</v>
      </c>
      <c r="F259" s="4" t="str">
        <f t="shared" si="22"/>
        <v>TN_29_NA_B2</v>
      </c>
      <c r="G259" s="4" t="s">
        <v>8</v>
      </c>
      <c r="H259" s="4" t="s">
        <v>9</v>
      </c>
      <c r="I259" s="4">
        <v>5</v>
      </c>
      <c r="J259" s="4" t="str">
        <f t="shared" si="23"/>
        <v>F_5_NA</v>
      </c>
      <c r="K259" s="4">
        <v>19</v>
      </c>
      <c r="L259" s="4">
        <v>13</v>
      </c>
      <c r="M259" s="4">
        <v>13</v>
      </c>
      <c r="N259" s="4">
        <v>12</v>
      </c>
      <c r="O259" s="4">
        <v>0.99</v>
      </c>
      <c r="P259" s="4"/>
      <c r="Q259" s="4" t="str">
        <f t="shared" si="21"/>
        <v>0.99</v>
      </c>
      <c r="R259" s="4" t="str">
        <f>VLOOKUP(J259,eq!$D$2:$K$42,8,)</f>
        <v>((pi*X2*100/32)*((a+b)^2 + (c+d)^2))*0.11</v>
      </c>
      <c r="S259" s="4" t="str">
        <f t="shared" ref="S259:S322" si="24">SUBSTITUTE(SUBSTITUTE(SUBSTITUTE(SUBSTITUTE(SUBSTITUTE(SUBSTITUTE(SUBSTITUTE(R259,"X2",Q259),"X4",K259),"a",K259),"b",L259),"c",M259),"d",N259),"pi",3.141593)</f>
        <v>((3.141593*0.99*100/32)*((19+13)^2 + (13+12)^2))*0.11</v>
      </c>
      <c r="T259" s="4" cm="1">
        <f t="array" ref="T259">eval_dw/2</f>
        <v>881.4922167614061</v>
      </c>
      <c r="U259" s="1">
        <f>T259*2/VLOOKUP(J259,eq!$D$2:$G$42,4,)</f>
        <v>16027.131213843748</v>
      </c>
      <c r="V259" s="1">
        <f t="shared" ref="V259:V322" si="25">T259*2</f>
        <v>1762.9844335228122</v>
      </c>
      <c r="W259" s="1" cm="1">
        <f t="array" ref="W259">IF(LEFT(J259,1)="S",eval_S/2,((3.141593*Q259/32)*((K259/100+L259/100)^2+(M259/100+N259/100)^2))*1000000*VLOOKUP(J259,eq!$D$2:$G$42,4,)/2)</f>
        <v>881.4922167614061</v>
      </c>
      <c r="X259" s="1">
        <f>((3.141593*Q259/32)*((K259+L259)^2+(M259+N259)^2))*1000000*VLOOKUP(J259,eq!$D$2:$G$42,4,)/2</f>
        <v>8814922.1676140614</v>
      </c>
      <c r="Y259" s="1"/>
      <c r="Z259" s="1"/>
      <c r="AA259" s="1"/>
      <c r="AB259" s="1"/>
      <c r="AC259" s="1"/>
      <c r="AD259" s="1"/>
      <c r="AE259" s="1"/>
      <c r="AF259" s="1"/>
      <c r="AG259" s="1"/>
      <c r="AH259" s="1"/>
    </row>
    <row r="260" spans="1:34" ht="15.75" customHeight="1">
      <c r="A260" s="1" t="s">
        <v>6</v>
      </c>
      <c r="B260" s="4">
        <v>29</v>
      </c>
      <c r="C260" s="1" t="s">
        <v>8</v>
      </c>
      <c r="D260" s="1" t="s">
        <v>14</v>
      </c>
      <c r="E260" s="4" t="s">
        <v>7</v>
      </c>
      <c r="F260" s="4" t="str">
        <f t="shared" si="22"/>
        <v>TN_29_NA_B2</v>
      </c>
      <c r="G260" s="4" t="s">
        <v>8</v>
      </c>
      <c r="H260" s="4" t="s">
        <v>32</v>
      </c>
      <c r="I260" s="4">
        <v>3</v>
      </c>
      <c r="J260" s="4" t="str">
        <f t="shared" si="23"/>
        <v>T_3_NA</v>
      </c>
      <c r="K260" s="4">
        <v>15</v>
      </c>
      <c r="L260" s="4">
        <v>9</v>
      </c>
      <c r="M260" s="4">
        <v>15</v>
      </c>
      <c r="N260" s="4">
        <v>9</v>
      </c>
      <c r="O260" s="4"/>
      <c r="P260" s="4">
        <v>0.41</v>
      </c>
      <c r="Q260" s="4" t="str">
        <f t="shared" si="21"/>
        <v>0.41</v>
      </c>
      <c r="R260" s="4" t="str">
        <f>VLOOKUP(J260,eq!$D$2:$K$42,8,)</f>
        <v>((pi*X2*100/32)*((a+b)^2 + (c+d)^2))*0.35</v>
      </c>
      <c r="S260" s="4" t="str">
        <f t="shared" si="24"/>
        <v>((3.141593*0.41*100/32)*((15+9)^2 + (15+9)^2))*0.35</v>
      </c>
      <c r="T260" s="4" cm="1">
        <f t="array" ref="T260">eval_dw/2</f>
        <v>811.47347189999994</v>
      </c>
      <c r="U260" s="1">
        <f>T260*2/VLOOKUP(J260,eq!$D$2:$G$42,4,)</f>
        <v>4636.9912679999998</v>
      </c>
      <c r="V260" s="1">
        <f t="shared" si="25"/>
        <v>1622.9469437999999</v>
      </c>
      <c r="W260" s="1" cm="1">
        <f t="array" ref="W260">IF(LEFT(J260,1)="S",eval_S/2,((3.141593*Q260/32)*((K260/100+L260/100)^2+(M260/100+N260/100)^2))*1000000*VLOOKUP(J260,eq!$D$2:$G$42,4,)/2)</f>
        <v>811.47347189999971</v>
      </c>
      <c r="X260" s="1">
        <f>((3.141593*Q260/32)*((K260+L260)^2+(M260+N260)^2))*1000000*VLOOKUP(J260,eq!$D$2:$G$42,4,)/2</f>
        <v>8114734.7189999977</v>
      </c>
      <c r="Y260" s="1"/>
      <c r="Z260" s="1"/>
      <c r="AA260" s="1"/>
      <c r="AB260" s="1"/>
      <c r="AC260" s="1"/>
      <c r="AD260" s="1"/>
      <c r="AE260" s="1"/>
      <c r="AF260" s="1"/>
      <c r="AG260" s="1"/>
      <c r="AH260" s="1"/>
    </row>
    <row r="261" spans="1:34" ht="15.75" customHeight="1">
      <c r="A261" s="1" t="s">
        <v>6</v>
      </c>
      <c r="B261" s="4">
        <v>29</v>
      </c>
      <c r="C261" s="1" t="s">
        <v>8</v>
      </c>
      <c r="D261" s="1" t="s">
        <v>14</v>
      </c>
      <c r="E261" s="4" t="s">
        <v>7</v>
      </c>
      <c r="F261" s="4" t="str">
        <f t="shared" si="22"/>
        <v>TN_29_NA_B2</v>
      </c>
      <c r="G261" s="4" t="s">
        <v>8</v>
      </c>
      <c r="H261" s="4" t="s">
        <v>9</v>
      </c>
      <c r="I261" s="4">
        <v>4</v>
      </c>
      <c r="J261" s="4" t="str">
        <f t="shared" si="23"/>
        <v>F_4_NA</v>
      </c>
      <c r="K261" s="4">
        <v>10</v>
      </c>
      <c r="L261" s="4">
        <v>4</v>
      </c>
      <c r="M261" s="4">
        <v>7</v>
      </c>
      <c r="N261" s="4">
        <v>7</v>
      </c>
      <c r="O261" s="4">
        <v>1.1000000000000001</v>
      </c>
      <c r="P261" s="4"/>
      <c r="Q261" s="4" t="str">
        <f t="shared" si="21"/>
        <v>1.1</v>
      </c>
      <c r="R261" s="4" t="str">
        <f>VLOOKUP(J261,eq!$D$2:$K$42,8,)</f>
        <v>((pi*X2*100/32)*((a+b)^2 + (c+d)^2))*0.15</v>
      </c>
      <c r="S261" s="4" t="str">
        <f t="shared" si="24"/>
        <v>((3.141593*1.1*100/32)*((10+4)^2 + (7+7)^2))*0.15</v>
      </c>
      <c r="T261" s="4" cm="1">
        <f t="array" ref="T261">eval_dw/2</f>
        <v>317.49724256250005</v>
      </c>
      <c r="U261" s="1">
        <f>T261*2/VLOOKUP(J261,eq!$D$2:$G$42,4,)</f>
        <v>4233.2965675000005</v>
      </c>
      <c r="V261" s="1">
        <f t="shared" si="25"/>
        <v>634.9944851250001</v>
      </c>
      <c r="W261" s="1" cm="1">
        <f t="array" ref="W261">IF(LEFT(J261,1)="S",eval_S/2,((3.141593*Q261/32)*((K261/100+L261/100)^2+(M261/100+N261/100)^2))*1000000*VLOOKUP(J261,eq!$D$2:$G$42,4,)/2)</f>
        <v>317.49724256250011</v>
      </c>
      <c r="X261" s="1">
        <f>((3.141593*Q261/32)*((K261+L261)^2+(M261+N261)^2))*1000000*VLOOKUP(J261,eq!$D$2:$G$42,4,)/2</f>
        <v>3174972.4256250001</v>
      </c>
      <c r="Y261" s="1"/>
      <c r="Z261" s="1"/>
      <c r="AA261" s="1"/>
      <c r="AB261" s="1"/>
      <c r="AC261" s="1"/>
      <c r="AD261" s="1"/>
      <c r="AE261" s="1"/>
      <c r="AF261" s="1"/>
      <c r="AG261" s="1"/>
      <c r="AH261" s="1"/>
    </row>
    <row r="262" spans="1:34" ht="15.75" customHeight="1">
      <c r="A262" s="1" t="s">
        <v>6</v>
      </c>
      <c r="B262" s="4">
        <v>29</v>
      </c>
      <c r="C262" s="1" t="s">
        <v>8</v>
      </c>
      <c r="D262" s="1" t="s">
        <v>14</v>
      </c>
      <c r="E262" s="4" t="s">
        <v>12</v>
      </c>
      <c r="F262" s="4" t="str">
        <f t="shared" si="22"/>
        <v>TN_29_NA_B3</v>
      </c>
      <c r="G262" s="4" t="s">
        <v>8</v>
      </c>
      <c r="H262" s="4" t="s">
        <v>9</v>
      </c>
      <c r="I262" s="4">
        <v>4</v>
      </c>
      <c r="J262" s="4" t="str">
        <f t="shared" si="23"/>
        <v>F_4_NA</v>
      </c>
      <c r="K262" s="4">
        <v>10</v>
      </c>
      <c r="L262" s="4">
        <v>13</v>
      </c>
      <c r="M262" s="4">
        <v>14</v>
      </c>
      <c r="N262" s="4">
        <v>15</v>
      </c>
      <c r="O262" s="4">
        <v>2.42</v>
      </c>
      <c r="P262" s="4"/>
      <c r="Q262" s="4" t="str">
        <f t="shared" si="21"/>
        <v>2.42</v>
      </c>
      <c r="R262" s="4" t="str">
        <f>VLOOKUP(J262,eq!$D$2:$K$42,8,)</f>
        <v>((pi*X2*100/32)*((a+b)^2 + (c+d)^2))*0.15</v>
      </c>
      <c r="S262" s="4" t="str">
        <f t="shared" si="24"/>
        <v>((3.141593*2.42*100/32)*((10+13)^2 + (14+15)^2))*0.15</v>
      </c>
      <c r="T262" s="4" cm="1">
        <f t="array" ref="T262">eval_dw/2</f>
        <v>2441.165023171875</v>
      </c>
      <c r="U262" s="1">
        <f>T262*2/VLOOKUP(J262,eq!$D$2:$G$42,4,)</f>
        <v>32548.866975625002</v>
      </c>
      <c r="V262" s="1">
        <f t="shared" si="25"/>
        <v>4882.3300463437499</v>
      </c>
      <c r="W262" s="1" cm="1">
        <f t="array" ref="W262">IF(LEFT(J262,1)="S",eval_S/2,((3.141593*Q262/32)*((K262/100+L262/100)^2+(M262/100+N262/100)^2))*1000000*VLOOKUP(J262,eq!$D$2:$G$42,4,)/2)</f>
        <v>2441.165023171875</v>
      </c>
      <c r="X262" s="1">
        <f>((3.141593*Q262/32)*((K262+L262)^2+(M262+N262)^2))*1000000*VLOOKUP(J262,eq!$D$2:$G$42,4,)/2</f>
        <v>24411650.231718745</v>
      </c>
      <c r="Y262" s="1"/>
      <c r="Z262" s="1"/>
      <c r="AA262" s="1"/>
      <c r="AB262" s="1"/>
      <c r="AC262" s="1"/>
      <c r="AD262" s="1"/>
      <c r="AE262" s="1"/>
      <c r="AF262" s="1"/>
      <c r="AG262" s="1"/>
      <c r="AH262" s="1"/>
    </row>
    <row r="263" spans="1:34" ht="15.75" customHeight="1">
      <c r="A263" s="1" t="s">
        <v>6</v>
      </c>
      <c r="B263" s="4">
        <v>29</v>
      </c>
      <c r="C263" s="1" t="s">
        <v>8</v>
      </c>
      <c r="D263" s="1" t="s">
        <v>14</v>
      </c>
      <c r="E263" s="4" t="s">
        <v>12</v>
      </c>
      <c r="F263" s="4" t="str">
        <f t="shared" si="22"/>
        <v>TN_29_NA_B3</v>
      </c>
      <c r="G263" s="4" t="s">
        <v>8</v>
      </c>
      <c r="H263" s="4" t="s">
        <v>32</v>
      </c>
      <c r="I263" s="4">
        <v>3</v>
      </c>
      <c r="J263" s="4" t="str">
        <f t="shared" si="23"/>
        <v>T_3_NA</v>
      </c>
      <c r="K263" s="4">
        <v>13</v>
      </c>
      <c r="L263" s="4">
        <v>15</v>
      </c>
      <c r="M263" s="4">
        <v>13</v>
      </c>
      <c r="N263" s="4">
        <v>15</v>
      </c>
      <c r="O263" s="4"/>
      <c r="P263" s="4">
        <v>0.24</v>
      </c>
      <c r="Q263" s="4" t="str">
        <f t="shared" si="21"/>
        <v>0.24</v>
      </c>
      <c r="R263" s="4" t="str">
        <f>VLOOKUP(J263,eq!$D$2:$K$42,8,)</f>
        <v>((pi*X2*100/32)*((a+b)^2 + (c+d)^2))*0.35</v>
      </c>
      <c r="S263" s="4" t="str">
        <f t="shared" si="24"/>
        <v>((3.141593*0.24*100/32)*((13+15)^2 + (13+15)^2))*0.35</v>
      </c>
      <c r="T263" s="4" cm="1">
        <f t="array" ref="T263">eval_dw/2</f>
        <v>646.53983939999989</v>
      </c>
      <c r="U263" s="1">
        <f>T263*2/VLOOKUP(J263,eq!$D$2:$G$42,4,)</f>
        <v>3694.5133679999994</v>
      </c>
      <c r="V263" s="1">
        <f t="shared" si="25"/>
        <v>1293.0796787999998</v>
      </c>
      <c r="W263" s="1" cm="1">
        <f t="array" ref="W263">IF(LEFT(J263,1)="S",eval_S/2,((3.141593*Q263/32)*((K263/100+L263/100)^2+(M263/100+N263/100)^2))*1000000*VLOOKUP(J263,eq!$D$2:$G$42,4,)/2)</f>
        <v>646.53983940000012</v>
      </c>
      <c r="X263" s="1">
        <f>((3.141593*Q263/32)*((K263+L263)^2+(M263+N263)^2))*1000000*VLOOKUP(J263,eq!$D$2:$G$42,4,)/2</f>
        <v>6465398.3939999994</v>
      </c>
      <c r="Y263" s="1"/>
      <c r="Z263" s="1"/>
      <c r="AA263" s="1"/>
      <c r="AB263" s="1"/>
      <c r="AC263" s="1"/>
      <c r="AD263" s="1"/>
      <c r="AE263" s="1"/>
      <c r="AF263" s="1"/>
      <c r="AG263" s="1"/>
      <c r="AH263" s="1"/>
    </row>
    <row r="264" spans="1:34" ht="15.75" customHeight="1">
      <c r="A264" s="1" t="s">
        <v>6</v>
      </c>
      <c r="B264" s="4">
        <v>29</v>
      </c>
      <c r="C264" s="1" t="s">
        <v>8</v>
      </c>
      <c r="D264" s="1" t="s">
        <v>14</v>
      </c>
      <c r="E264" s="4" t="s">
        <v>10</v>
      </c>
      <c r="F264" s="4" t="str">
        <f t="shared" si="22"/>
        <v>TN_29_NA_B4</v>
      </c>
      <c r="G264" s="4" t="s">
        <v>8</v>
      </c>
      <c r="H264" s="4" t="s">
        <v>9</v>
      </c>
      <c r="I264" s="4">
        <v>5</v>
      </c>
      <c r="J264" s="4" t="str">
        <f t="shared" si="23"/>
        <v>F_5_NA</v>
      </c>
      <c r="K264" s="4">
        <v>13</v>
      </c>
      <c r="L264" s="4">
        <v>8</v>
      </c>
      <c r="M264" s="4">
        <v>5</v>
      </c>
      <c r="N264" s="4">
        <v>7</v>
      </c>
      <c r="O264" s="4">
        <v>2.41</v>
      </c>
      <c r="P264" s="4"/>
      <c r="Q264" s="4" t="str">
        <f t="shared" si="21"/>
        <v>2.41</v>
      </c>
      <c r="R264" s="4" t="str">
        <f>VLOOKUP(J264,eq!$D$2:$K$42,8,)</f>
        <v>((pi*X2*100/32)*((a+b)^2 + (c+d)^2))*0.11</v>
      </c>
      <c r="S264" s="4" t="str">
        <f t="shared" si="24"/>
        <v>((3.141593*2.41*100/32)*((13+8)^2 + (5+7)^2))*0.11</v>
      </c>
      <c r="T264" s="4" cm="1">
        <f t="array" ref="T264">eval_dw/2</f>
        <v>761.26443439921877</v>
      </c>
      <c r="U264" s="1">
        <f>T264*2/VLOOKUP(J264,eq!$D$2:$G$42,4,)</f>
        <v>13841.17153453125</v>
      </c>
      <c r="V264" s="1">
        <f t="shared" si="25"/>
        <v>1522.5288687984375</v>
      </c>
      <c r="W264" s="1" cm="1">
        <f t="array" ref="W264">IF(LEFT(J264,1)="S",eval_S/2,((3.141593*Q264/32)*((K264/100+L264/100)^2+(M264/100+N264/100)^2))*1000000*VLOOKUP(J264,eq!$D$2:$G$42,4,)/2)</f>
        <v>761.26443439921889</v>
      </c>
      <c r="X264" s="1">
        <f>((3.141593*Q264/32)*((K264+L264)^2+(M264+N264)^2))*1000000*VLOOKUP(J264,eq!$D$2:$G$42,4,)/2</f>
        <v>7612644.3439921876</v>
      </c>
      <c r="Y264" s="1"/>
      <c r="Z264" s="1"/>
      <c r="AA264" s="1"/>
      <c r="AB264" s="1"/>
      <c r="AC264" s="1"/>
      <c r="AD264" s="1"/>
      <c r="AE264" s="1"/>
      <c r="AF264" s="1"/>
      <c r="AG264" s="1"/>
      <c r="AH264" s="1"/>
    </row>
    <row r="265" spans="1:34" ht="15.75" customHeight="1">
      <c r="A265" s="1" t="s">
        <v>6</v>
      </c>
      <c r="B265" s="4">
        <v>30</v>
      </c>
      <c r="C265" s="1" t="s">
        <v>8</v>
      </c>
      <c r="D265" s="1" t="s">
        <v>14</v>
      </c>
      <c r="E265" s="4" t="s">
        <v>13</v>
      </c>
      <c r="F265" s="4" t="str">
        <f t="shared" si="22"/>
        <v>TN_30_NA_B1</v>
      </c>
      <c r="G265" s="4" t="s">
        <v>8</v>
      </c>
      <c r="H265" s="4" t="s">
        <v>32</v>
      </c>
      <c r="I265" s="4">
        <v>5</v>
      </c>
      <c r="J265" s="4" t="str">
        <f t="shared" si="23"/>
        <v>T_5_NA</v>
      </c>
      <c r="K265" s="4">
        <v>11</v>
      </c>
      <c r="L265" s="4">
        <v>11</v>
      </c>
      <c r="M265" s="4">
        <v>11</v>
      </c>
      <c r="N265" s="4">
        <v>11</v>
      </c>
      <c r="O265" s="4"/>
      <c r="P265" s="4">
        <v>0.16</v>
      </c>
      <c r="Q265" s="4" t="str">
        <f t="shared" si="21"/>
        <v>0.16</v>
      </c>
      <c r="R265" s="4" t="str">
        <f>VLOOKUP(J265,eq!$D$2:$K$42,8,)</f>
        <v>((pi*X2*100/32)*((a+b)^2 + (c+d)^2))*0.25</v>
      </c>
      <c r="S265" s="4" t="str">
        <f t="shared" si="24"/>
        <v>((3.141593*0.16*100/32)*((11+11)^2 + (11+11)^2))*0.25</v>
      </c>
      <c r="T265" s="4" cm="1">
        <f t="array" ref="T265">eval_dw/2</f>
        <v>190.06637650000002</v>
      </c>
      <c r="U265" s="1">
        <f>T265*2/VLOOKUP(J265,eq!$D$2:$G$42,4,)</f>
        <v>1520.5310120000001</v>
      </c>
      <c r="V265" s="1">
        <f t="shared" si="25"/>
        <v>380.13275300000004</v>
      </c>
      <c r="W265" s="1" cm="1">
        <f t="array" ref="W265">IF(LEFT(J265,1)="S",eval_S/2,((3.141593*Q265/32)*((K265/100+L265/100)^2+(M265/100+N265/100)^2))*1000000*VLOOKUP(J265,eq!$D$2:$G$42,4,)/2)</f>
        <v>190.06637650000002</v>
      </c>
      <c r="X265" s="1">
        <f>((3.141593*Q265/32)*((K265+L265)^2+(M265+N265)^2))*1000000*VLOOKUP(J265,eq!$D$2:$G$42,4,)/2</f>
        <v>1900663.7649999999</v>
      </c>
      <c r="Y265" s="1"/>
      <c r="Z265" s="1"/>
      <c r="AA265" s="1"/>
      <c r="AB265" s="1"/>
      <c r="AC265" s="1"/>
      <c r="AD265" s="1"/>
      <c r="AE265" s="1"/>
      <c r="AF265" s="1"/>
      <c r="AG265" s="1"/>
      <c r="AH265" s="1"/>
    </row>
    <row r="266" spans="1:34" ht="15.75" customHeight="1">
      <c r="A266" s="1" t="s">
        <v>6</v>
      </c>
      <c r="B266" s="4">
        <v>30</v>
      </c>
      <c r="C266" s="1" t="s">
        <v>8</v>
      </c>
      <c r="D266" s="1" t="s">
        <v>14</v>
      </c>
      <c r="E266" s="4" t="s">
        <v>7</v>
      </c>
      <c r="F266" s="4" t="str">
        <f t="shared" si="22"/>
        <v>TN_30_NA_B2</v>
      </c>
      <c r="G266" s="4" t="s">
        <v>8</v>
      </c>
      <c r="H266" s="4" t="s">
        <v>9</v>
      </c>
      <c r="I266" s="4">
        <v>2</v>
      </c>
      <c r="J266" s="4" t="str">
        <f t="shared" si="23"/>
        <v>F_2_NA</v>
      </c>
      <c r="K266" s="4">
        <v>17</v>
      </c>
      <c r="L266" s="4">
        <v>20</v>
      </c>
      <c r="M266" s="4">
        <v>17</v>
      </c>
      <c r="N266" s="4">
        <v>20</v>
      </c>
      <c r="O266" s="4">
        <v>1.46</v>
      </c>
      <c r="P266" s="4"/>
      <c r="Q266" s="4" t="str">
        <f t="shared" si="21"/>
        <v>1.46</v>
      </c>
      <c r="R266" s="4" t="str">
        <f>VLOOKUP(J266,eq!$D$2:$K$42,8,)</f>
        <v>((pi*X2*100/32)*((a+b)^2 + (c+d)^2))*0.33</v>
      </c>
      <c r="S266" s="4" t="str">
        <f t="shared" si="24"/>
        <v>((3.141593*1.46*100/32)*((17+20)^2 + (17+20)^2))*0.33</v>
      </c>
      <c r="T266" s="4" cm="1">
        <f t="array" ref="T266">eval_dw/2</f>
        <v>6475.453455095625</v>
      </c>
      <c r="U266" s="1">
        <f>T266*2/VLOOKUP(J266,eq!$D$2:$G$42,4,)</f>
        <v>39245.172455125001</v>
      </c>
      <c r="V266" s="1">
        <f t="shared" si="25"/>
        <v>12950.90691019125</v>
      </c>
      <c r="W266" s="1" cm="1">
        <f t="array" ref="W266">IF(LEFT(J266,1)="S",eval_S/2,((3.141593*Q266/32)*((K266/100+L266/100)^2+(M266/100+N266/100)^2))*1000000*VLOOKUP(J266,eq!$D$2:$G$42,4,)/2)</f>
        <v>6475.453455095625</v>
      </c>
      <c r="X266" s="1">
        <f>((3.141593*Q266/32)*((K266+L266)^2+(M266+N266)^2))*1000000*VLOOKUP(J266,eq!$D$2:$G$42,4,)/2</f>
        <v>64754534.550956249</v>
      </c>
      <c r="Y266" s="1"/>
      <c r="Z266" s="1"/>
      <c r="AA266" s="1"/>
      <c r="AB266" s="1"/>
      <c r="AC266" s="1"/>
      <c r="AD266" s="1"/>
      <c r="AE266" s="1"/>
      <c r="AF266" s="1"/>
      <c r="AG266" s="1"/>
      <c r="AH266" s="1"/>
    </row>
    <row r="267" spans="1:34" ht="15.75" customHeight="1">
      <c r="A267" s="1" t="s">
        <v>6</v>
      </c>
      <c r="B267" s="4">
        <v>30</v>
      </c>
      <c r="C267" s="1" t="s">
        <v>8</v>
      </c>
      <c r="D267" s="1" t="s">
        <v>14</v>
      </c>
      <c r="E267" s="4" t="s">
        <v>12</v>
      </c>
      <c r="F267" s="4" t="str">
        <f t="shared" si="22"/>
        <v>TN_30_NA_B3</v>
      </c>
      <c r="G267" s="5" t="s">
        <v>8</v>
      </c>
      <c r="H267" s="5" t="s">
        <v>8</v>
      </c>
      <c r="I267" s="5" t="s">
        <v>8</v>
      </c>
      <c r="J267" s="4" t="str">
        <f t="shared" si="23"/>
        <v>NA_NA_NA</v>
      </c>
      <c r="K267" s="5"/>
      <c r="L267" s="5"/>
      <c r="M267" s="5"/>
      <c r="N267" s="5"/>
      <c r="O267" s="5"/>
      <c r="P267" s="5"/>
      <c r="Q267" s="4" t="str">
        <f t="shared" si="21"/>
        <v/>
      </c>
      <c r="R267" s="4">
        <f>VLOOKUP(J267,eq!$D$2:$K$42,8,)</f>
        <v>0</v>
      </c>
      <c r="S267" s="4" t="str">
        <f t="shared" si="24"/>
        <v>0</v>
      </c>
      <c r="T267" s="4" cm="1">
        <f t="array" ref="T267">eval_dw/2</f>
        <v>0</v>
      </c>
      <c r="U267" s="1" t="e">
        <f>T267*2/VLOOKUP(J267,eq!$D$2:$G$42,4,)</f>
        <v>#DIV/0!</v>
      </c>
      <c r="V267" s="1">
        <f t="shared" si="25"/>
        <v>0</v>
      </c>
      <c r="W267" s="1" t="e" cm="1">
        <f t="array" ref="W267">IF(LEFT(J267,1)="S",eval_S/2,((3.141593*Q267/32)*((K267/100+L267/100)^2+(M267/100+N267/100)^2))*1000000*VLOOKUP(J267,eq!$D$2:$G$42,4,)/2)</f>
        <v>#VALUE!</v>
      </c>
      <c r="X267" s="1" t="e">
        <f>((3.141593*Q267/32)*((K267+L267)^2+(M267+N267)^2))*1000000*VLOOKUP(J267,eq!$D$2:$G$42,4,)/2</f>
        <v>#VALUE!</v>
      </c>
      <c r="Y267" s="1"/>
      <c r="Z267" s="1"/>
      <c r="AA267" s="1"/>
      <c r="AB267" s="1"/>
      <c r="AC267" s="1"/>
      <c r="AD267" s="1"/>
      <c r="AE267" s="1"/>
      <c r="AF267" s="1"/>
      <c r="AG267" s="1"/>
      <c r="AH267" s="1"/>
    </row>
    <row r="268" spans="1:34" ht="15.75" customHeight="1">
      <c r="A268" s="1" t="s">
        <v>6</v>
      </c>
      <c r="B268" s="4">
        <v>30</v>
      </c>
      <c r="C268" s="1" t="s">
        <v>8</v>
      </c>
      <c r="D268" s="1" t="s">
        <v>14</v>
      </c>
      <c r="E268" s="4" t="s">
        <v>10</v>
      </c>
      <c r="F268" s="4" t="str">
        <f t="shared" si="22"/>
        <v>TN_30_NA_B4</v>
      </c>
      <c r="G268" s="5" t="s">
        <v>8</v>
      </c>
      <c r="H268" s="5" t="s">
        <v>8</v>
      </c>
      <c r="I268" s="5" t="s">
        <v>8</v>
      </c>
      <c r="J268" s="4" t="str">
        <f t="shared" si="23"/>
        <v>NA_NA_NA</v>
      </c>
      <c r="K268" s="5"/>
      <c r="L268" s="5"/>
      <c r="M268" s="5"/>
      <c r="N268" s="5"/>
      <c r="O268" s="5"/>
      <c r="P268" s="5"/>
      <c r="Q268" s="4" t="str">
        <f t="shared" si="21"/>
        <v/>
      </c>
      <c r="R268" s="4">
        <f>VLOOKUP(J268,eq!$D$2:$K$42,8,)</f>
        <v>0</v>
      </c>
      <c r="S268" s="4" t="str">
        <f t="shared" si="24"/>
        <v>0</v>
      </c>
      <c r="T268" s="4" cm="1">
        <f t="array" ref="T268">eval_dw/2</f>
        <v>0</v>
      </c>
      <c r="U268" s="1" t="e">
        <f>T268*2/VLOOKUP(J268,eq!$D$2:$G$42,4,)</f>
        <v>#DIV/0!</v>
      </c>
      <c r="V268" s="1">
        <f t="shared" si="25"/>
        <v>0</v>
      </c>
      <c r="W268" s="1" t="e" cm="1">
        <f t="array" ref="W268">IF(LEFT(J268,1)="S",eval_S/2,((3.141593*Q268/32)*((K268/100+L268/100)^2+(M268/100+N268/100)^2))*1000000*VLOOKUP(J268,eq!$D$2:$G$42,4,)/2)</f>
        <v>#VALUE!</v>
      </c>
      <c r="X268" s="1" t="e">
        <f>((3.141593*Q268/32)*((K268+L268)^2+(M268+N268)^2))*1000000*VLOOKUP(J268,eq!$D$2:$G$42,4,)/2</f>
        <v>#VALUE!</v>
      </c>
      <c r="Y268" s="1"/>
      <c r="Z268" s="1"/>
      <c r="AA268" s="1"/>
      <c r="AB268" s="1"/>
      <c r="AC268" s="1"/>
      <c r="AD268" s="1"/>
      <c r="AE268" s="1"/>
      <c r="AF268" s="1"/>
      <c r="AG268" s="1"/>
      <c r="AH268" s="1"/>
    </row>
    <row r="269" spans="1:34" ht="15.75" customHeight="1">
      <c r="A269" s="1" t="s">
        <v>6</v>
      </c>
      <c r="B269" s="4">
        <v>31</v>
      </c>
      <c r="C269" s="2" t="s">
        <v>23</v>
      </c>
      <c r="D269" s="1" t="s">
        <v>15</v>
      </c>
      <c r="E269" s="4" t="s">
        <v>13</v>
      </c>
      <c r="F269" s="4" t="str">
        <f t="shared" si="22"/>
        <v>TN_31_CTRL_B1</v>
      </c>
      <c r="G269" s="4" t="s">
        <v>11</v>
      </c>
      <c r="H269" s="4" t="s">
        <v>9</v>
      </c>
      <c r="I269" s="4">
        <v>1</v>
      </c>
      <c r="J269" s="4" t="str">
        <f t="shared" si="23"/>
        <v>F_1_S</v>
      </c>
      <c r="K269" s="4">
        <v>29</v>
      </c>
      <c r="L269" s="4">
        <v>33</v>
      </c>
      <c r="M269" s="4">
        <v>29</v>
      </c>
      <c r="N269" s="4">
        <v>33</v>
      </c>
      <c r="O269" s="4">
        <v>3.53</v>
      </c>
      <c r="P269" s="4"/>
      <c r="Q269" s="4" t="str">
        <f t="shared" si="21"/>
        <v>3.53</v>
      </c>
      <c r="R269" s="4" t="str">
        <f>VLOOKUP(J269,eq!$D$2:$K$42,8,)</f>
        <v>((pi*X2*100/32)*((a+b)^2 + (c+d)^2))*0.38</v>
      </c>
      <c r="S269" s="4" t="str">
        <f t="shared" si="24"/>
        <v>((3.141593*3.53*100/32)*((29+33)^2 + (29+33)^2))*0.38</v>
      </c>
      <c r="T269" s="4" cm="1">
        <f t="array" ref="T269">eval_dw/2</f>
        <v>50622.270863027501</v>
      </c>
      <c r="U269" s="1">
        <f>T269*2/VLOOKUP(J269,eq!$D$2:$G$42,4,)</f>
        <v>266433.00454225001</v>
      </c>
      <c r="V269" s="1">
        <f t="shared" si="25"/>
        <v>101244.541726055</v>
      </c>
      <c r="W269" s="1" cm="1">
        <f t="array" ref="W269">IF(LEFT(J269,1)="S",eval_S/2,((3.141593*Q269/32)*((K269/100+L269/100)^2+(M269/100+N269/100)^2))*1000000*VLOOKUP(J269,eq!$D$2:$G$42,4,)/2)</f>
        <v>50622.270863027501</v>
      </c>
      <c r="X269" s="1">
        <f>((3.141593*Q269/32)*((K269+L269)^2+(M269+N269)^2))*1000000*VLOOKUP(J269,eq!$D$2:$G$42,4,)/2</f>
        <v>506222708.63027495</v>
      </c>
      <c r="Y269" s="1"/>
      <c r="Z269" s="1"/>
      <c r="AA269" s="1"/>
      <c r="AB269" s="1"/>
      <c r="AC269" s="1"/>
      <c r="AD269" s="1"/>
      <c r="AE269" s="1"/>
      <c r="AF269" s="1"/>
      <c r="AG269" s="1"/>
      <c r="AH269" s="1"/>
    </row>
    <row r="270" spans="1:34" ht="15.75" customHeight="1">
      <c r="A270" s="1" t="s">
        <v>6</v>
      </c>
      <c r="B270" s="4">
        <v>31</v>
      </c>
      <c r="C270" s="2" t="s">
        <v>23</v>
      </c>
      <c r="D270" s="1" t="s">
        <v>15</v>
      </c>
      <c r="E270" s="4" t="s">
        <v>13</v>
      </c>
      <c r="F270" s="4" t="str">
        <f t="shared" si="22"/>
        <v>TN_31_CTRL_B1</v>
      </c>
      <c r="G270" s="4" t="s">
        <v>8</v>
      </c>
      <c r="H270" s="4" t="s">
        <v>11</v>
      </c>
      <c r="I270" s="4">
        <v>5</v>
      </c>
      <c r="J270" s="4" t="str">
        <f t="shared" si="23"/>
        <v>S_5_NA</v>
      </c>
      <c r="K270" s="4">
        <v>17</v>
      </c>
      <c r="L270" s="4"/>
      <c r="M270" s="4">
        <v>17</v>
      </c>
      <c r="N270" s="4"/>
      <c r="O270" s="4"/>
      <c r="P270" s="4">
        <v>7.5</v>
      </c>
      <c r="Q270" s="4" t="str">
        <f t="shared" si="21"/>
        <v>7.5</v>
      </c>
      <c r="R270" s="4" t="str">
        <f>VLOOKUP(J270,eq!$D$2:$K$42,8,)</f>
        <v>((0.0000598*((X4^2)*X2)^0.946)*(1.0-0.0019*X4)*1000009)*0.25</v>
      </c>
      <c r="S270" s="4" t="str">
        <f t="shared" si="24"/>
        <v>((0.0000598*((17^2)*7.5)^0.946)*(1.0-0.0019*17)*1000009)*0.25</v>
      </c>
      <c r="T270" s="4" cm="1">
        <f t="array" ref="T270">eval_dw/2</f>
        <v>10355.549789489483</v>
      </c>
      <c r="U270" s="1">
        <f>T270*2/VLOOKUP(J270,eq!$D$2:$G$42,4,)</f>
        <v>82844.398315915867</v>
      </c>
      <c r="V270" s="1">
        <f t="shared" si="25"/>
        <v>20711.099578978967</v>
      </c>
      <c r="W270" s="1" cm="1">
        <f t="array" ref="W270">IF(LEFT(J270,1)="S",eval_S/2,((3.141593*Q270/32)*((K270/100+L270/100)^2+(M270/100+N270/100)^2))*1000000*VLOOKUP(J270,eq!$D$2:$G$42,4,)/2)</f>
        <v>10355.549789489483</v>
      </c>
      <c r="X270" s="1">
        <f>((3.141593*Q270/32)*((K270+L270)^2+(M270+N270)^2))*1000000*VLOOKUP(J270,eq!$D$2:$G$42,4,)/2</f>
        <v>53198459.58984375</v>
      </c>
      <c r="Y270" s="1"/>
      <c r="Z270" s="1"/>
      <c r="AA270" s="1"/>
      <c r="AB270" s="1"/>
      <c r="AC270" s="1"/>
      <c r="AD270" s="1"/>
      <c r="AE270" s="1"/>
      <c r="AF270" s="1"/>
      <c r="AG270" s="1"/>
      <c r="AH270" s="1"/>
    </row>
    <row r="271" spans="1:34" ht="15.75" customHeight="1">
      <c r="A271" s="1" t="s">
        <v>6</v>
      </c>
      <c r="B271" s="4">
        <v>31</v>
      </c>
      <c r="C271" s="2" t="s">
        <v>23</v>
      </c>
      <c r="D271" s="1" t="s">
        <v>15</v>
      </c>
      <c r="E271" s="4" t="s">
        <v>7</v>
      </c>
      <c r="F271" s="4" t="str">
        <f t="shared" si="22"/>
        <v>TN_31_CTRL_B2</v>
      </c>
      <c r="G271" s="4" t="s">
        <v>8</v>
      </c>
      <c r="H271" s="4" t="s">
        <v>9</v>
      </c>
      <c r="I271" s="4">
        <v>3</v>
      </c>
      <c r="J271" s="4" t="str">
        <f t="shared" si="23"/>
        <v>F_3_NA</v>
      </c>
      <c r="K271" s="4">
        <v>21</v>
      </c>
      <c r="L271" s="4">
        <v>19</v>
      </c>
      <c r="M271" s="4">
        <v>21</v>
      </c>
      <c r="N271" s="4">
        <v>19</v>
      </c>
      <c r="O271" s="4">
        <v>3</v>
      </c>
      <c r="P271" s="4"/>
      <c r="Q271" s="4" t="str">
        <f t="shared" si="21"/>
        <v>3</v>
      </c>
      <c r="R271" s="4" t="str">
        <f>VLOOKUP(J271,eq!$D$2:$K$42,8,)</f>
        <v>((pi*X2*100/32)*((a+b)^2 + (c+d)^2))*0.26</v>
      </c>
      <c r="S271" s="4" t="str">
        <f t="shared" si="24"/>
        <v>((3.141593*3*100/32)*((21+19)^2 + (21+19)^2))*0.26</v>
      </c>
      <c r="T271" s="4" cm="1">
        <f t="array" ref="T271">eval_dw/2</f>
        <v>12252.212699999998</v>
      </c>
      <c r="U271" s="1">
        <f>T271*2/VLOOKUP(J271,eq!$D$2:$G$42,4,)</f>
        <v>94247.789999999979</v>
      </c>
      <c r="V271" s="1">
        <f t="shared" si="25"/>
        <v>24504.425399999996</v>
      </c>
      <c r="W271" s="1" cm="1">
        <f t="array" ref="W271">IF(LEFT(J271,1)="S",eval_S/2,((3.141593*Q271/32)*((K271/100+L271/100)^2+(M271/100+N271/100)^2))*1000000*VLOOKUP(J271,eq!$D$2:$G$42,4,)/2)</f>
        <v>12252.212700000002</v>
      </c>
      <c r="X271" s="1">
        <f>((3.141593*Q271/32)*((K271+L271)^2+(M271+N271)^2))*1000000*VLOOKUP(J271,eq!$D$2:$G$42,4,)/2</f>
        <v>122522126.99999999</v>
      </c>
      <c r="Y271" s="1"/>
      <c r="Z271" s="1"/>
      <c r="AA271" s="1"/>
      <c r="AB271" s="1"/>
      <c r="AC271" s="1"/>
      <c r="AD271" s="1"/>
      <c r="AE271" s="1"/>
      <c r="AF271" s="1"/>
      <c r="AG271" s="1"/>
      <c r="AH271" s="1"/>
    </row>
    <row r="272" spans="1:34" ht="15.75" customHeight="1">
      <c r="A272" s="1" t="s">
        <v>6</v>
      </c>
      <c r="B272" s="4">
        <v>31</v>
      </c>
      <c r="C272" s="2" t="s">
        <v>23</v>
      </c>
      <c r="D272" s="1" t="s">
        <v>15</v>
      </c>
      <c r="E272" s="4" t="s">
        <v>7</v>
      </c>
      <c r="F272" s="4" t="str">
        <f t="shared" si="22"/>
        <v>TN_31_CTRL_B2</v>
      </c>
      <c r="G272" s="4" t="s">
        <v>11</v>
      </c>
      <c r="H272" s="4" t="s">
        <v>9</v>
      </c>
      <c r="I272" s="4">
        <v>1</v>
      </c>
      <c r="J272" s="4" t="str">
        <f t="shared" si="23"/>
        <v>F_1_S</v>
      </c>
      <c r="K272" s="4">
        <v>28</v>
      </c>
      <c r="L272" s="4">
        <v>33</v>
      </c>
      <c r="M272" s="4">
        <v>28</v>
      </c>
      <c r="N272" s="4">
        <v>33</v>
      </c>
      <c r="O272" s="4">
        <v>0.82</v>
      </c>
      <c r="P272" s="4"/>
      <c r="Q272" s="4" t="str">
        <f t="shared" si="21"/>
        <v>0.82</v>
      </c>
      <c r="R272" s="4" t="str">
        <f>VLOOKUP(J272,eq!$D$2:$K$42,8,)</f>
        <v>((pi*X2*100/32)*((a+b)^2 + (c+d)^2))*0.38</v>
      </c>
      <c r="S272" s="4" t="str">
        <f t="shared" si="24"/>
        <v>((3.141593*0.82*100/32)*((28+33)^2 + (28+33)^2))*0.38</v>
      </c>
      <c r="T272" s="4" cm="1">
        <f t="array" ref="T272">eval_dw/2</f>
        <v>11383.00852973375</v>
      </c>
      <c r="U272" s="1">
        <f>T272*2/VLOOKUP(J272,eq!$D$2:$G$42,4,)</f>
        <v>59910.571209125002</v>
      </c>
      <c r="V272" s="1">
        <f t="shared" si="25"/>
        <v>22766.0170594675</v>
      </c>
      <c r="W272" s="1" cm="1">
        <f t="array" ref="W272">IF(LEFT(J272,1)="S",eval_S/2,((3.141593*Q272/32)*((K272/100+L272/100)^2+(M272/100+N272/100)^2))*1000000*VLOOKUP(J272,eq!$D$2:$G$42,4,)/2)</f>
        <v>11383.00852973375</v>
      </c>
      <c r="X272" s="1">
        <f>((3.141593*Q272/32)*((K272+L272)^2+(M272+N272)^2))*1000000*VLOOKUP(J272,eq!$D$2:$G$42,4,)/2</f>
        <v>113830085.29733747</v>
      </c>
      <c r="Y272" s="1"/>
      <c r="Z272" s="1"/>
      <c r="AA272" s="1"/>
      <c r="AB272" s="1"/>
      <c r="AC272" s="1"/>
      <c r="AD272" s="1"/>
      <c r="AE272" s="1"/>
      <c r="AF272" s="1"/>
      <c r="AG272" s="1"/>
      <c r="AH272" s="1"/>
    </row>
    <row r="273" spans="1:34" ht="15.75" customHeight="1">
      <c r="A273" s="1" t="s">
        <v>6</v>
      </c>
      <c r="B273" s="4">
        <v>31</v>
      </c>
      <c r="C273" s="2" t="s">
        <v>23</v>
      </c>
      <c r="D273" s="1" t="s">
        <v>15</v>
      </c>
      <c r="E273" s="4" t="s">
        <v>7</v>
      </c>
      <c r="F273" s="4" t="str">
        <f t="shared" si="22"/>
        <v>TN_31_CTRL_B2</v>
      </c>
      <c r="G273" s="4" t="s">
        <v>8</v>
      </c>
      <c r="H273" s="4" t="s">
        <v>9</v>
      </c>
      <c r="I273" s="4">
        <v>4</v>
      </c>
      <c r="J273" s="4" t="str">
        <f t="shared" si="23"/>
        <v>F_4_NA</v>
      </c>
      <c r="K273" s="4">
        <v>17</v>
      </c>
      <c r="L273" s="4">
        <v>17</v>
      </c>
      <c r="M273" s="4">
        <v>17</v>
      </c>
      <c r="N273" s="4">
        <v>17</v>
      </c>
      <c r="O273" s="4">
        <v>3.2</v>
      </c>
      <c r="P273" s="4"/>
      <c r="Q273" s="4" t="str">
        <f t="shared" si="21"/>
        <v>3.2</v>
      </c>
      <c r="R273" s="4" t="str">
        <f>VLOOKUP(J273,eq!$D$2:$K$42,8,)</f>
        <v>((pi*X2*100/32)*((a+b)^2 + (c+d)^2))*0.15</v>
      </c>
      <c r="S273" s="4" t="str">
        <f t="shared" si="24"/>
        <v>((3.141593*3.2*100/32)*((17+17)^2 + (17+17)^2))*0.15</v>
      </c>
      <c r="T273" s="4" cm="1">
        <f t="array" ref="T273">eval_dw/2</f>
        <v>5447.5222619999995</v>
      </c>
      <c r="U273" s="1">
        <f>T273*2/VLOOKUP(J273,eq!$D$2:$G$42,4,)</f>
        <v>72633.630160000001</v>
      </c>
      <c r="V273" s="1">
        <f t="shared" si="25"/>
        <v>10895.044523999999</v>
      </c>
      <c r="W273" s="1" cm="1">
        <f t="array" ref="W273">IF(LEFT(J273,1)="S",eval_S/2,((3.141593*Q273/32)*((K273/100+L273/100)^2+(M273/100+N273/100)^2))*1000000*VLOOKUP(J273,eq!$D$2:$G$42,4,)/2)</f>
        <v>5447.5222620000013</v>
      </c>
      <c r="X273" s="1">
        <f>((3.141593*Q273/32)*((K273+L273)^2+(M273+N273)^2))*1000000*VLOOKUP(J273,eq!$D$2:$G$42,4,)/2</f>
        <v>54475222.619999997</v>
      </c>
      <c r="Y273" s="1"/>
      <c r="Z273" s="1"/>
      <c r="AA273" s="1"/>
      <c r="AB273" s="1"/>
      <c r="AC273" s="1"/>
      <c r="AD273" s="1"/>
      <c r="AE273" s="1"/>
      <c r="AF273" s="1"/>
      <c r="AG273" s="1"/>
      <c r="AH273" s="1"/>
    </row>
    <row r="274" spans="1:34" ht="15.75" customHeight="1">
      <c r="A274" s="1" t="s">
        <v>6</v>
      </c>
      <c r="B274" s="4">
        <v>31</v>
      </c>
      <c r="C274" s="2" t="s">
        <v>23</v>
      </c>
      <c r="D274" s="1" t="s">
        <v>15</v>
      </c>
      <c r="E274" s="4" t="s">
        <v>7</v>
      </c>
      <c r="F274" s="4" t="str">
        <f t="shared" si="22"/>
        <v>TN_31_CTRL_B2</v>
      </c>
      <c r="G274" s="4" t="s">
        <v>8</v>
      </c>
      <c r="H274" s="4" t="s">
        <v>32</v>
      </c>
      <c r="I274" s="4">
        <v>5</v>
      </c>
      <c r="J274" s="4" t="str">
        <f t="shared" si="23"/>
        <v>T_5_NA</v>
      </c>
      <c r="K274" s="4">
        <v>19</v>
      </c>
      <c r="L274" s="4">
        <v>18</v>
      </c>
      <c r="M274" s="4">
        <v>19</v>
      </c>
      <c r="N274" s="4">
        <v>18</v>
      </c>
      <c r="O274" s="4"/>
      <c r="P274" s="4">
        <v>0.66</v>
      </c>
      <c r="Q274" s="4" t="str">
        <f t="shared" si="21"/>
        <v>0.66</v>
      </c>
      <c r="R274" s="4" t="str">
        <f>VLOOKUP(J274,eq!$D$2:$K$42,8,)</f>
        <v>((pi*X2*100/32)*((a+b)^2 + (c+d)^2))*0.25</v>
      </c>
      <c r="S274" s="4" t="str">
        <f t="shared" si="24"/>
        <v>((3.141593*0.66*100/32)*((19+18)^2 + (19+18)^2))*0.25</v>
      </c>
      <c r="T274" s="4" cm="1">
        <f t="array" ref="T274">eval_dw/2</f>
        <v>2217.621046265625</v>
      </c>
      <c r="U274" s="1">
        <f>T274*2/VLOOKUP(J274,eq!$D$2:$G$42,4,)</f>
        <v>17740.968370125</v>
      </c>
      <c r="V274" s="1">
        <f t="shared" si="25"/>
        <v>4435.2420925312499</v>
      </c>
      <c r="W274" s="1" cm="1">
        <f t="array" ref="W274">IF(LEFT(J274,1)="S",eval_S/2,((3.141593*Q274/32)*((K274/100+L274/100)^2+(M274/100+N274/100)^2))*1000000*VLOOKUP(J274,eq!$D$2:$G$42,4,)/2)</f>
        <v>2217.621046265625</v>
      </c>
      <c r="X274" s="1">
        <f>((3.141593*Q274/32)*((K274+L274)^2+(M274+N274)^2))*1000000*VLOOKUP(J274,eq!$D$2:$G$42,4,)/2</f>
        <v>22176210.462656248</v>
      </c>
      <c r="Y274" s="1"/>
      <c r="Z274" s="1"/>
      <c r="AA274" s="1"/>
      <c r="AB274" s="1"/>
      <c r="AC274" s="1"/>
      <c r="AD274" s="1"/>
      <c r="AE274" s="1"/>
      <c r="AF274" s="1"/>
      <c r="AG274" s="1"/>
      <c r="AH274" s="1"/>
    </row>
    <row r="275" spans="1:34" ht="15.75" customHeight="1">
      <c r="A275" s="1" t="s">
        <v>6</v>
      </c>
      <c r="B275" s="4">
        <v>31</v>
      </c>
      <c r="C275" s="2" t="s">
        <v>23</v>
      </c>
      <c r="D275" s="1" t="s">
        <v>15</v>
      </c>
      <c r="E275" s="4" t="s">
        <v>12</v>
      </c>
      <c r="F275" s="4" t="str">
        <f t="shared" si="22"/>
        <v>TN_31_CTRL_B3</v>
      </c>
      <c r="G275" s="4" t="s">
        <v>11</v>
      </c>
      <c r="H275" s="4" t="s">
        <v>9</v>
      </c>
      <c r="I275" s="4">
        <v>1</v>
      </c>
      <c r="J275" s="4" t="str">
        <f t="shared" si="23"/>
        <v>F_1_S</v>
      </c>
      <c r="K275" s="4">
        <v>29</v>
      </c>
      <c r="L275" s="4">
        <v>33</v>
      </c>
      <c r="M275" s="4">
        <v>29</v>
      </c>
      <c r="N275" s="4">
        <v>33</v>
      </c>
      <c r="O275" s="4">
        <v>3.22</v>
      </c>
      <c r="P275" s="4"/>
      <c r="Q275" s="4" t="str">
        <f t="shared" si="21"/>
        <v>3.22</v>
      </c>
      <c r="R275" s="4" t="str">
        <f>VLOOKUP(J275,eq!$D$2:$K$42,8,)</f>
        <v>((pi*X2*100/32)*((a+b)^2 + (c+d)^2))*0.38</v>
      </c>
      <c r="S275" s="4" t="str">
        <f t="shared" si="24"/>
        <v>((3.141593*3.22*100/32)*((29+33)^2 + (29+33)^2))*0.38</v>
      </c>
      <c r="T275" s="4" cm="1">
        <f t="array" ref="T275">eval_dw/2</f>
        <v>46176.689002535</v>
      </c>
      <c r="U275" s="1">
        <f>T275*2/VLOOKUP(J275,eq!$D$2:$G$42,4,)</f>
        <v>243035.2052765</v>
      </c>
      <c r="V275" s="1">
        <f t="shared" si="25"/>
        <v>92353.378005070001</v>
      </c>
      <c r="W275" s="1" cm="1">
        <f t="array" ref="W275">IF(LEFT(J275,1)="S",eval_S/2,((3.141593*Q275/32)*((K275/100+L275/100)^2+(M275/100+N275/100)^2))*1000000*VLOOKUP(J275,eq!$D$2:$G$42,4,)/2)</f>
        <v>46176.689002535008</v>
      </c>
      <c r="X275" s="1">
        <f>((3.141593*Q275/32)*((K275+L275)^2+(M275+N275)^2))*1000000*VLOOKUP(J275,eq!$D$2:$G$42,4,)/2</f>
        <v>461766890.02535009</v>
      </c>
      <c r="Y275" s="1"/>
      <c r="Z275" s="1"/>
      <c r="AA275" s="1"/>
      <c r="AB275" s="1"/>
      <c r="AC275" s="1"/>
      <c r="AD275" s="1"/>
      <c r="AE275" s="1"/>
      <c r="AF275" s="1"/>
      <c r="AG275" s="1"/>
      <c r="AH275" s="1"/>
    </row>
    <row r="276" spans="1:34" ht="15.75" customHeight="1">
      <c r="A276" s="1" t="s">
        <v>6</v>
      </c>
      <c r="B276" s="4">
        <v>31</v>
      </c>
      <c r="C276" s="2" t="s">
        <v>23</v>
      </c>
      <c r="D276" s="1" t="s">
        <v>15</v>
      </c>
      <c r="E276" s="4" t="s">
        <v>12</v>
      </c>
      <c r="F276" s="4" t="str">
        <f t="shared" si="22"/>
        <v>TN_31_CTRL_B3</v>
      </c>
      <c r="G276" s="4" t="s">
        <v>8</v>
      </c>
      <c r="H276" s="4" t="s">
        <v>9</v>
      </c>
      <c r="I276" s="4">
        <v>3</v>
      </c>
      <c r="J276" s="4" t="str">
        <f t="shared" si="23"/>
        <v>F_3_NA</v>
      </c>
      <c r="K276" s="4">
        <v>17</v>
      </c>
      <c r="L276" s="4">
        <v>18</v>
      </c>
      <c r="M276" s="4">
        <v>17</v>
      </c>
      <c r="N276" s="4">
        <v>18</v>
      </c>
      <c r="O276" s="4">
        <v>3.1</v>
      </c>
      <c r="P276" s="4"/>
      <c r="Q276" s="4" t="str">
        <f t="shared" si="21"/>
        <v>3.1</v>
      </c>
      <c r="R276" s="4" t="str">
        <f>VLOOKUP(J276,eq!$D$2:$K$42,8,)</f>
        <v>((pi*X2*100/32)*((a+b)^2 + (c+d)^2))*0.26</v>
      </c>
      <c r="S276" s="4" t="str">
        <f t="shared" si="24"/>
        <v>((3.141593*3.1*100/32)*((17+18)^2 + (17+18)^2))*0.26</v>
      </c>
      <c r="T276" s="4" cm="1">
        <f t="array" ref="T276">eval_dw/2</f>
        <v>9693.2870267187482</v>
      </c>
      <c r="U276" s="1">
        <f>T276*2/VLOOKUP(J276,eq!$D$2:$G$42,4,)</f>
        <v>74563.746359374985</v>
      </c>
      <c r="V276" s="1">
        <f t="shared" si="25"/>
        <v>19386.574053437496</v>
      </c>
      <c r="W276" s="1" cm="1">
        <f t="array" ref="W276">IF(LEFT(J276,1)="S",eval_S/2,((3.141593*Q276/32)*((K276/100+L276/100)^2+(M276/100+N276/100)^2))*1000000*VLOOKUP(J276,eq!$D$2:$G$42,4,)/2)</f>
        <v>9693.2870267187482</v>
      </c>
      <c r="X276" s="1">
        <f>((3.141593*Q276/32)*((K276+L276)^2+(M276+N276)^2))*1000000*VLOOKUP(J276,eq!$D$2:$G$42,4,)/2</f>
        <v>96932870.267187491</v>
      </c>
      <c r="Y276" s="1"/>
      <c r="Z276" s="1"/>
      <c r="AA276" s="1"/>
      <c r="AB276" s="1"/>
      <c r="AC276" s="1"/>
      <c r="AD276" s="1"/>
      <c r="AE276" s="1"/>
      <c r="AF276" s="1"/>
      <c r="AG276" s="1"/>
      <c r="AH276" s="1"/>
    </row>
    <row r="277" spans="1:34" ht="15.75" customHeight="1">
      <c r="A277" s="1" t="s">
        <v>6</v>
      </c>
      <c r="B277" s="4">
        <v>31</v>
      </c>
      <c r="C277" s="2" t="s">
        <v>23</v>
      </c>
      <c r="D277" s="1" t="s">
        <v>15</v>
      </c>
      <c r="E277" s="4" t="s">
        <v>12</v>
      </c>
      <c r="F277" s="4" t="str">
        <f t="shared" si="22"/>
        <v>TN_31_CTRL_B3</v>
      </c>
      <c r="G277" s="4" t="s">
        <v>11</v>
      </c>
      <c r="H277" s="4" t="s">
        <v>9</v>
      </c>
      <c r="I277" s="4">
        <v>1</v>
      </c>
      <c r="J277" s="4" t="str">
        <f t="shared" si="23"/>
        <v>F_1_S</v>
      </c>
      <c r="K277" s="4">
        <v>20</v>
      </c>
      <c r="L277" s="4">
        <v>21</v>
      </c>
      <c r="M277" s="4">
        <v>20</v>
      </c>
      <c r="N277" s="4">
        <v>21</v>
      </c>
      <c r="O277" s="4">
        <v>0.99</v>
      </c>
      <c r="P277" s="4"/>
      <c r="Q277" s="4" t="str">
        <f t="shared" si="21"/>
        <v>0.99</v>
      </c>
      <c r="R277" s="4" t="str">
        <f>VLOOKUP(J277,eq!$D$2:$K$42,8,)</f>
        <v>((pi*X2*100/32)*((a+b)^2 + (c+d)^2))*0.38</v>
      </c>
      <c r="S277" s="4" t="str">
        <f t="shared" si="24"/>
        <v>((3.141593*0.99*100/32)*((20+21)^2 + (20+21)^2))*0.38</v>
      </c>
      <c r="T277" s="4" cm="1">
        <f t="array" ref="T277">eval_dw/2</f>
        <v>6208.4965899206245</v>
      </c>
      <c r="U277" s="1">
        <f>T277*2/VLOOKUP(J277,eq!$D$2:$G$42,4,)</f>
        <v>32676.297841687498</v>
      </c>
      <c r="V277" s="1">
        <f t="shared" si="25"/>
        <v>12416.993179841249</v>
      </c>
      <c r="W277" s="1" cm="1">
        <f t="array" ref="W277">IF(LEFT(J277,1)="S",eval_S/2,((3.141593*Q277/32)*((K277/100+L277/100)^2+(M277/100+N277/100)^2))*1000000*VLOOKUP(J277,eq!$D$2:$G$42,4,)/2)</f>
        <v>6208.4965899206263</v>
      </c>
      <c r="X277" s="1">
        <f>((3.141593*Q277/32)*((K277+L277)^2+(M277+N277)^2))*1000000*VLOOKUP(J277,eq!$D$2:$G$42,4,)/2</f>
        <v>62084965.899206251</v>
      </c>
      <c r="Y277" s="1"/>
      <c r="Z277" s="1"/>
      <c r="AA277" s="1"/>
      <c r="AB277" s="1"/>
      <c r="AC277" s="1"/>
      <c r="AD277" s="1"/>
      <c r="AE277" s="1"/>
      <c r="AF277" s="1"/>
      <c r="AG277" s="1"/>
      <c r="AH277" s="1"/>
    </row>
    <row r="278" spans="1:34" ht="15.75" customHeight="1">
      <c r="A278" s="1" t="s">
        <v>6</v>
      </c>
      <c r="B278" s="4">
        <v>31</v>
      </c>
      <c r="C278" s="2" t="s">
        <v>23</v>
      </c>
      <c r="D278" s="1" t="s">
        <v>15</v>
      </c>
      <c r="E278" s="4" t="s">
        <v>10</v>
      </c>
      <c r="F278" s="4" t="str">
        <f t="shared" si="22"/>
        <v>TN_31_CTRL_B4</v>
      </c>
      <c r="G278" s="4" t="s">
        <v>8</v>
      </c>
      <c r="H278" s="4" t="s">
        <v>9</v>
      </c>
      <c r="I278" s="4">
        <v>2</v>
      </c>
      <c r="J278" s="4" t="str">
        <f t="shared" si="23"/>
        <v>F_2_NA</v>
      </c>
      <c r="K278" s="4">
        <v>18</v>
      </c>
      <c r="L278" s="4">
        <v>21</v>
      </c>
      <c r="M278" s="4">
        <v>18</v>
      </c>
      <c r="N278" s="4">
        <v>21</v>
      </c>
      <c r="O278" s="4">
        <v>1.93</v>
      </c>
      <c r="P278" s="4"/>
      <c r="Q278" s="4" t="str">
        <f t="shared" si="21"/>
        <v>1.93</v>
      </c>
      <c r="R278" s="4" t="str">
        <f>VLOOKUP(J278,eq!$D$2:$K$42,8,)</f>
        <v>((pi*X2*100/32)*((a+b)^2 + (c+d)^2))*0.33</v>
      </c>
      <c r="S278" s="4" t="str">
        <f t="shared" si="24"/>
        <v>((3.141593*1.93*100/32)*((18+21)^2 + (18+21)^2))*0.33</v>
      </c>
      <c r="T278" s="4" cm="1">
        <f t="array" ref="T278">eval_dw/2</f>
        <v>9510.4355148928134</v>
      </c>
      <c r="U278" s="1">
        <f>T278*2/VLOOKUP(J278,eq!$D$2:$G$42,4,)</f>
        <v>57639.003120562506</v>
      </c>
      <c r="V278" s="1">
        <f t="shared" si="25"/>
        <v>19020.871029785627</v>
      </c>
      <c r="W278" s="1" cm="1">
        <f t="array" ref="W278">IF(LEFT(J278,1)="S",eval_S/2,((3.141593*Q278/32)*((K278/100+L278/100)^2+(M278/100+N278/100)^2))*1000000*VLOOKUP(J278,eq!$D$2:$G$42,4,)/2)</f>
        <v>9510.4355148928134</v>
      </c>
      <c r="X278" s="1">
        <f>((3.141593*Q278/32)*((K278+L278)^2+(M278+N278)^2))*1000000*VLOOKUP(J278,eq!$D$2:$G$42,4,)/2</f>
        <v>95104355.148928121</v>
      </c>
      <c r="Y278" s="1"/>
      <c r="Z278" s="1"/>
      <c r="AA278" s="1"/>
      <c r="AB278" s="1"/>
      <c r="AC278" s="1"/>
      <c r="AD278" s="1"/>
      <c r="AE278" s="1"/>
      <c r="AF278" s="1"/>
      <c r="AG278" s="1"/>
      <c r="AH278" s="1"/>
    </row>
    <row r="279" spans="1:34" ht="15.75" customHeight="1">
      <c r="A279" s="1" t="s">
        <v>6</v>
      </c>
      <c r="B279" s="4">
        <v>31</v>
      </c>
      <c r="C279" s="2" t="s">
        <v>23</v>
      </c>
      <c r="D279" s="1" t="s">
        <v>15</v>
      </c>
      <c r="E279" s="4" t="s">
        <v>10</v>
      </c>
      <c r="F279" s="4" t="str">
        <f t="shared" si="22"/>
        <v>TN_31_CTRL_B4</v>
      </c>
      <c r="G279" s="4" t="s">
        <v>8</v>
      </c>
      <c r="H279" s="4" t="s">
        <v>32</v>
      </c>
      <c r="I279" s="4">
        <v>5</v>
      </c>
      <c r="J279" s="4" t="str">
        <f t="shared" si="23"/>
        <v>T_5_NA</v>
      </c>
      <c r="K279" s="4">
        <v>20</v>
      </c>
      <c r="L279" s="4">
        <v>19</v>
      </c>
      <c r="M279" s="4">
        <v>20</v>
      </c>
      <c r="N279" s="4">
        <v>19</v>
      </c>
      <c r="O279" s="4"/>
      <c r="P279" s="4">
        <v>1.1000000000000001</v>
      </c>
      <c r="Q279" s="4" t="str">
        <f t="shared" si="21"/>
        <v>1.1</v>
      </c>
      <c r="R279" s="4" t="str">
        <f>VLOOKUP(J279,eq!$D$2:$K$42,8,)</f>
        <v>((pi*X2*100/32)*((a+b)^2 + (c+d)^2))*0.25</v>
      </c>
      <c r="S279" s="4" t="str">
        <f t="shared" si="24"/>
        <v>((3.141593*1.1*100/32)*((20+19)^2 + (20+19)^2))*0.25</v>
      </c>
      <c r="T279" s="4" cm="1">
        <f t="array" ref="T279">eval_dw/2</f>
        <v>4106.4056627343753</v>
      </c>
      <c r="U279" s="1">
        <f>T279*2/VLOOKUP(J279,eq!$D$2:$G$42,4,)</f>
        <v>32851.245301875002</v>
      </c>
      <c r="V279" s="1">
        <f t="shared" si="25"/>
        <v>8212.8113254687505</v>
      </c>
      <c r="W279" s="1" cm="1">
        <f t="array" ref="W279">IF(LEFT(J279,1)="S",eval_S/2,((3.141593*Q279/32)*((K279/100+L279/100)^2+(M279/100+N279/100)^2))*1000000*VLOOKUP(J279,eq!$D$2:$G$42,4,)/2)</f>
        <v>4106.4056627343753</v>
      </c>
      <c r="X279" s="1">
        <f>((3.141593*Q279/32)*((K279+L279)^2+(M279+N279)^2))*1000000*VLOOKUP(J279,eq!$D$2:$G$42,4,)/2</f>
        <v>41064056.627343751</v>
      </c>
      <c r="Y279" s="1"/>
      <c r="Z279" s="1"/>
      <c r="AA279" s="1"/>
      <c r="AB279" s="1"/>
      <c r="AC279" s="1"/>
      <c r="AD279" s="1"/>
      <c r="AE279" s="1"/>
      <c r="AF279" s="1"/>
      <c r="AG279" s="1"/>
      <c r="AH279" s="1"/>
    </row>
    <row r="280" spans="1:34" ht="15.75" customHeight="1">
      <c r="A280" s="1" t="s">
        <v>6</v>
      </c>
      <c r="B280" s="4">
        <v>31</v>
      </c>
      <c r="C280" s="2" t="s">
        <v>23</v>
      </c>
      <c r="D280" s="1" t="s">
        <v>15</v>
      </c>
      <c r="E280" s="4" t="s">
        <v>10</v>
      </c>
      <c r="F280" s="4" t="str">
        <f t="shared" si="22"/>
        <v>TN_31_CTRL_B4</v>
      </c>
      <c r="G280" s="4" t="s">
        <v>8</v>
      </c>
      <c r="H280" s="4" t="s">
        <v>32</v>
      </c>
      <c r="I280" s="4">
        <v>5</v>
      </c>
      <c r="J280" s="4" t="str">
        <f t="shared" si="23"/>
        <v>T_5_NA</v>
      </c>
      <c r="K280" s="4">
        <v>17</v>
      </c>
      <c r="L280" s="4">
        <v>19</v>
      </c>
      <c r="M280" s="4">
        <v>17</v>
      </c>
      <c r="N280" s="4">
        <v>19</v>
      </c>
      <c r="O280" s="4"/>
      <c r="P280" s="4">
        <v>1.22</v>
      </c>
      <c r="Q280" s="4" t="str">
        <f t="shared" si="21"/>
        <v>1.22</v>
      </c>
      <c r="R280" s="4" t="str">
        <f>VLOOKUP(J280,eq!$D$2:$K$42,8,)</f>
        <v>((pi*X2*100/32)*((a+b)^2 + (c+d)^2))*0.25</v>
      </c>
      <c r="S280" s="4" t="str">
        <f t="shared" si="24"/>
        <v>((3.141593*1.22*100/32)*((17+19)^2 + (17+19)^2))*0.25</v>
      </c>
      <c r="T280" s="4" cm="1">
        <f t="array" ref="T280">eval_dw/2</f>
        <v>3880.6527532499999</v>
      </c>
      <c r="U280" s="1">
        <f>T280*2/VLOOKUP(J280,eq!$D$2:$G$42,4,)</f>
        <v>31045.222025999999</v>
      </c>
      <c r="V280" s="1">
        <f t="shared" si="25"/>
        <v>7761.3055064999999</v>
      </c>
      <c r="W280" s="1" cm="1">
        <f t="array" ref="W280">IF(LEFT(J280,1)="S",eval_S/2,((3.141593*Q280/32)*((K280/100+L280/100)^2+(M280/100+N280/100)^2))*1000000*VLOOKUP(J280,eq!$D$2:$G$42,4,)/2)</f>
        <v>3880.6527532499995</v>
      </c>
      <c r="X280" s="1">
        <f>((3.141593*Q280/32)*((K280+L280)^2+(M280+N280)^2))*1000000*VLOOKUP(J280,eq!$D$2:$G$42,4,)/2</f>
        <v>38806527.532499999</v>
      </c>
      <c r="Y280" s="1"/>
      <c r="Z280" s="1"/>
      <c r="AA280" s="1"/>
      <c r="AB280" s="1"/>
      <c r="AC280" s="1"/>
      <c r="AD280" s="1"/>
      <c r="AE280" s="1"/>
      <c r="AF280" s="1"/>
      <c r="AG280" s="1"/>
      <c r="AH280" s="1"/>
    </row>
    <row r="281" spans="1:34" ht="15.75" customHeight="1">
      <c r="A281" s="1" t="s">
        <v>6</v>
      </c>
      <c r="B281" s="4">
        <v>31</v>
      </c>
      <c r="C281" s="2" t="s">
        <v>23</v>
      </c>
      <c r="D281" s="1" t="s">
        <v>15</v>
      </c>
      <c r="E281" s="4" t="s">
        <v>10</v>
      </c>
      <c r="F281" s="4" t="str">
        <f t="shared" si="22"/>
        <v>TN_31_CTRL_B4</v>
      </c>
      <c r="G281" s="4" t="s">
        <v>8</v>
      </c>
      <c r="H281" s="4" t="s">
        <v>9</v>
      </c>
      <c r="I281" s="4">
        <v>3</v>
      </c>
      <c r="J281" s="4" t="str">
        <f t="shared" si="23"/>
        <v>F_3_NA</v>
      </c>
      <c r="K281" s="4">
        <v>16</v>
      </c>
      <c r="L281" s="4">
        <v>15</v>
      </c>
      <c r="M281" s="4">
        <v>16</v>
      </c>
      <c r="N281" s="4">
        <v>15</v>
      </c>
      <c r="O281" s="4">
        <v>1.33</v>
      </c>
      <c r="P281" s="4"/>
      <c r="Q281" s="4" t="str">
        <f t="shared" si="21"/>
        <v>1.33</v>
      </c>
      <c r="R281" s="4" t="str">
        <f>VLOOKUP(J281,eq!$D$2:$K$42,8,)</f>
        <v>((pi*X2*100/32)*((a+b)^2 + (c+d)^2))*0.26</v>
      </c>
      <c r="S281" s="4" t="str">
        <f t="shared" si="24"/>
        <v>((3.141593*1.33*100/32)*((16+15)^2 + (16+15)^2))*0.26</v>
      </c>
      <c r="T281" s="4" cm="1">
        <f t="array" ref="T281">eval_dw/2</f>
        <v>3262.4834621356254</v>
      </c>
      <c r="U281" s="1">
        <f>T281*2/VLOOKUP(J281,eq!$D$2:$G$42,4,)</f>
        <v>25096.026631812503</v>
      </c>
      <c r="V281" s="1">
        <f t="shared" si="25"/>
        <v>6524.9669242712507</v>
      </c>
      <c r="W281" s="1" cm="1">
        <f t="array" ref="W281">IF(LEFT(J281,1)="S",eval_S/2,((3.141593*Q281/32)*((K281/100+L281/100)^2+(M281/100+N281/100)^2))*1000000*VLOOKUP(J281,eq!$D$2:$G$42,4,)/2)</f>
        <v>3262.4834621356254</v>
      </c>
      <c r="X281" s="1">
        <f>((3.141593*Q281/32)*((K281+L281)^2+(M281+N281)^2))*1000000*VLOOKUP(J281,eq!$D$2:$G$42,4,)/2</f>
        <v>32624834.621356253</v>
      </c>
      <c r="Y281" s="1"/>
      <c r="Z281" s="1"/>
      <c r="AA281" s="1"/>
      <c r="AB281" s="1"/>
      <c r="AC281" s="1"/>
      <c r="AD281" s="1"/>
      <c r="AE281" s="1"/>
      <c r="AF281" s="1"/>
      <c r="AG281" s="1"/>
      <c r="AH281" s="1"/>
    </row>
    <row r="282" spans="1:34" ht="15.75" customHeight="1">
      <c r="A282" s="1" t="s">
        <v>6</v>
      </c>
      <c r="B282" s="4">
        <v>31</v>
      </c>
      <c r="C282" s="2" t="s">
        <v>23</v>
      </c>
      <c r="D282" s="1" t="s">
        <v>15</v>
      </c>
      <c r="E282" s="4" t="s">
        <v>10</v>
      </c>
      <c r="F282" s="4" t="str">
        <f t="shared" si="22"/>
        <v>TN_31_CTRL_B4</v>
      </c>
      <c r="G282" s="4" t="s">
        <v>8</v>
      </c>
      <c r="H282" s="4" t="s">
        <v>32</v>
      </c>
      <c r="I282" s="4">
        <v>5</v>
      </c>
      <c r="J282" s="4" t="str">
        <f t="shared" si="23"/>
        <v>T_5_NA</v>
      </c>
      <c r="K282" s="4">
        <v>16</v>
      </c>
      <c r="L282" s="4">
        <v>19</v>
      </c>
      <c r="M282" s="4">
        <v>16</v>
      </c>
      <c r="N282" s="4">
        <v>19</v>
      </c>
      <c r="O282" s="4"/>
      <c r="P282" s="4">
        <v>0.41</v>
      </c>
      <c r="Q282" s="4" t="str">
        <f t="shared" si="21"/>
        <v>0.41</v>
      </c>
      <c r="R282" s="4" t="str">
        <f>VLOOKUP(J282,eq!$D$2:$K$42,8,)</f>
        <v>((pi*X2*100/32)*((a+b)^2 + (c+d)^2))*0.25</v>
      </c>
      <c r="S282" s="4" t="str">
        <f t="shared" si="24"/>
        <v>((3.141593*0.41*100/32)*((16+19)^2 + (16+19)^2))*0.25</v>
      </c>
      <c r="T282" s="4" cm="1">
        <f t="array" ref="T282">eval_dw/2</f>
        <v>1232.7070970703123</v>
      </c>
      <c r="U282" s="1">
        <f>T282*2/VLOOKUP(J282,eq!$D$2:$G$42,4,)</f>
        <v>9861.6567765624986</v>
      </c>
      <c r="V282" s="1">
        <f t="shared" si="25"/>
        <v>2465.4141941406247</v>
      </c>
      <c r="W282" s="1" cm="1">
        <f t="array" ref="W282">IF(LEFT(J282,1)="S",eval_S/2,((3.141593*Q282/32)*((K282/100+L282/100)^2+(M282/100+N282/100)^2))*1000000*VLOOKUP(J282,eq!$D$2:$G$42,4,)/2)</f>
        <v>1232.7070970703121</v>
      </c>
      <c r="X282" s="1">
        <f>((3.141593*Q282/32)*((K282+L282)^2+(M282+N282)^2))*1000000*VLOOKUP(J282,eq!$D$2:$G$42,4,)/2</f>
        <v>12327070.970703123</v>
      </c>
      <c r="Y282" s="1"/>
      <c r="Z282" s="1"/>
      <c r="AA282" s="1"/>
      <c r="AB282" s="1"/>
      <c r="AC282" s="1"/>
      <c r="AD282" s="1"/>
      <c r="AE282" s="1"/>
      <c r="AF282" s="1"/>
      <c r="AG282" s="1"/>
      <c r="AH282" s="1"/>
    </row>
    <row r="283" spans="1:34" ht="15.75" customHeight="1">
      <c r="A283" s="1" t="s">
        <v>6</v>
      </c>
      <c r="B283" s="4">
        <v>31</v>
      </c>
      <c r="C283" s="2" t="s">
        <v>22</v>
      </c>
      <c r="D283" s="1" t="s">
        <v>15</v>
      </c>
      <c r="E283" s="4" t="s">
        <v>13</v>
      </c>
      <c r="F283" s="4" t="str">
        <f t="shared" si="22"/>
        <v>TN_31_EX_B1</v>
      </c>
      <c r="G283" s="4" t="s">
        <v>8</v>
      </c>
      <c r="H283" s="4" t="s">
        <v>9</v>
      </c>
      <c r="I283" s="4">
        <v>1</v>
      </c>
      <c r="J283" s="4" t="str">
        <f t="shared" si="23"/>
        <v>F_1_NA</v>
      </c>
      <c r="K283" s="4">
        <v>15</v>
      </c>
      <c r="L283" s="4">
        <v>19</v>
      </c>
      <c r="M283" s="4">
        <v>15</v>
      </c>
      <c r="N283" s="4">
        <v>19</v>
      </c>
      <c r="O283" s="4">
        <v>2.31</v>
      </c>
      <c r="P283" s="4"/>
      <c r="Q283" s="4" t="str">
        <f t="shared" si="21"/>
        <v>2.31</v>
      </c>
      <c r="R283" s="4" t="str">
        <f>VLOOKUP(J283,eq!$D$2:$K$42,8,)</f>
        <v>((pi*X2*100/32)*((a+b)^2 + (c+d)^2))*0.4</v>
      </c>
      <c r="S283" s="4" t="str">
        <f t="shared" si="24"/>
        <v>((3.141593*2.31*100/32)*((15+19)^2 + (15+19)^2))*0.4</v>
      </c>
      <c r="T283" s="4" cm="1">
        <f t="array" ref="T283">eval_dw/2</f>
        <v>10486.48035435</v>
      </c>
      <c r="U283" s="1">
        <f>T283*2/VLOOKUP(J283,eq!$D$2:$G$42,4,)</f>
        <v>52432.401771749996</v>
      </c>
      <c r="V283" s="1">
        <f t="shared" si="25"/>
        <v>20972.9607087</v>
      </c>
      <c r="W283" s="1" cm="1">
        <f t="array" ref="W283">IF(LEFT(J283,1)="S",eval_S/2,((3.141593*Q283/32)*((K283/100+L283/100)^2+(M283/100+N283/100)^2))*1000000*VLOOKUP(J283,eq!$D$2:$G$42,4,)/2)</f>
        <v>10486.480354349998</v>
      </c>
      <c r="X283" s="1">
        <f>((3.141593*Q283/32)*((K283+L283)^2+(M283+N283)^2))*1000000*VLOOKUP(J283,eq!$D$2:$G$42,4,)/2</f>
        <v>104864803.54350001</v>
      </c>
      <c r="Y283" s="1"/>
      <c r="Z283" s="1"/>
      <c r="AA283" s="1"/>
      <c r="AB283" s="1"/>
      <c r="AC283" s="1"/>
      <c r="AD283" s="1"/>
      <c r="AE283" s="1"/>
      <c r="AF283" s="1"/>
      <c r="AG283" s="1"/>
      <c r="AH283" s="1"/>
    </row>
    <row r="284" spans="1:34" ht="15.75" customHeight="1">
      <c r="A284" s="1" t="s">
        <v>6</v>
      </c>
      <c r="B284" s="4">
        <v>31</v>
      </c>
      <c r="C284" s="2" t="s">
        <v>22</v>
      </c>
      <c r="D284" s="1" t="s">
        <v>15</v>
      </c>
      <c r="E284" s="4" t="s">
        <v>13</v>
      </c>
      <c r="F284" s="4" t="str">
        <f t="shared" si="22"/>
        <v>TN_31_EX_B1</v>
      </c>
      <c r="G284" s="4" t="s">
        <v>8</v>
      </c>
      <c r="H284" s="4" t="s">
        <v>9</v>
      </c>
      <c r="I284" s="4">
        <v>3</v>
      </c>
      <c r="J284" s="4" t="str">
        <f t="shared" si="23"/>
        <v>F_3_NA</v>
      </c>
      <c r="K284" s="4">
        <v>21</v>
      </c>
      <c r="L284" s="4">
        <v>18</v>
      </c>
      <c r="M284" s="4">
        <v>21</v>
      </c>
      <c r="N284" s="4">
        <v>18</v>
      </c>
      <c r="O284" s="4">
        <v>1.79</v>
      </c>
      <c r="P284" s="4"/>
      <c r="Q284" s="4" t="str">
        <f t="shared" si="21"/>
        <v>1.79</v>
      </c>
      <c r="R284" s="4" t="str">
        <f>VLOOKUP(J284,eq!$D$2:$K$42,8,)</f>
        <v>((pi*X2*100/32)*((a+b)^2 + (c+d)^2))*0.26</v>
      </c>
      <c r="S284" s="4" t="str">
        <f t="shared" si="24"/>
        <v>((3.141593*1.79*100/32)*((21+18)^2 + (21+18)^2))*0.26</v>
      </c>
      <c r="T284" s="4" cm="1">
        <f t="array" ref="T284">eval_dw/2</f>
        <v>6949.5316197693755</v>
      </c>
      <c r="U284" s="1">
        <f>T284*2/VLOOKUP(J284,eq!$D$2:$G$42,4,)</f>
        <v>53457.935536687502</v>
      </c>
      <c r="V284" s="1">
        <f t="shared" si="25"/>
        <v>13899.063239538751</v>
      </c>
      <c r="W284" s="1" cm="1">
        <f t="array" ref="W284">IF(LEFT(J284,1)="S",eval_S/2,((3.141593*Q284/32)*((K284/100+L284/100)^2+(M284/100+N284/100)^2))*1000000*VLOOKUP(J284,eq!$D$2:$G$42,4,)/2)</f>
        <v>6949.5316197693755</v>
      </c>
      <c r="X284" s="1">
        <f>((3.141593*Q284/32)*((K284+L284)^2+(M284+N284)^2))*1000000*VLOOKUP(J284,eq!$D$2:$G$42,4,)/2</f>
        <v>69495316.19769375</v>
      </c>
      <c r="Y284" s="1"/>
      <c r="Z284" s="1"/>
      <c r="AA284" s="1"/>
      <c r="AB284" s="1"/>
      <c r="AC284" s="1"/>
      <c r="AD284" s="1"/>
      <c r="AE284" s="1"/>
      <c r="AF284" s="1"/>
      <c r="AG284" s="1"/>
      <c r="AH284" s="1"/>
    </row>
    <row r="285" spans="1:34" ht="15.75" customHeight="1">
      <c r="A285" s="1" t="s">
        <v>6</v>
      </c>
      <c r="B285" s="4">
        <v>31</v>
      </c>
      <c r="C285" s="2" t="s">
        <v>22</v>
      </c>
      <c r="D285" s="1" t="s">
        <v>15</v>
      </c>
      <c r="E285" s="4" t="s">
        <v>13</v>
      </c>
      <c r="F285" s="4" t="str">
        <f t="shared" si="22"/>
        <v>TN_31_EX_B1</v>
      </c>
      <c r="G285" s="4" t="s">
        <v>8</v>
      </c>
      <c r="H285" s="4" t="s">
        <v>11</v>
      </c>
      <c r="I285" s="4">
        <v>5</v>
      </c>
      <c r="J285" s="4" t="str">
        <f t="shared" si="23"/>
        <v>S_5_NA</v>
      </c>
      <c r="K285" s="4">
        <v>12.5</v>
      </c>
      <c r="L285" s="4"/>
      <c r="M285" s="4"/>
      <c r="N285" s="4"/>
      <c r="O285" s="4"/>
      <c r="P285" s="4">
        <v>1.34</v>
      </c>
      <c r="Q285" s="4" t="str">
        <f t="shared" si="21"/>
        <v>1.34</v>
      </c>
      <c r="R285" s="4" t="str">
        <f>VLOOKUP(J285,eq!$D$2:$K$42,8,)</f>
        <v>((0.0000598*((X4^2)*X2)^0.946)*(1.0-0.0019*X4)*1000009)*0.25</v>
      </c>
      <c r="S285" s="4" t="str">
        <f t="shared" si="24"/>
        <v>((0.0000598*((12.5^2)*1.34)^0.946)*(1.0-0.0019*12.5)*1000009)*0.25</v>
      </c>
      <c r="T285" s="4" cm="1">
        <f t="array" ref="T285">eval_dw/2</f>
        <v>1144.9091767746859</v>
      </c>
      <c r="U285" s="1">
        <f>T285*2/VLOOKUP(J285,eq!$D$2:$G$42,4,)</f>
        <v>9159.273414197487</v>
      </c>
      <c r="V285" s="1">
        <f t="shared" si="25"/>
        <v>2289.8183535493717</v>
      </c>
      <c r="W285" s="1" cm="1">
        <f t="array" ref="W285">IF(LEFT(J285,1)="S",eval_S/2,((3.141593*Q285/32)*((K285/100+L285/100)^2+(M285/100+N285/100)^2))*1000000*VLOOKUP(J285,eq!$D$2:$G$42,4,)/2)</f>
        <v>1144.9091767746859</v>
      </c>
      <c r="X285" s="1">
        <f>((3.141593*Q285/32)*((K285+L285)^2+(M285+N285)^2))*1000000*VLOOKUP(J285,eq!$D$2:$G$42,4,)/2</f>
        <v>2569418.1030273438</v>
      </c>
      <c r="Y285" s="1"/>
      <c r="Z285" s="1"/>
      <c r="AA285" s="1"/>
      <c r="AB285" s="1"/>
      <c r="AC285" s="1"/>
      <c r="AD285" s="1"/>
      <c r="AE285" s="1"/>
      <c r="AF285" s="1"/>
      <c r="AG285" s="1"/>
      <c r="AH285" s="1"/>
    </row>
    <row r="286" spans="1:34" ht="15.75" customHeight="1">
      <c r="A286" s="1" t="s">
        <v>6</v>
      </c>
      <c r="B286" s="4">
        <v>31</v>
      </c>
      <c r="C286" s="2" t="s">
        <v>22</v>
      </c>
      <c r="D286" s="1" t="s">
        <v>15</v>
      </c>
      <c r="E286" s="4" t="s">
        <v>7</v>
      </c>
      <c r="F286" s="4" t="str">
        <f t="shared" si="22"/>
        <v>TN_31_EX_B2</v>
      </c>
      <c r="G286" s="4" t="s">
        <v>8</v>
      </c>
      <c r="H286" s="4" t="s">
        <v>11</v>
      </c>
      <c r="I286" s="4">
        <v>5</v>
      </c>
      <c r="J286" s="4" t="str">
        <f t="shared" si="23"/>
        <v>S_5_NA</v>
      </c>
      <c r="K286" s="4">
        <v>13</v>
      </c>
      <c r="L286" s="4"/>
      <c r="M286" s="4"/>
      <c r="N286" s="4"/>
      <c r="O286" s="4"/>
      <c r="P286" s="4">
        <v>10</v>
      </c>
      <c r="Q286" s="4" t="str">
        <f t="shared" si="21"/>
        <v>10</v>
      </c>
      <c r="R286" s="4" t="str">
        <f>VLOOKUP(J286,eq!$D$2:$K$42,8,)</f>
        <v>((0.0000598*((X4^2)*X2)^0.946)*(1.0-0.0019*X4)*1000009)*0.25</v>
      </c>
      <c r="S286" s="4" t="str">
        <f t="shared" si="24"/>
        <v>((0.0000598*((13^2)*10)^0.946)*(1.0-0.0019*13)*1000009)*0.25</v>
      </c>
      <c r="T286" s="4" cm="1">
        <f t="array" ref="T286">eval_dw/2</f>
        <v>8247.7246271766071</v>
      </c>
      <c r="U286" s="1">
        <f>T286*2/VLOOKUP(J286,eq!$D$2:$G$42,4,)</f>
        <v>65981.797017412857</v>
      </c>
      <c r="V286" s="1">
        <f t="shared" si="25"/>
        <v>16495.449254353214</v>
      </c>
      <c r="W286" s="1" cm="1">
        <f t="array" ref="W286">IF(LEFT(J286,1)="S",eval_S/2,((3.141593*Q286/32)*((K286/100+L286/100)^2+(M286/100+N286/100)^2))*1000000*VLOOKUP(J286,eq!$D$2:$G$42,4,)/2)</f>
        <v>8247.7246271766071</v>
      </c>
      <c r="X286" s="1">
        <f>((3.141593*Q286/32)*((K286+L286)^2+(M286+N286)^2))*1000000*VLOOKUP(J286,eq!$D$2:$G$42,4,)/2</f>
        <v>20739422.5390625</v>
      </c>
      <c r="Y286" s="1"/>
      <c r="Z286" s="1"/>
      <c r="AA286" s="1"/>
      <c r="AB286" s="1"/>
      <c r="AC286" s="1"/>
      <c r="AD286" s="1"/>
      <c r="AE286" s="1"/>
      <c r="AF286" s="1"/>
      <c r="AG286" s="1"/>
      <c r="AH286" s="1"/>
    </row>
    <row r="287" spans="1:34" ht="15.75" customHeight="1">
      <c r="A287" s="1" t="s">
        <v>6</v>
      </c>
      <c r="B287" s="4">
        <v>31</v>
      </c>
      <c r="C287" s="2" t="s">
        <v>22</v>
      </c>
      <c r="D287" s="1" t="s">
        <v>15</v>
      </c>
      <c r="E287" s="4" t="s">
        <v>7</v>
      </c>
      <c r="F287" s="4" t="str">
        <f t="shared" si="22"/>
        <v>TN_31_EX_B2</v>
      </c>
      <c r="G287" s="4" t="s">
        <v>8</v>
      </c>
      <c r="H287" s="4" t="s">
        <v>9</v>
      </c>
      <c r="I287" s="4">
        <v>4</v>
      </c>
      <c r="J287" s="4" t="str">
        <f t="shared" si="23"/>
        <v>F_4_NA</v>
      </c>
      <c r="K287" s="4">
        <v>19</v>
      </c>
      <c r="L287" s="4">
        <v>22</v>
      </c>
      <c r="M287" s="4">
        <v>19</v>
      </c>
      <c r="N287" s="4">
        <v>22</v>
      </c>
      <c r="O287" s="4">
        <v>1.68</v>
      </c>
      <c r="P287" s="4"/>
      <c r="Q287" s="4" t="str">
        <f t="shared" si="21"/>
        <v>1.68</v>
      </c>
      <c r="R287" s="4" t="str">
        <f>VLOOKUP(J287,eq!$D$2:$K$42,8,)</f>
        <v>((pi*X2*100/32)*((a+b)^2 + (c+d)^2))*0.15</v>
      </c>
      <c r="S287" s="4" t="str">
        <f t="shared" si="24"/>
        <v>((3.141593*1.68*100/32)*((19+22)^2 + (19+22)^2))*0.15</v>
      </c>
      <c r="T287" s="4" cm="1">
        <f t="array" ref="T287">eval_dw/2</f>
        <v>4158.8015434874987</v>
      </c>
      <c r="U287" s="1">
        <f>T287*2/VLOOKUP(J287,eq!$D$2:$G$42,4,)</f>
        <v>55450.687246499983</v>
      </c>
      <c r="V287" s="1">
        <f t="shared" si="25"/>
        <v>8317.6030869749975</v>
      </c>
      <c r="W287" s="1" cm="1">
        <f t="array" ref="W287">IF(LEFT(J287,1)="S",eval_S/2,((3.141593*Q287/32)*((K287/100+L287/100)^2+(M287/100+N287/100)^2))*1000000*VLOOKUP(J287,eq!$D$2:$G$42,4,)/2)</f>
        <v>4158.8015434875006</v>
      </c>
      <c r="X287" s="1">
        <f>((3.141593*Q287/32)*((K287+L287)^2+(M287+N287)^2))*1000000*VLOOKUP(J287,eq!$D$2:$G$42,4,)/2</f>
        <v>41588015.434874989</v>
      </c>
      <c r="Y287" s="1"/>
      <c r="Z287" s="1"/>
      <c r="AA287" s="1"/>
      <c r="AB287" s="1"/>
      <c r="AC287" s="1"/>
      <c r="AD287" s="1"/>
      <c r="AE287" s="1"/>
      <c r="AF287" s="1"/>
      <c r="AG287" s="1"/>
      <c r="AH287" s="1"/>
    </row>
    <row r="288" spans="1:34" ht="15.75" customHeight="1">
      <c r="A288" s="1" t="s">
        <v>6</v>
      </c>
      <c r="B288" s="4">
        <v>31</v>
      </c>
      <c r="C288" s="2" t="s">
        <v>22</v>
      </c>
      <c r="D288" s="1" t="s">
        <v>15</v>
      </c>
      <c r="E288" s="4" t="s">
        <v>12</v>
      </c>
      <c r="F288" s="4" t="str">
        <f t="shared" si="22"/>
        <v>TN_31_EX_B3</v>
      </c>
      <c r="G288" s="4" t="s">
        <v>8</v>
      </c>
      <c r="H288" s="4" t="s">
        <v>8</v>
      </c>
      <c r="I288" s="4" t="s">
        <v>8</v>
      </c>
      <c r="J288" s="4" t="str">
        <f t="shared" si="23"/>
        <v>NA_NA_NA</v>
      </c>
      <c r="K288" s="4"/>
      <c r="L288" s="4"/>
      <c r="M288" s="4"/>
      <c r="N288" s="4"/>
      <c r="O288" s="4"/>
      <c r="P288" s="4"/>
      <c r="Q288" s="4" t="str">
        <f t="shared" si="21"/>
        <v/>
      </c>
      <c r="R288" s="4">
        <f>VLOOKUP(J288,eq!$D$2:$K$42,8,)</f>
        <v>0</v>
      </c>
      <c r="S288" s="4" t="str">
        <f t="shared" si="24"/>
        <v>0</v>
      </c>
      <c r="T288" s="4" cm="1">
        <f t="array" ref="T288">eval_dw/2</f>
        <v>0</v>
      </c>
      <c r="U288" s="1" t="e">
        <f>T288*2/VLOOKUP(J288,eq!$D$2:$G$42,4,)</f>
        <v>#DIV/0!</v>
      </c>
      <c r="V288" s="1">
        <f t="shared" si="25"/>
        <v>0</v>
      </c>
      <c r="W288" s="1" t="e" cm="1">
        <f t="array" ref="W288">IF(LEFT(J288,1)="S",eval_S/2,((3.141593*Q288/32)*((K288/100+L288/100)^2+(M288/100+N288/100)^2))*1000000*VLOOKUP(J288,eq!$D$2:$G$42,4,)/2)</f>
        <v>#VALUE!</v>
      </c>
      <c r="X288" s="1" t="e">
        <f>((3.141593*Q288/32)*((K288+L288)^2+(M288+N288)^2))*1000000*VLOOKUP(J288,eq!$D$2:$G$42,4,)/2</f>
        <v>#VALUE!</v>
      </c>
      <c r="Y288" s="1"/>
      <c r="Z288" s="1"/>
      <c r="AA288" s="1"/>
      <c r="AB288" s="1"/>
      <c r="AC288" s="1"/>
      <c r="AD288" s="1"/>
      <c r="AE288" s="1"/>
      <c r="AF288" s="1"/>
      <c r="AG288" s="1"/>
      <c r="AH288" s="1"/>
    </row>
    <row r="289" spans="1:34" ht="15.75" customHeight="1">
      <c r="A289" s="1" t="s">
        <v>6</v>
      </c>
      <c r="B289" s="4">
        <v>31</v>
      </c>
      <c r="C289" s="2" t="s">
        <v>22</v>
      </c>
      <c r="D289" s="1" t="s">
        <v>15</v>
      </c>
      <c r="E289" s="4" t="s">
        <v>10</v>
      </c>
      <c r="F289" s="4" t="str">
        <f t="shared" si="22"/>
        <v>TN_31_EX_B4</v>
      </c>
      <c r="G289" s="4" t="s">
        <v>8</v>
      </c>
      <c r="H289" s="4" t="s">
        <v>11</v>
      </c>
      <c r="I289" s="4">
        <v>5</v>
      </c>
      <c r="J289" s="4" t="str">
        <f t="shared" si="23"/>
        <v>S_5_NA</v>
      </c>
      <c r="K289" s="4">
        <v>12</v>
      </c>
      <c r="L289" s="4"/>
      <c r="M289" s="4">
        <v>12</v>
      </c>
      <c r="N289" s="4"/>
      <c r="O289" s="4"/>
      <c r="P289" s="4">
        <v>8</v>
      </c>
      <c r="Q289" s="4" t="str">
        <f t="shared" si="21"/>
        <v>8</v>
      </c>
      <c r="R289" s="4" t="str">
        <f>VLOOKUP(J289,eq!$D$2:$K$42,8,)</f>
        <v>((0.0000598*((X4^2)*X2)^0.946)*(1.0-0.0019*X4)*1000009)*0.25</v>
      </c>
      <c r="S289" s="4" t="str">
        <f t="shared" si="24"/>
        <v>((0.0000598*((12^2)*8)^0.946)*(1.0-0.0019*12)*1000009)*0.25</v>
      </c>
      <c r="T289" s="4" cm="1">
        <f t="array" ref="T289">eval_dw/2</f>
        <v>5750.8575365661327</v>
      </c>
      <c r="U289" s="1">
        <f>T289*2/VLOOKUP(J289,eq!$D$2:$G$42,4,)</f>
        <v>46006.860292529062</v>
      </c>
      <c r="V289" s="1">
        <f t="shared" si="25"/>
        <v>11501.715073132265</v>
      </c>
      <c r="W289" s="1" cm="1">
        <f t="array" ref="W289">IF(LEFT(J289,1)="S",eval_S/2,((3.141593*Q289/32)*((K289/100+L289/100)^2+(M289/100+N289/100)^2))*1000000*VLOOKUP(J289,eq!$D$2:$G$42,4,)/2)</f>
        <v>5750.8575365661327</v>
      </c>
      <c r="X289" s="1">
        <f>((3.141593*Q289/32)*((K289+L289)^2+(M289+N289)^2))*1000000*VLOOKUP(J289,eq!$D$2:$G$42,4,)/2</f>
        <v>28274337</v>
      </c>
      <c r="Y289" s="1"/>
      <c r="Z289" s="1"/>
      <c r="AA289" s="1"/>
      <c r="AB289" s="1"/>
      <c r="AC289" s="1"/>
      <c r="AD289" s="1"/>
      <c r="AE289" s="1"/>
      <c r="AF289" s="1"/>
      <c r="AG289" s="1"/>
      <c r="AH289" s="1"/>
    </row>
    <row r="290" spans="1:34" ht="15.75" customHeight="1">
      <c r="A290" s="1" t="s">
        <v>6</v>
      </c>
      <c r="B290" s="4">
        <v>31</v>
      </c>
      <c r="C290" s="2" t="s">
        <v>22</v>
      </c>
      <c r="D290" s="1" t="s">
        <v>15</v>
      </c>
      <c r="E290" s="4" t="s">
        <v>10</v>
      </c>
      <c r="F290" s="4" t="str">
        <f t="shared" si="22"/>
        <v>TN_31_EX_B4</v>
      </c>
      <c r="G290" s="4" t="s">
        <v>8</v>
      </c>
      <c r="H290" s="4" t="s">
        <v>9</v>
      </c>
      <c r="I290" s="4">
        <v>3</v>
      </c>
      <c r="J290" s="4" t="str">
        <f t="shared" si="23"/>
        <v>F_3_NA</v>
      </c>
      <c r="K290" s="4">
        <v>18</v>
      </c>
      <c r="L290" s="4">
        <v>18</v>
      </c>
      <c r="M290" s="4">
        <v>18</v>
      </c>
      <c r="N290" s="4">
        <v>18</v>
      </c>
      <c r="O290" s="4">
        <v>1.29</v>
      </c>
      <c r="P290" s="4"/>
      <c r="Q290" s="4" t="str">
        <f t="shared" si="21"/>
        <v>1.29</v>
      </c>
      <c r="R290" s="4" t="str">
        <f>VLOOKUP(J290,eq!$D$2:$K$42,8,)</f>
        <v>((pi*X2*100/32)*((a+b)^2 + (c+d)^2))*0.26</v>
      </c>
      <c r="S290" s="4" t="str">
        <f t="shared" si="24"/>
        <v>((3.141593*1.29*100/32)*((18+18)^2 + (18+18)^2))*0.26</v>
      </c>
      <c r="T290" s="4" cm="1">
        <f t="array" ref="T290">eval_dw/2</f>
        <v>4267.4456834100001</v>
      </c>
      <c r="U290" s="1">
        <f>T290*2/VLOOKUP(J290,eq!$D$2:$G$42,4,)</f>
        <v>32826.505256999997</v>
      </c>
      <c r="V290" s="1">
        <f t="shared" si="25"/>
        <v>8534.8913668200003</v>
      </c>
      <c r="W290" s="1" cm="1">
        <f t="array" ref="W290">IF(LEFT(J290,1)="S",eval_S/2,((3.141593*Q290/32)*((K290/100+L290/100)^2+(M290/100+N290/100)^2))*1000000*VLOOKUP(J290,eq!$D$2:$G$42,4,)/2)</f>
        <v>4267.4456834100001</v>
      </c>
      <c r="X290" s="1">
        <f>((3.141593*Q290/32)*((K290+L290)^2+(M290+N290)^2))*1000000*VLOOKUP(J290,eq!$D$2:$G$42,4,)/2</f>
        <v>42674456.834100001</v>
      </c>
      <c r="Y290" s="1"/>
      <c r="Z290" s="1"/>
      <c r="AA290" s="1"/>
      <c r="AB290" s="1"/>
      <c r="AC290" s="1"/>
      <c r="AD290" s="1"/>
      <c r="AE290" s="1"/>
      <c r="AF290" s="1"/>
      <c r="AG290" s="1"/>
      <c r="AH290" s="1"/>
    </row>
    <row r="291" spans="1:34" ht="15.75" customHeight="1">
      <c r="A291" s="1" t="s">
        <v>6</v>
      </c>
      <c r="B291" s="4">
        <v>32</v>
      </c>
      <c r="C291" s="1" t="s">
        <v>8</v>
      </c>
      <c r="D291" s="1" t="s">
        <v>15</v>
      </c>
      <c r="E291" s="4" t="s">
        <v>13</v>
      </c>
      <c r="F291" s="4" t="str">
        <f t="shared" si="22"/>
        <v>TN_32_NA_B1</v>
      </c>
      <c r="G291" s="4" t="s">
        <v>8</v>
      </c>
      <c r="H291" s="4" t="s">
        <v>8</v>
      </c>
      <c r="I291" s="4" t="s">
        <v>8</v>
      </c>
      <c r="J291" s="4" t="str">
        <f t="shared" si="23"/>
        <v>NA_NA_NA</v>
      </c>
      <c r="K291" s="4"/>
      <c r="L291" s="4"/>
      <c r="M291" s="4"/>
      <c r="N291" s="4"/>
      <c r="O291" s="4"/>
      <c r="P291" s="4"/>
      <c r="Q291" s="4" t="str">
        <f t="shared" si="21"/>
        <v/>
      </c>
      <c r="R291" s="4">
        <f>VLOOKUP(J291,eq!$D$2:$K$42,8,)</f>
        <v>0</v>
      </c>
      <c r="S291" s="4" t="str">
        <f t="shared" si="24"/>
        <v>0</v>
      </c>
      <c r="T291" s="4" cm="1">
        <f t="array" ref="T291">eval_dw/2</f>
        <v>0</v>
      </c>
      <c r="U291" s="1" t="e">
        <f>T291*2/VLOOKUP(J291,eq!$D$2:$G$42,4,)</f>
        <v>#DIV/0!</v>
      </c>
      <c r="V291" s="1">
        <f t="shared" si="25"/>
        <v>0</v>
      </c>
      <c r="W291" s="1" t="e" cm="1">
        <f t="array" ref="W291">IF(LEFT(J291,1)="S",eval_S/2,((3.141593*Q291/32)*((K291/100+L291/100)^2+(M291/100+N291/100)^2))*1000000*VLOOKUP(J291,eq!$D$2:$G$42,4,)/2)</f>
        <v>#VALUE!</v>
      </c>
      <c r="X291" s="1" t="e">
        <f>((3.141593*Q291/32)*((K291+L291)^2+(M291+N291)^2))*1000000*VLOOKUP(J291,eq!$D$2:$G$42,4,)/2</f>
        <v>#VALUE!</v>
      </c>
      <c r="Y291" s="1"/>
      <c r="Z291" s="1"/>
      <c r="AA291" s="1"/>
      <c r="AB291" s="1"/>
      <c r="AC291" s="1"/>
      <c r="AD291" s="1"/>
      <c r="AE291" s="1"/>
      <c r="AF291" s="1"/>
      <c r="AG291" s="1"/>
      <c r="AH291" s="1"/>
    </row>
    <row r="292" spans="1:34" ht="15.75" customHeight="1">
      <c r="A292" s="1" t="s">
        <v>6</v>
      </c>
      <c r="B292" s="4">
        <v>32</v>
      </c>
      <c r="C292" s="1" t="s">
        <v>8</v>
      </c>
      <c r="D292" s="1" t="s">
        <v>15</v>
      </c>
      <c r="E292" s="4" t="s">
        <v>7</v>
      </c>
      <c r="F292" s="4" t="str">
        <f t="shared" si="22"/>
        <v>TN_32_NA_B2</v>
      </c>
      <c r="G292" s="4" t="s">
        <v>8</v>
      </c>
      <c r="H292" s="4" t="s">
        <v>8</v>
      </c>
      <c r="I292" s="4" t="s">
        <v>8</v>
      </c>
      <c r="J292" s="4" t="str">
        <f t="shared" si="23"/>
        <v>NA_NA_NA</v>
      </c>
      <c r="K292" s="4"/>
      <c r="L292" s="4"/>
      <c r="M292" s="4"/>
      <c r="N292" s="4"/>
      <c r="O292" s="4"/>
      <c r="P292" s="4"/>
      <c r="Q292" s="4" t="str">
        <f t="shared" si="21"/>
        <v/>
      </c>
      <c r="R292" s="4">
        <f>VLOOKUP(J292,eq!$D$2:$K$42,8,)</f>
        <v>0</v>
      </c>
      <c r="S292" s="4" t="str">
        <f t="shared" si="24"/>
        <v>0</v>
      </c>
      <c r="T292" s="4" cm="1">
        <f t="array" ref="T292">eval_dw/2</f>
        <v>0</v>
      </c>
      <c r="U292" s="1" t="e">
        <f>T292*2/VLOOKUP(J292,eq!$D$2:$G$42,4,)</f>
        <v>#DIV/0!</v>
      </c>
      <c r="V292" s="1">
        <f t="shared" si="25"/>
        <v>0</v>
      </c>
      <c r="W292" s="1" t="e" cm="1">
        <f t="array" ref="W292">IF(LEFT(J292,1)="S",eval_S/2,((3.141593*Q292/32)*((K292/100+L292/100)^2+(M292/100+N292/100)^2))*1000000*VLOOKUP(J292,eq!$D$2:$G$42,4,)/2)</f>
        <v>#VALUE!</v>
      </c>
      <c r="X292" s="1" t="e">
        <f>((3.141593*Q292/32)*((K292+L292)^2+(M292+N292)^2))*1000000*VLOOKUP(J292,eq!$D$2:$G$42,4,)/2</f>
        <v>#VALUE!</v>
      </c>
      <c r="Y292" s="1"/>
      <c r="Z292" s="1"/>
      <c r="AA292" s="1"/>
      <c r="AB292" s="1"/>
      <c r="AC292" s="1"/>
      <c r="AD292" s="1"/>
      <c r="AE292" s="1"/>
      <c r="AF292" s="1"/>
      <c r="AG292" s="1"/>
      <c r="AH292" s="1"/>
    </row>
    <row r="293" spans="1:34" ht="15.75" customHeight="1">
      <c r="A293" s="1" t="s">
        <v>6</v>
      </c>
      <c r="B293" s="4">
        <v>32</v>
      </c>
      <c r="C293" s="1" t="s">
        <v>8</v>
      </c>
      <c r="D293" s="1" t="s">
        <v>15</v>
      </c>
      <c r="E293" s="4" t="s">
        <v>12</v>
      </c>
      <c r="F293" s="4" t="str">
        <f t="shared" si="22"/>
        <v>TN_32_NA_B3</v>
      </c>
      <c r="G293" s="4" t="s">
        <v>8</v>
      </c>
      <c r="H293" s="4" t="s">
        <v>9</v>
      </c>
      <c r="I293" s="4">
        <v>2</v>
      </c>
      <c r="J293" s="4" t="str">
        <f t="shared" si="23"/>
        <v>F_2_NA</v>
      </c>
      <c r="K293" s="4">
        <v>16</v>
      </c>
      <c r="L293" s="4">
        <v>13</v>
      </c>
      <c r="M293" s="4">
        <v>11</v>
      </c>
      <c r="N293" s="4">
        <v>16</v>
      </c>
      <c r="O293" s="4">
        <v>1.67</v>
      </c>
      <c r="P293" s="4"/>
      <c r="Q293" s="4" t="str">
        <f t="shared" si="21"/>
        <v>1.67</v>
      </c>
      <c r="R293" s="4" t="str">
        <f>VLOOKUP(J293,eq!$D$2:$K$42,8,)</f>
        <v>((pi*X2*100/32)*((a+b)^2 + (c+d)^2))*0.33</v>
      </c>
      <c r="S293" s="4" t="str">
        <f t="shared" si="24"/>
        <v>((3.141593*1.67*100/32)*((16+13)^2 + (11+16)^2))*0.33</v>
      </c>
      <c r="T293" s="4" cm="1">
        <f t="array" ref="T293">eval_dw/2</f>
        <v>4247.1735728296881</v>
      </c>
      <c r="U293" s="1">
        <f>T293*2/VLOOKUP(J293,eq!$D$2:$G$42,4,)</f>
        <v>25740.445895937501</v>
      </c>
      <c r="V293" s="1">
        <f t="shared" si="25"/>
        <v>8494.3471456593761</v>
      </c>
      <c r="W293" s="1" cm="1">
        <f t="array" ref="W293">IF(LEFT(J293,1)="S",eval_S/2,((3.141593*Q293/32)*((K293/100+L293/100)^2+(M293/100+N293/100)^2))*1000000*VLOOKUP(J293,eq!$D$2:$G$42,4,)/2)</f>
        <v>4247.1735728296881</v>
      </c>
      <c r="X293" s="1">
        <f>((3.141593*Q293/32)*((K293+L293)^2+(M293+N293)^2))*1000000*VLOOKUP(J293,eq!$D$2:$G$42,4,)/2</f>
        <v>42471735.728296876</v>
      </c>
      <c r="Y293" s="1"/>
      <c r="Z293" s="1"/>
      <c r="AA293" s="1"/>
      <c r="AB293" s="1"/>
      <c r="AC293" s="1"/>
      <c r="AD293" s="1"/>
      <c r="AE293" s="1"/>
      <c r="AF293" s="1"/>
      <c r="AG293" s="1"/>
      <c r="AH293" s="1"/>
    </row>
    <row r="294" spans="1:34" ht="15.75" customHeight="1">
      <c r="A294" s="1" t="s">
        <v>6</v>
      </c>
      <c r="B294" s="4">
        <v>32</v>
      </c>
      <c r="C294" s="1" t="s">
        <v>8</v>
      </c>
      <c r="D294" s="1" t="s">
        <v>15</v>
      </c>
      <c r="E294" s="4" t="s">
        <v>12</v>
      </c>
      <c r="F294" s="4" t="str">
        <f t="shared" si="22"/>
        <v>TN_32_NA_B3</v>
      </c>
      <c r="G294" s="4" t="s">
        <v>8</v>
      </c>
      <c r="H294" s="4" t="s">
        <v>9</v>
      </c>
      <c r="I294" s="4">
        <v>3</v>
      </c>
      <c r="J294" s="4" t="str">
        <f t="shared" si="23"/>
        <v>F_3_NA</v>
      </c>
      <c r="K294" s="4">
        <v>17</v>
      </c>
      <c r="L294" s="4">
        <v>12</v>
      </c>
      <c r="M294" s="4">
        <v>14</v>
      </c>
      <c r="N294" s="4">
        <v>14</v>
      </c>
      <c r="O294" s="4">
        <v>0.52</v>
      </c>
      <c r="P294" s="4"/>
      <c r="Q294" s="4" t="str">
        <f t="shared" si="21"/>
        <v>0.52</v>
      </c>
      <c r="R294" s="4" t="str">
        <f>VLOOKUP(J294,eq!$D$2:$K$42,8,)</f>
        <v>((pi*X2*100/32)*((a+b)^2 + (c+d)^2))*0.26</v>
      </c>
      <c r="S294" s="4" t="str">
        <f t="shared" si="24"/>
        <v>((3.141593*0.52*100/32)*((17+12)^2 + (14+14)^2))*0.26</v>
      </c>
      <c r="T294" s="4" cm="1">
        <f t="array" ref="T294">eval_dw/2</f>
        <v>1078.4499720312499</v>
      </c>
      <c r="U294" s="1">
        <f>T294*2/VLOOKUP(J294,eq!$D$2:$G$42,4,)</f>
        <v>8295.7690156249992</v>
      </c>
      <c r="V294" s="1">
        <f t="shared" si="25"/>
        <v>2156.8999440624998</v>
      </c>
      <c r="W294" s="1" cm="1">
        <f t="array" ref="W294">IF(LEFT(J294,1)="S",eval_S/2,((3.141593*Q294/32)*((K294/100+L294/100)^2+(M294/100+N294/100)^2))*1000000*VLOOKUP(J294,eq!$D$2:$G$42,4,)/2)</f>
        <v>1078.4499720312501</v>
      </c>
      <c r="X294" s="1">
        <f>((3.141593*Q294/32)*((K294+L294)^2+(M294+N294)^2))*1000000*VLOOKUP(J294,eq!$D$2:$G$42,4,)/2</f>
        <v>10784499.7203125</v>
      </c>
      <c r="Y294" s="1"/>
      <c r="Z294" s="1"/>
      <c r="AA294" s="1"/>
      <c r="AB294" s="1"/>
      <c r="AC294" s="1"/>
      <c r="AD294" s="1"/>
      <c r="AE294" s="1"/>
      <c r="AF294" s="1"/>
      <c r="AG294" s="1"/>
      <c r="AH294" s="1"/>
    </row>
    <row r="295" spans="1:34" ht="15.75" customHeight="1">
      <c r="A295" s="1" t="s">
        <v>6</v>
      </c>
      <c r="B295" s="4">
        <v>32</v>
      </c>
      <c r="C295" s="1" t="s">
        <v>8</v>
      </c>
      <c r="D295" s="1" t="s">
        <v>15</v>
      </c>
      <c r="E295" s="4" t="s">
        <v>10</v>
      </c>
      <c r="F295" s="4" t="str">
        <f t="shared" si="22"/>
        <v>TN_32_NA_B4</v>
      </c>
      <c r="G295" s="4" t="s">
        <v>8</v>
      </c>
      <c r="H295" s="4" t="s">
        <v>8</v>
      </c>
      <c r="I295" s="4" t="s">
        <v>8</v>
      </c>
      <c r="J295" s="4" t="str">
        <f t="shared" si="23"/>
        <v>NA_NA_NA</v>
      </c>
      <c r="K295" s="4"/>
      <c r="L295" s="4"/>
      <c r="M295" s="4"/>
      <c r="N295" s="4"/>
      <c r="O295" s="4"/>
      <c r="P295" s="4"/>
      <c r="Q295" s="4" t="str">
        <f t="shared" si="21"/>
        <v/>
      </c>
      <c r="R295" s="4">
        <f>VLOOKUP(J295,eq!$D$2:$K$42,8,)</f>
        <v>0</v>
      </c>
      <c r="S295" s="4" t="str">
        <f t="shared" si="24"/>
        <v>0</v>
      </c>
      <c r="T295" s="4" cm="1">
        <f t="array" ref="T295">eval_dw/2</f>
        <v>0</v>
      </c>
      <c r="U295" s="1" t="e">
        <f>T295*2/VLOOKUP(J295,eq!$D$2:$G$42,4,)</f>
        <v>#DIV/0!</v>
      </c>
      <c r="V295" s="1">
        <f t="shared" si="25"/>
        <v>0</v>
      </c>
      <c r="W295" s="1" t="e" cm="1">
        <f t="array" ref="W295">IF(LEFT(J295,1)="S",eval_S/2,((3.141593*Q295/32)*((K295/100+L295/100)^2+(M295/100+N295/100)^2))*1000000*VLOOKUP(J295,eq!$D$2:$G$42,4,)/2)</f>
        <v>#VALUE!</v>
      </c>
      <c r="X295" s="1" t="e">
        <f>((3.141593*Q295/32)*((K295+L295)^2+(M295+N295)^2))*1000000*VLOOKUP(J295,eq!$D$2:$G$42,4,)/2</f>
        <v>#VALUE!</v>
      </c>
      <c r="Y295" s="1"/>
      <c r="Z295" s="1"/>
      <c r="AA295" s="1"/>
      <c r="AB295" s="1"/>
      <c r="AC295" s="1"/>
      <c r="AD295" s="1"/>
      <c r="AE295" s="1"/>
      <c r="AF295" s="1"/>
      <c r="AG295" s="1"/>
      <c r="AH295" s="1"/>
    </row>
    <row r="296" spans="1:34" ht="15.75" customHeight="1">
      <c r="A296" s="1" t="s">
        <v>6</v>
      </c>
      <c r="B296" s="4">
        <v>33</v>
      </c>
      <c r="C296" s="1" t="s">
        <v>8</v>
      </c>
      <c r="D296" s="1" t="s">
        <v>15</v>
      </c>
      <c r="E296" s="4" t="s">
        <v>13</v>
      </c>
      <c r="F296" s="4" t="str">
        <f t="shared" si="22"/>
        <v>TN_33_NA_B1</v>
      </c>
      <c r="G296" s="4" t="s">
        <v>11</v>
      </c>
      <c r="H296" s="4" t="s">
        <v>9</v>
      </c>
      <c r="I296" s="4">
        <v>1</v>
      </c>
      <c r="J296" s="4" t="str">
        <f t="shared" si="23"/>
        <v>F_1_S</v>
      </c>
      <c r="K296" s="4">
        <v>20</v>
      </c>
      <c r="L296" s="4">
        <v>23</v>
      </c>
      <c r="M296" s="4">
        <v>20</v>
      </c>
      <c r="N296" s="4">
        <v>23</v>
      </c>
      <c r="O296" s="4">
        <v>3.15</v>
      </c>
      <c r="P296" s="4"/>
      <c r="Q296" s="4" t="str">
        <f t="shared" si="21"/>
        <v>3.15</v>
      </c>
      <c r="R296" s="4" t="str">
        <f>VLOOKUP(J296,eq!$D$2:$K$42,8,)</f>
        <v>((pi*X2*100/32)*((a+b)^2 + (c+d)^2))*0.38</v>
      </c>
      <c r="S296" s="4" t="str">
        <f t="shared" si="24"/>
        <v>((3.141593*3.15*100/32)*((20+23)^2 + (20+23)^2))*0.38</v>
      </c>
      <c r="T296" s="4" cm="1">
        <f t="array" ref="T296">eval_dw/2</f>
        <v>21728.562912590623</v>
      </c>
      <c r="U296" s="1">
        <f>T296*2/VLOOKUP(J296,eq!$D$2:$G$42,4,)</f>
        <v>114360.8574346875</v>
      </c>
      <c r="V296" s="1">
        <f t="shared" si="25"/>
        <v>43457.125825181247</v>
      </c>
      <c r="W296" s="1" cm="1">
        <f t="array" ref="W296">IF(LEFT(J296,1)="S",eval_S/2,((3.141593*Q296/32)*((K296/100+L296/100)^2+(M296/100+N296/100)^2))*1000000*VLOOKUP(J296,eq!$D$2:$G$42,4,)/2)</f>
        <v>21728.562912590631</v>
      </c>
      <c r="X296" s="1">
        <f>((3.141593*Q296/32)*((K296+L296)^2+(M296+N296)^2))*1000000*VLOOKUP(J296,eq!$D$2:$G$42,4,)/2</f>
        <v>217285629.12590623</v>
      </c>
      <c r="Y296" s="1"/>
      <c r="Z296" s="1"/>
      <c r="AA296" s="1"/>
      <c r="AB296" s="1"/>
      <c r="AC296" s="1"/>
      <c r="AD296" s="1"/>
      <c r="AE296" s="1"/>
      <c r="AF296" s="1"/>
      <c r="AG296" s="1"/>
      <c r="AH296" s="1"/>
    </row>
    <row r="297" spans="1:34" ht="15.75" customHeight="1">
      <c r="A297" s="1" t="s">
        <v>6</v>
      </c>
      <c r="B297" s="4">
        <v>33</v>
      </c>
      <c r="C297" s="1" t="s">
        <v>8</v>
      </c>
      <c r="D297" s="1" t="s">
        <v>15</v>
      </c>
      <c r="E297" s="4" t="s">
        <v>13</v>
      </c>
      <c r="F297" s="4" t="str">
        <f t="shared" si="22"/>
        <v>TN_33_NA_B1</v>
      </c>
      <c r="G297" s="4" t="s">
        <v>8</v>
      </c>
      <c r="H297" s="4" t="s">
        <v>32</v>
      </c>
      <c r="I297" s="4">
        <v>5</v>
      </c>
      <c r="J297" s="4" t="str">
        <f t="shared" si="23"/>
        <v>T_5_NA</v>
      </c>
      <c r="K297" s="4">
        <v>22</v>
      </c>
      <c r="L297" s="4">
        <v>28</v>
      </c>
      <c r="M297" s="4">
        <v>22</v>
      </c>
      <c r="N297" s="4">
        <v>28</v>
      </c>
      <c r="O297" s="4"/>
      <c r="P297" s="4">
        <v>1.43</v>
      </c>
      <c r="Q297" s="4" t="str">
        <f t="shared" si="21"/>
        <v>1.43</v>
      </c>
      <c r="R297" s="4" t="str">
        <f>VLOOKUP(J297,eq!$D$2:$K$42,8,)</f>
        <v>((pi*X2*100/32)*((a+b)^2 + (c+d)^2))*0.25</v>
      </c>
      <c r="S297" s="4" t="str">
        <f t="shared" si="24"/>
        <v>((3.141593*1.43*100/32)*((22+28)^2 + (22+28)^2))*0.25</v>
      </c>
      <c r="T297" s="4" cm="1">
        <f t="array" ref="T297">eval_dw/2</f>
        <v>8774.3710742187486</v>
      </c>
      <c r="U297" s="1">
        <f>T297*2/VLOOKUP(J297,eq!$D$2:$G$42,4,)</f>
        <v>70194.968593749989</v>
      </c>
      <c r="V297" s="1">
        <f t="shared" si="25"/>
        <v>17548.742148437497</v>
      </c>
      <c r="W297" s="1" cm="1">
        <f t="array" ref="W297">IF(LEFT(J297,1)="S",eval_S/2,((3.141593*Q297/32)*((K297/100+L297/100)^2+(M297/100+N297/100)^2))*1000000*VLOOKUP(J297,eq!$D$2:$G$42,4,)/2)</f>
        <v>8774.3710742187486</v>
      </c>
      <c r="X297" s="1">
        <f>((3.141593*Q297/32)*((K297+L297)^2+(M297+N297)^2))*1000000*VLOOKUP(J297,eq!$D$2:$G$42,4,)/2</f>
        <v>87743710.742187485</v>
      </c>
      <c r="Y297" s="1"/>
      <c r="Z297" s="1"/>
      <c r="AA297" s="1"/>
      <c r="AB297" s="1"/>
      <c r="AC297" s="1"/>
      <c r="AD297" s="1"/>
      <c r="AE297" s="1"/>
      <c r="AF297" s="1"/>
      <c r="AG297" s="1"/>
      <c r="AH297" s="1"/>
    </row>
    <row r="298" spans="1:34" ht="15.75" customHeight="1">
      <c r="A298" s="1" t="s">
        <v>6</v>
      </c>
      <c r="B298" s="4">
        <v>33</v>
      </c>
      <c r="C298" s="1" t="s">
        <v>8</v>
      </c>
      <c r="D298" s="1" t="s">
        <v>15</v>
      </c>
      <c r="E298" s="4" t="s">
        <v>13</v>
      </c>
      <c r="F298" s="4" t="str">
        <f t="shared" si="22"/>
        <v>TN_33_NA_B1</v>
      </c>
      <c r="G298" s="4" t="s">
        <v>8</v>
      </c>
      <c r="H298" s="4" t="s">
        <v>9</v>
      </c>
      <c r="I298" s="4">
        <v>2</v>
      </c>
      <c r="J298" s="4" t="str">
        <f t="shared" si="23"/>
        <v>F_2_NA</v>
      </c>
      <c r="K298" s="4">
        <v>16</v>
      </c>
      <c r="L298" s="4">
        <v>12</v>
      </c>
      <c r="M298" s="4">
        <v>16</v>
      </c>
      <c r="N298" s="4">
        <v>12</v>
      </c>
      <c r="O298" s="4">
        <v>3.12</v>
      </c>
      <c r="P298" s="4"/>
      <c r="Q298" s="4" t="str">
        <f t="shared" si="21"/>
        <v>3.12</v>
      </c>
      <c r="R298" s="4" t="str">
        <f>VLOOKUP(J298,eq!$D$2:$K$42,8,)</f>
        <v>((pi*X2*100/32)*((a+b)^2 + (c+d)^2))*0.33</v>
      </c>
      <c r="S298" s="4" t="str">
        <f t="shared" si="24"/>
        <v>((3.141593*3.12*100/32)*((16+12)^2 + (16+12)^2))*0.33</v>
      </c>
      <c r="T298" s="4" cm="1">
        <f t="array" ref="T298">eval_dw/2</f>
        <v>7924.7311743600003</v>
      </c>
      <c r="U298" s="1">
        <f>T298*2/VLOOKUP(J298,eq!$D$2:$G$42,4,)</f>
        <v>48028.673783999999</v>
      </c>
      <c r="V298" s="1">
        <f t="shared" si="25"/>
        <v>15849.462348720001</v>
      </c>
      <c r="W298" s="1" cm="1">
        <f t="array" ref="W298">IF(LEFT(J298,1)="S",eval_S/2,((3.141593*Q298/32)*((K298/100+L298/100)^2+(M298/100+N298/100)^2))*1000000*VLOOKUP(J298,eq!$D$2:$G$42,4,)/2)</f>
        <v>7924.7311743600012</v>
      </c>
      <c r="X298" s="1">
        <f>((3.141593*Q298/32)*((K298+L298)^2+(M298+N298)^2))*1000000*VLOOKUP(J298,eq!$D$2:$G$42,4,)/2</f>
        <v>79247311.743599996</v>
      </c>
      <c r="Y298" s="1"/>
      <c r="Z298" s="1"/>
      <c r="AA298" s="1"/>
      <c r="AB298" s="1"/>
      <c r="AC298" s="1"/>
      <c r="AD298" s="1"/>
      <c r="AE298" s="1"/>
      <c r="AF298" s="1"/>
      <c r="AG298" s="1"/>
      <c r="AH298" s="1"/>
    </row>
    <row r="299" spans="1:34" ht="15.75" customHeight="1">
      <c r="A299" s="1" t="s">
        <v>6</v>
      </c>
      <c r="B299" s="4">
        <v>33</v>
      </c>
      <c r="C299" s="1" t="s">
        <v>8</v>
      </c>
      <c r="D299" s="1" t="s">
        <v>15</v>
      </c>
      <c r="E299" s="4" t="s">
        <v>13</v>
      </c>
      <c r="F299" s="4" t="str">
        <f t="shared" si="22"/>
        <v>TN_33_NA_B1</v>
      </c>
      <c r="G299" s="4" t="s">
        <v>8</v>
      </c>
      <c r="H299" s="4" t="s">
        <v>9</v>
      </c>
      <c r="I299" s="4">
        <v>3</v>
      </c>
      <c r="J299" s="4" t="str">
        <f t="shared" si="23"/>
        <v>F_3_NA</v>
      </c>
      <c r="K299" s="4">
        <v>17</v>
      </c>
      <c r="L299" s="4">
        <v>21</v>
      </c>
      <c r="M299" s="4">
        <v>17</v>
      </c>
      <c r="N299" s="4">
        <v>21</v>
      </c>
      <c r="O299" s="4">
        <v>0.38</v>
      </c>
      <c r="P299" s="4"/>
      <c r="Q299" s="4" t="str">
        <f t="shared" si="21"/>
        <v>0.38</v>
      </c>
      <c r="R299" s="4" t="str">
        <f>VLOOKUP(J299,eq!$D$2:$K$42,8,)</f>
        <v>((pi*X2*100/32)*((a+b)^2 + (c+d)^2))*0.26</v>
      </c>
      <c r="S299" s="4" t="str">
        <f t="shared" si="24"/>
        <v>((3.141593*0.38*100/32)*((17+21)^2 + (17+21)^2))*0.26</v>
      </c>
      <c r="T299" s="4" cm="1">
        <f t="array" ref="T299">eval_dw/2</f>
        <v>1400.6321151549998</v>
      </c>
      <c r="U299" s="1">
        <f>T299*2/VLOOKUP(J299,eq!$D$2:$G$42,4,)</f>
        <v>10774.093193499999</v>
      </c>
      <c r="V299" s="1">
        <f t="shared" si="25"/>
        <v>2801.2642303099997</v>
      </c>
      <c r="W299" s="1" cm="1">
        <f t="array" ref="W299">IF(LEFT(J299,1)="S",eval_S/2,((3.141593*Q299/32)*((K299/100+L299/100)^2+(M299/100+N299/100)^2))*1000000*VLOOKUP(J299,eq!$D$2:$G$42,4,)/2)</f>
        <v>1400.6321151549998</v>
      </c>
      <c r="X299" s="1">
        <f>((3.141593*Q299/32)*((K299+L299)^2+(M299+N299)^2))*1000000*VLOOKUP(J299,eq!$D$2:$G$42,4,)/2</f>
        <v>14006321.151549999</v>
      </c>
      <c r="Y299" s="1"/>
      <c r="Z299" s="1"/>
      <c r="AA299" s="1"/>
      <c r="AB299" s="1"/>
      <c r="AC299" s="1"/>
      <c r="AD299" s="1"/>
      <c r="AE299" s="1"/>
      <c r="AF299" s="1"/>
      <c r="AG299" s="1"/>
      <c r="AH299" s="1"/>
    </row>
    <row r="300" spans="1:34" ht="15.75" customHeight="1">
      <c r="A300" s="1" t="s">
        <v>6</v>
      </c>
      <c r="B300" s="4">
        <v>33</v>
      </c>
      <c r="C300" s="1" t="s">
        <v>8</v>
      </c>
      <c r="D300" s="1" t="s">
        <v>15</v>
      </c>
      <c r="E300" s="4" t="s">
        <v>7</v>
      </c>
      <c r="F300" s="4" t="str">
        <f t="shared" si="22"/>
        <v>TN_33_NA_B2</v>
      </c>
      <c r="G300" s="4" t="s">
        <v>8</v>
      </c>
      <c r="H300" s="4" t="s">
        <v>9</v>
      </c>
      <c r="I300" s="4">
        <v>3</v>
      </c>
      <c r="J300" s="4" t="str">
        <f t="shared" si="23"/>
        <v>F_3_NA</v>
      </c>
      <c r="K300" s="4">
        <v>34</v>
      </c>
      <c r="L300" s="4">
        <v>26</v>
      </c>
      <c r="M300" s="4">
        <v>34</v>
      </c>
      <c r="N300" s="4">
        <v>26</v>
      </c>
      <c r="O300" s="4">
        <v>3.21</v>
      </c>
      <c r="P300" s="4"/>
      <c r="Q300" s="4" t="str">
        <f t="shared" si="21"/>
        <v>3.21</v>
      </c>
      <c r="R300" s="4" t="str">
        <f>VLOOKUP(J300,eq!$D$2:$K$42,8,)</f>
        <v>((pi*X2*100/32)*((a+b)^2 + (c+d)^2))*0.26</v>
      </c>
      <c r="S300" s="4" t="str">
        <f t="shared" si="24"/>
        <v>((3.141593*3.21*100/32)*((34+26)^2 + (34+26)^2))*0.26</v>
      </c>
      <c r="T300" s="4" cm="1">
        <f t="array" ref="T300">eval_dw/2</f>
        <v>29497.202075249999</v>
      </c>
      <c r="U300" s="1">
        <f>T300*2/VLOOKUP(J300,eq!$D$2:$G$42,4,)</f>
        <v>226901.55442499998</v>
      </c>
      <c r="V300" s="1">
        <f t="shared" si="25"/>
        <v>58994.404150499999</v>
      </c>
      <c r="W300" s="1" cm="1">
        <f t="array" ref="W300">IF(LEFT(J300,1)="S",eval_S/2,((3.141593*Q300/32)*((K300/100+L300/100)^2+(M300/100+N300/100)^2))*1000000*VLOOKUP(J300,eq!$D$2:$G$42,4,)/2)</f>
        <v>29497.202075250007</v>
      </c>
      <c r="X300" s="1">
        <f>((3.141593*Q300/32)*((K300+L300)^2+(M300+N300)^2))*1000000*VLOOKUP(J300,eq!$D$2:$G$42,4,)/2</f>
        <v>294972020.7525</v>
      </c>
      <c r="Y300" s="1"/>
      <c r="Z300" s="1"/>
      <c r="AA300" s="1"/>
      <c r="AB300" s="1"/>
      <c r="AC300" s="1"/>
      <c r="AD300" s="1"/>
      <c r="AE300" s="1"/>
      <c r="AF300" s="1"/>
      <c r="AG300" s="1"/>
      <c r="AH300" s="1"/>
    </row>
    <row r="301" spans="1:34" ht="15.75" customHeight="1">
      <c r="A301" s="1" t="s">
        <v>6</v>
      </c>
      <c r="B301" s="4">
        <v>33</v>
      </c>
      <c r="C301" s="1" t="s">
        <v>8</v>
      </c>
      <c r="D301" s="1" t="s">
        <v>15</v>
      </c>
      <c r="E301" s="4" t="s">
        <v>7</v>
      </c>
      <c r="F301" s="4" t="str">
        <f t="shared" si="22"/>
        <v>TN_33_NA_B2</v>
      </c>
      <c r="G301" s="4" t="s">
        <v>8</v>
      </c>
      <c r="H301" s="4" t="s">
        <v>9</v>
      </c>
      <c r="I301" s="4">
        <v>3</v>
      </c>
      <c r="J301" s="4" t="str">
        <f t="shared" si="23"/>
        <v>F_3_NA</v>
      </c>
      <c r="K301" s="4">
        <v>18</v>
      </c>
      <c r="L301" s="4">
        <v>12</v>
      </c>
      <c r="M301" s="4">
        <v>18</v>
      </c>
      <c r="N301" s="4">
        <v>12</v>
      </c>
      <c r="O301" s="4">
        <v>4.58</v>
      </c>
      <c r="P301" s="4"/>
      <c r="Q301" s="4" t="str">
        <f t="shared" si="21"/>
        <v>4.58</v>
      </c>
      <c r="R301" s="4" t="str">
        <f>VLOOKUP(J301,eq!$D$2:$K$42,8,)</f>
        <v>((pi*X2*100/32)*((a+b)^2 + (c+d)^2))*0.26</v>
      </c>
      <c r="S301" s="4" t="str">
        <f t="shared" si="24"/>
        <v>((3.141593*4.58*100/32)*((18+12)^2 + (18+12)^2))*0.26</v>
      </c>
      <c r="T301" s="4" cm="1">
        <f t="array" ref="T301">eval_dw/2</f>
        <v>10521.587656125001</v>
      </c>
      <c r="U301" s="1">
        <f>T301*2/VLOOKUP(J301,eq!$D$2:$G$42,4,)</f>
        <v>80935.289662499999</v>
      </c>
      <c r="V301" s="1">
        <f t="shared" si="25"/>
        <v>21043.175312250001</v>
      </c>
      <c r="W301" s="1" cm="1">
        <f t="array" ref="W301">IF(LEFT(J301,1)="S",eval_S/2,((3.141593*Q301/32)*((K301/100+L301/100)^2+(M301/100+N301/100)^2))*1000000*VLOOKUP(J301,eq!$D$2:$G$42,4,)/2)</f>
        <v>10521.587656125001</v>
      </c>
      <c r="X301" s="1">
        <f>((3.141593*Q301/32)*((K301+L301)^2+(M301+N301)^2))*1000000*VLOOKUP(J301,eq!$D$2:$G$42,4,)/2</f>
        <v>105215876.56125</v>
      </c>
      <c r="Y301" s="1"/>
      <c r="Z301" s="1"/>
      <c r="AA301" s="1"/>
      <c r="AB301" s="1"/>
      <c r="AC301" s="1"/>
      <c r="AD301" s="1"/>
      <c r="AE301" s="1"/>
      <c r="AF301" s="1"/>
      <c r="AG301" s="1"/>
      <c r="AH301" s="1"/>
    </row>
    <row r="302" spans="1:34" ht="15.75" customHeight="1">
      <c r="A302" s="1" t="s">
        <v>6</v>
      </c>
      <c r="B302" s="4">
        <v>33</v>
      </c>
      <c r="C302" s="1" t="s">
        <v>8</v>
      </c>
      <c r="D302" s="1" t="s">
        <v>15</v>
      </c>
      <c r="E302" s="4" t="s">
        <v>7</v>
      </c>
      <c r="F302" s="4" t="str">
        <f t="shared" si="22"/>
        <v>TN_33_NA_B2</v>
      </c>
      <c r="G302" s="4" t="s">
        <v>11</v>
      </c>
      <c r="H302" s="4" t="s">
        <v>9</v>
      </c>
      <c r="I302" s="4">
        <v>1</v>
      </c>
      <c r="J302" s="4" t="str">
        <f t="shared" si="23"/>
        <v>F_1_S</v>
      </c>
      <c r="K302" s="4">
        <v>11</v>
      </c>
      <c r="L302" s="4">
        <v>11</v>
      </c>
      <c r="M302" s="4">
        <v>11</v>
      </c>
      <c r="N302" s="4">
        <v>11</v>
      </c>
      <c r="O302" s="4">
        <v>3.24</v>
      </c>
      <c r="P302" s="4"/>
      <c r="Q302" s="4" t="str">
        <f t="shared" si="21"/>
        <v>3.24</v>
      </c>
      <c r="R302" s="4" t="str">
        <f>VLOOKUP(J302,eq!$D$2:$K$42,8,)</f>
        <v>((pi*X2*100/32)*((a+b)^2 + (c+d)^2))*0.38</v>
      </c>
      <c r="S302" s="4" t="str">
        <f t="shared" si="24"/>
        <v>((3.141593*3.24*100/32)*((11+11)^2 + (11+11)^2))*0.38</v>
      </c>
      <c r="T302" s="4" cm="1">
        <f t="array" ref="T302">eval_dw/2</f>
        <v>5850.24306867</v>
      </c>
      <c r="U302" s="1">
        <f>T302*2/VLOOKUP(J302,eq!$D$2:$G$42,4,)</f>
        <v>30790.752992999998</v>
      </c>
      <c r="V302" s="1">
        <f t="shared" si="25"/>
        <v>11700.48613734</v>
      </c>
      <c r="W302" s="1" cm="1">
        <f t="array" ref="W302">IF(LEFT(J302,1)="S",eval_S/2,((3.141593*Q302/32)*((K302/100+L302/100)^2+(M302/100+N302/100)^2))*1000000*VLOOKUP(J302,eq!$D$2:$G$42,4,)/2)</f>
        <v>5850.24306867</v>
      </c>
      <c r="X302" s="1">
        <f>((3.141593*Q302/32)*((K302+L302)^2+(M302+N302)^2))*1000000*VLOOKUP(J302,eq!$D$2:$G$42,4,)/2</f>
        <v>58502430.686700001</v>
      </c>
      <c r="Y302" s="1"/>
      <c r="Z302" s="1"/>
      <c r="AA302" s="1"/>
      <c r="AB302" s="1"/>
      <c r="AC302" s="1"/>
      <c r="AD302" s="1"/>
      <c r="AE302" s="1"/>
      <c r="AF302" s="1"/>
      <c r="AG302" s="1"/>
      <c r="AH302" s="1"/>
    </row>
    <row r="303" spans="1:34" ht="15.75" customHeight="1">
      <c r="A303" s="1" t="s">
        <v>6</v>
      </c>
      <c r="B303" s="4">
        <v>33</v>
      </c>
      <c r="C303" s="1" t="s">
        <v>8</v>
      </c>
      <c r="D303" s="1" t="s">
        <v>15</v>
      </c>
      <c r="E303" s="4" t="s">
        <v>12</v>
      </c>
      <c r="F303" s="4" t="str">
        <f t="shared" si="22"/>
        <v>TN_33_NA_B3</v>
      </c>
      <c r="G303" s="4" t="s">
        <v>8</v>
      </c>
      <c r="H303" s="4" t="s">
        <v>9</v>
      </c>
      <c r="I303" s="4">
        <v>3</v>
      </c>
      <c r="J303" s="4" t="str">
        <f t="shared" si="23"/>
        <v>F_3_NA</v>
      </c>
      <c r="K303" s="4">
        <v>14</v>
      </c>
      <c r="L303" s="4">
        <v>12</v>
      </c>
      <c r="M303" s="4">
        <v>14</v>
      </c>
      <c r="N303" s="4">
        <v>12</v>
      </c>
      <c r="O303" s="4">
        <v>2.6</v>
      </c>
      <c r="P303" s="4"/>
      <c r="Q303" s="4" t="str">
        <f t="shared" si="21"/>
        <v>2.6</v>
      </c>
      <c r="R303" s="4" t="str">
        <f>VLOOKUP(J303,eq!$D$2:$K$42,8,)</f>
        <v>((pi*X2*100/32)*((a+b)^2 + (c+d)^2))*0.26</v>
      </c>
      <c r="S303" s="4" t="str">
        <f t="shared" si="24"/>
        <v>((3.141593*2.6*100/32)*((14+12)^2 + (14+12)^2))*0.26</v>
      </c>
      <c r="T303" s="4" cm="1">
        <f t="array" ref="T303">eval_dw/2</f>
        <v>4486.3518836500007</v>
      </c>
      <c r="U303" s="1">
        <f>T303*2/VLOOKUP(J303,eq!$D$2:$G$42,4,)</f>
        <v>34510.399105000004</v>
      </c>
      <c r="V303" s="1">
        <f t="shared" si="25"/>
        <v>8972.7037673000013</v>
      </c>
      <c r="W303" s="1" cm="1">
        <f t="array" ref="W303">IF(LEFT(J303,1)="S",eval_S/2,((3.141593*Q303/32)*((K303/100+L303/100)^2+(M303/100+N303/100)^2))*1000000*VLOOKUP(J303,eq!$D$2:$G$42,4,)/2)</f>
        <v>4486.3518836500007</v>
      </c>
      <c r="X303" s="1">
        <f>((3.141593*Q303/32)*((K303+L303)^2+(M303+N303)^2))*1000000*VLOOKUP(J303,eq!$D$2:$G$42,4,)/2</f>
        <v>44863518.836500011</v>
      </c>
      <c r="Y303" s="1"/>
      <c r="Z303" s="1"/>
      <c r="AA303" s="1"/>
      <c r="AB303" s="1"/>
      <c r="AC303" s="1"/>
      <c r="AD303" s="1"/>
      <c r="AE303" s="1"/>
      <c r="AF303" s="1"/>
      <c r="AG303" s="1"/>
      <c r="AH303" s="1"/>
    </row>
    <row r="304" spans="1:34" ht="15.75" customHeight="1">
      <c r="A304" s="1" t="s">
        <v>6</v>
      </c>
      <c r="B304" s="4">
        <v>33</v>
      </c>
      <c r="C304" s="1" t="s">
        <v>8</v>
      </c>
      <c r="D304" s="1" t="s">
        <v>15</v>
      </c>
      <c r="E304" s="4" t="s">
        <v>12</v>
      </c>
      <c r="F304" s="4" t="str">
        <f t="shared" si="22"/>
        <v>TN_33_NA_B3</v>
      </c>
      <c r="G304" s="4" t="s">
        <v>8</v>
      </c>
      <c r="H304" s="4" t="s">
        <v>9</v>
      </c>
      <c r="I304" s="4">
        <v>3</v>
      </c>
      <c r="J304" s="4" t="str">
        <f t="shared" si="23"/>
        <v>F_3_NA</v>
      </c>
      <c r="K304" s="4">
        <v>11</v>
      </c>
      <c r="L304" s="4">
        <v>11</v>
      </c>
      <c r="M304" s="4">
        <v>11</v>
      </c>
      <c r="N304" s="4">
        <v>11</v>
      </c>
      <c r="O304" s="4">
        <v>1.23</v>
      </c>
      <c r="P304" s="4"/>
      <c r="Q304" s="4" t="str">
        <f t="shared" si="21"/>
        <v>1.23</v>
      </c>
      <c r="R304" s="4" t="str">
        <f>VLOOKUP(J304,eq!$D$2:$K$42,8,)</f>
        <v>((pi*X2*100/32)*((a+b)^2 + (c+d)^2))*0.26</v>
      </c>
      <c r="S304" s="4" t="str">
        <f t="shared" si="24"/>
        <v>((3.141593*1.23*100/32)*((11+11)^2 + (11+11)^2))*0.26</v>
      </c>
      <c r="T304" s="4" cm="1">
        <f t="array" ref="T304">eval_dw/2</f>
        <v>1519.5806801175002</v>
      </c>
      <c r="U304" s="1">
        <f>T304*2/VLOOKUP(J304,eq!$D$2:$G$42,4,)</f>
        <v>11689.08215475</v>
      </c>
      <c r="V304" s="1">
        <f t="shared" si="25"/>
        <v>3039.1613602350003</v>
      </c>
      <c r="W304" s="1" cm="1">
        <f t="array" ref="W304">IF(LEFT(J304,1)="S",eval_S/2,((3.141593*Q304/32)*((K304/100+L304/100)^2+(M304/100+N304/100)^2))*1000000*VLOOKUP(J304,eq!$D$2:$G$42,4,)/2)</f>
        <v>1519.5806801175002</v>
      </c>
      <c r="X304" s="1">
        <f>((3.141593*Q304/32)*((K304+L304)^2+(M304+N304)^2))*1000000*VLOOKUP(J304,eq!$D$2:$G$42,4,)/2</f>
        <v>15195806.801175</v>
      </c>
      <c r="Y304" s="1"/>
      <c r="Z304" s="1"/>
      <c r="AA304" s="1"/>
      <c r="AB304" s="1"/>
      <c r="AC304" s="1"/>
      <c r="AD304" s="1"/>
      <c r="AE304" s="1"/>
      <c r="AF304" s="1"/>
      <c r="AG304" s="1"/>
      <c r="AH304" s="1"/>
    </row>
    <row r="305" spans="1:34" ht="15.75" customHeight="1">
      <c r="A305" s="1" t="s">
        <v>6</v>
      </c>
      <c r="B305" s="4">
        <v>33</v>
      </c>
      <c r="C305" s="1" t="s">
        <v>8</v>
      </c>
      <c r="D305" s="1" t="s">
        <v>15</v>
      </c>
      <c r="E305" s="4" t="s">
        <v>10</v>
      </c>
      <c r="F305" s="4" t="str">
        <f t="shared" si="22"/>
        <v>TN_33_NA_B4</v>
      </c>
      <c r="G305" s="4" t="s">
        <v>8</v>
      </c>
      <c r="H305" s="4" t="s">
        <v>32</v>
      </c>
      <c r="I305" s="4">
        <v>5</v>
      </c>
      <c r="J305" s="4" t="str">
        <f t="shared" si="23"/>
        <v>T_5_NA</v>
      </c>
      <c r="K305" s="4">
        <v>57</v>
      </c>
      <c r="L305" s="4">
        <v>46</v>
      </c>
      <c r="M305" s="4">
        <v>57</v>
      </c>
      <c r="N305" s="4">
        <v>46</v>
      </c>
      <c r="O305" s="4"/>
      <c r="P305" s="4">
        <v>0.89</v>
      </c>
      <c r="Q305" s="4" t="str">
        <f t="shared" si="21"/>
        <v>0.89</v>
      </c>
      <c r="R305" s="4" t="str">
        <f>VLOOKUP(J305,eq!$D$2:$K$42,8,)</f>
        <v>((pi*X2*100/32)*((a+b)^2 + (c+d)^2))*0.25</v>
      </c>
      <c r="S305" s="4" t="str">
        <f t="shared" si="24"/>
        <v>((3.141593*0.89*100/32)*((57+46)^2 + (57+46)^2))*0.25</v>
      </c>
      <c r="T305" s="4" cm="1">
        <f t="array" ref="T305">eval_dw/2</f>
        <v>23174.18165775781</v>
      </c>
      <c r="U305" s="1">
        <f>T305*2/VLOOKUP(J305,eq!$D$2:$G$42,4,)</f>
        <v>185393.45326206248</v>
      </c>
      <c r="V305" s="1">
        <f t="shared" si="25"/>
        <v>46348.36331551562</v>
      </c>
      <c r="W305" s="1" cm="1">
        <f t="array" ref="W305">IF(LEFT(J305,1)="S",eval_S/2,((3.141593*Q305/32)*((K305/100+L305/100)^2+(M305/100+N305/100)^2))*1000000*VLOOKUP(J305,eq!$D$2:$G$42,4,)/2)</f>
        <v>23174.18165775781</v>
      </c>
      <c r="X305" s="1">
        <f>((3.141593*Q305/32)*((K305+L305)^2+(M305+N305)^2))*1000000*VLOOKUP(J305,eq!$D$2:$G$42,4,)/2</f>
        <v>231741816.5775781</v>
      </c>
      <c r="Y305" s="1"/>
      <c r="Z305" s="1"/>
      <c r="AA305" s="1"/>
      <c r="AB305" s="1"/>
      <c r="AC305" s="1"/>
      <c r="AD305" s="1"/>
      <c r="AE305" s="1"/>
      <c r="AF305" s="1"/>
      <c r="AG305" s="1"/>
      <c r="AH305" s="1"/>
    </row>
    <row r="306" spans="1:34" ht="15.75" customHeight="1">
      <c r="A306" s="1" t="s">
        <v>6</v>
      </c>
      <c r="B306" s="4">
        <v>34</v>
      </c>
      <c r="C306" s="2" t="s">
        <v>23</v>
      </c>
      <c r="D306" s="1" t="s">
        <v>15</v>
      </c>
      <c r="E306" s="4" t="s">
        <v>13</v>
      </c>
      <c r="F306" s="4" t="str">
        <f t="shared" si="22"/>
        <v>TN_34_CTRL_B1</v>
      </c>
      <c r="G306" s="4" t="s">
        <v>8</v>
      </c>
      <c r="H306" s="4" t="s">
        <v>9</v>
      </c>
      <c r="I306" s="4">
        <v>3</v>
      </c>
      <c r="J306" s="4" t="str">
        <f t="shared" si="23"/>
        <v>F_3_NA</v>
      </c>
      <c r="K306" s="4">
        <v>24</v>
      </c>
      <c r="L306" s="4">
        <v>21</v>
      </c>
      <c r="M306" s="4">
        <v>22</v>
      </c>
      <c r="N306" s="4">
        <v>22</v>
      </c>
      <c r="O306" s="4">
        <v>3.95</v>
      </c>
      <c r="P306" s="4"/>
      <c r="Q306" s="4" t="str">
        <f t="shared" si="21"/>
        <v>3.95</v>
      </c>
      <c r="R306" s="4" t="str">
        <f>VLOOKUP(J306,eq!$D$2:$K$42,8,)</f>
        <v>((pi*X2*100/32)*((a+b)^2 + (c+d)^2))*0.26</v>
      </c>
      <c r="S306" s="4" t="str">
        <f t="shared" si="24"/>
        <v>((3.141593*3.95*100/32)*((24+21)^2 + (22+22)^2))*0.26</v>
      </c>
      <c r="T306" s="4" cm="1">
        <f t="array" ref="T306">eval_dw/2</f>
        <v>19968.490343079688</v>
      </c>
      <c r="U306" s="1">
        <f>T306*2/VLOOKUP(J306,eq!$D$2:$G$42,4,)</f>
        <v>153603.77186984374</v>
      </c>
      <c r="V306" s="1">
        <f t="shared" si="25"/>
        <v>39936.980686159375</v>
      </c>
      <c r="W306" s="1" cm="1">
        <f t="array" ref="W306">IF(LEFT(J306,1)="S",eval_S/2,((3.141593*Q306/32)*((K306/100+L306/100)^2+(M306/100+N306/100)^2))*1000000*VLOOKUP(J306,eq!$D$2:$G$42,4,)/2)</f>
        <v>19968.490343079688</v>
      </c>
      <c r="X306" s="1">
        <f>((3.141593*Q306/32)*((K306+L306)^2+(M306+N306)^2))*1000000*VLOOKUP(J306,eq!$D$2:$G$42,4,)/2</f>
        <v>199684903.43079686</v>
      </c>
      <c r="Y306" s="1"/>
      <c r="Z306" s="1"/>
      <c r="AA306" s="1"/>
      <c r="AB306" s="1"/>
      <c r="AC306" s="1"/>
      <c r="AD306" s="1"/>
      <c r="AE306" s="1"/>
      <c r="AF306" s="1"/>
      <c r="AG306" s="1"/>
      <c r="AH306" s="1"/>
    </row>
    <row r="307" spans="1:34" ht="15.75" customHeight="1">
      <c r="A307" s="1" t="s">
        <v>6</v>
      </c>
      <c r="B307" s="4">
        <v>34</v>
      </c>
      <c r="C307" s="2" t="s">
        <v>23</v>
      </c>
      <c r="D307" s="1" t="s">
        <v>15</v>
      </c>
      <c r="E307" s="4" t="s">
        <v>13</v>
      </c>
      <c r="F307" s="4" t="str">
        <f t="shared" si="22"/>
        <v>TN_34_CTRL_B1</v>
      </c>
      <c r="G307" s="4" t="s">
        <v>8</v>
      </c>
      <c r="H307" s="4" t="s">
        <v>32</v>
      </c>
      <c r="I307" s="4">
        <v>4</v>
      </c>
      <c r="J307" s="4" t="str">
        <f t="shared" si="23"/>
        <v>T_4_NA</v>
      </c>
      <c r="K307" s="4">
        <v>46</v>
      </c>
      <c r="L307" s="4">
        <v>47</v>
      </c>
      <c r="M307" s="4">
        <v>46</v>
      </c>
      <c r="N307" s="4">
        <v>47</v>
      </c>
      <c r="O307" s="4"/>
      <c r="P307" s="4">
        <v>0.72</v>
      </c>
      <c r="Q307" s="4" t="str">
        <f t="shared" si="21"/>
        <v>0.72</v>
      </c>
      <c r="R307" s="4" t="str">
        <f>VLOOKUP(J307,eq!$D$2:$K$42,8,)</f>
        <v>((pi*X2*100/32)*((a+b)^2 + (c+d)^2))*0.25</v>
      </c>
      <c r="S307" s="4" t="str">
        <f t="shared" si="24"/>
        <v>((3.141593*0.72*100/32)*((46+47)^2 + (46+47)^2))*0.25</v>
      </c>
      <c r="T307" s="4" cm="1">
        <f t="array" ref="T307">eval_dw/2</f>
        <v>15284.0462945625</v>
      </c>
      <c r="U307" s="1">
        <f>T307*2/VLOOKUP(J307,eq!$D$2:$G$42,4,)</f>
        <v>122272.3703565</v>
      </c>
      <c r="V307" s="1">
        <f t="shared" si="25"/>
        <v>30568.092589125001</v>
      </c>
      <c r="W307" s="1" cm="1">
        <f t="array" ref="W307">IF(LEFT(J307,1)="S",eval_S/2,((3.141593*Q307/32)*((K307/100+L307/100)^2+(M307/100+N307/100)^2))*1000000*VLOOKUP(J307,eq!$D$2:$G$42,4,)/2)</f>
        <v>15284.046294562499</v>
      </c>
      <c r="X307" s="1">
        <f>((3.141593*Q307/32)*((K307+L307)^2+(M307+N307)^2))*1000000*VLOOKUP(J307,eq!$D$2:$G$42,4,)/2</f>
        <v>152840462.94562501</v>
      </c>
      <c r="Y307" s="1"/>
      <c r="Z307" s="1"/>
      <c r="AA307" s="1"/>
      <c r="AB307" s="1"/>
      <c r="AC307" s="1"/>
      <c r="AD307" s="1"/>
      <c r="AE307" s="1"/>
      <c r="AF307" s="1"/>
      <c r="AG307" s="1"/>
      <c r="AH307" s="1"/>
    </row>
    <row r="308" spans="1:34" ht="15.75" customHeight="1">
      <c r="A308" s="1" t="s">
        <v>6</v>
      </c>
      <c r="B308" s="4">
        <v>34</v>
      </c>
      <c r="C308" s="2" t="s">
        <v>23</v>
      </c>
      <c r="D308" s="1" t="s">
        <v>15</v>
      </c>
      <c r="E308" s="4" t="s">
        <v>13</v>
      </c>
      <c r="F308" s="4" t="str">
        <f t="shared" si="22"/>
        <v>TN_34_CTRL_B1</v>
      </c>
      <c r="G308" s="4" t="s">
        <v>8</v>
      </c>
      <c r="H308" s="4" t="s">
        <v>9</v>
      </c>
      <c r="I308" s="4">
        <v>3</v>
      </c>
      <c r="J308" s="4" t="str">
        <f t="shared" si="23"/>
        <v>F_3_NA</v>
      </c>
      <c r="K308" s="4">
        <v>15</v>
      </c>
      <c r="L308" s="4">
        <v>19</v>
      </c>
      <c r="M308" s="4">
        <v>11</v>
      </c>
      <c r="N308" s="4">
        <v>12</v>
      </c>
      <c r="O308" s="4">
        <v>3.95</v>
      </c>
      <c r="P308" s="4"/>
      <c r="Q308" s="4" t="str">
        <f t="shared" ref="Q308:Q329" si="26">O308&amp;P308</f>
        <v>3.95</v>
      </c>
      <c r="R308" s="4" t="str">
        <f>VLOOKUP(J308,eq!$D$2:$K$42,8,)</f>
        <v>((pi*X2*100/32)*((a+b)^2 + (c+d)^2))*0.26</v>
      </c>
      <c r="S308" s="4" t="str">
        <f t="shared" si="24"/>
        <v>((3.141593*3.95*100/32)*((15+19)^2 + (11+12)^2))*0.26</v>
      </c>
      <c r="T308" s="4" cm="1">
        <f t="array" ref="T308">eval_dw/2</f>
        <v>8494.5484039609364</v>
      </c>
      <c r="U308" s="1">
        <f>T308*2/VLOOKUP(J308,eq!$D$2:$G$42,4,)</f>
        <v>65342.680030468742</v>
      </c>
      <c r="V308" s="1">
        <f t="shared" si="25"/>
        <v>16989.096807921873</v>
      </c>
      <c r="W308" s="1" cm="1">
        <f t="array" ref="W308">IF(LEFT(J308,1)="S",eval_S/2,((3.141593*Q308/32)*((K308/100+L308/100)^2+(M308/100+N308/100)^2))*1000000*VLOOKUP(J308,eq!$D$2:$G$42,4,)/2)</f>
        <v>8494.5484039609364</v>
      </c>
      <c r="X308" s="1">
        <f>((3.141593*Q308/32)*((K308+L308)^2+(M308+N308)^2))*1000000*VLOOKUP(J308,eq!$D$2:$G$42,4,)/2</f>
        <v>84945484.039609373</v>
      </c>
      <c r="Y308" s="1"/>
      <c r="Z308" s="1"/>
      <c r="AA308" s="1"/>
      <c r="AB308" s="1"/>
      <c r="AC308" s="1"/>
      <c r="AD308" s="1"/>
      <c r="AE308" s="1"/>
      <c r="AF308" s="1"/>
      <c r="AG308" s="1"/>
      <c r="AH308" s="1"/>
    </row>
    <row r="309" spans="1:34" ht="15.75" customHeight="1">
      <c r="A309" s="1" t="s">
        <v>6</v>
      </c>
      <c r="B309" s="4">
        <v>34</v>
      </c>
      <c r="C309" s="2" t="s">
        <v>23</v>
      </c>
      <c r="D309" s="1" t="s">
        <v>15</v>
      </c>
      <c r="E309" s="4" t="s">
        <v>13</v>
      </c>
      <c r="F309" s="4" t="str">
        <f t="shared" si="22"/>
        <v>TN_34_CTRL_B1</v>
      </c>
      <c r="G309" s="4" t="s">
        <v>8</v>
      </c>
      <c r="H309" s="4" t="s">
        <v>9</v>
      </c>
      <c r="I309" s="4">
        <v>3</v>
      </c>
      <c r="J309" s="4" t="str">
        <f t="shared" si="23"/>
        <v>F_3_NA</v>
      </c>
      <c r="K309" s="4">
        <v>24</v>
      </c>
      <c r="L309" s="4">
        <v>23</v>
      </c>
      <c r="M309" s="4">
        <v>21</v>
      </c>
      <c r="N309" s="4">
        <v>20</v>
      </c>
      <c r="O309" s="4">
        <v>1.62</v>
      </c>
      <c r="P309" s="4"/>
      <c r="Q309" s="4" t="str">
        <f t="shared" si="26"/>
        <v>1.62</v>
      </c>
      <c r="R309" s="4" t="str">
        <f>VLOOKUP(J309,eq!$D$2:$K$42,8,)</f>
        <v>((pi*X2*100/32)*((a+b)^2 + (c+d)^2))*0.26</v>
      </c>
      <c r="S309" s="4" t="str">
        <f t="shared" si="24"/>
        <v>((3.141593*1.62*100/32)*((24+23)^2 + (21+20)^2))*0.26</v>
      </c>
      <c r="T309" s="4" cm="1">
        <f t="array" ref="T309">eval_dw/2</f>
        <v>8042.8118742562501</v>
      </c>
      <c r="U309" s="1">
        <f>T309*2/VLOOKUP(J309,eq!$D$2:$G$42,4,)</f>
        <v>61867.783648124998</v>
      </c>
      <c r="V309" s="1">
        <f t="shared" si="25"/>
        <v>16085.6237485125</v>
      </c>
      <c r="W309" s="1" cm="1">
        <f t="array" ref="W309">IF(LEFT(J309,1)="S",eval_S/2,((3.141593*Q309/32)*((K309/100+L309/100)^2+(M309/100+N309/100)^2))*1000000*VLOOKUP(J309,eq!$D$2:$G$42,4,)/2)</f>
        <v>8042.8118742562501</v>
      </c>
      <c r="X309" s="1">
        <f>((3.141593*Q309/32)*((K309+L309)^2+(M309+N309)^2))*1000000*VLOOKUP(J309,eq!$D$2:$G$42,4,)/2</f>
        <v>80428118.742562488</v>
      </c>
      <c r="Y309" s="1"/>
      <c r="Z309" s="1"/>
      <c r="AA309" s="1"/>
      <c r="AB309" s="1"/>
      <c r="AC309" s="1"/>
      <c r="AD309" s="1"/>
      <c r="AE309" s="1"/>
      <c r="AF309" s="1"/>
      <c r="AG309" s="1"/>
      <c r="AH309" s="1"/>
    </row>
    <row r="310" spans="1:34" ht="15.75" customHeight="1">
      <c r="A310" s="1" t="s">
        <v>6</v>
      </c>
      <c r="B310" s="4">
        <v>34</v>
      </c>
      <c r="C310" s="2" t="s">
        <v>23</v>
      </c>
      <c r="D310" s="1" t="s">
        <v>15</v>
      </c>
      <c r="E310" s="4" t="s">
        <v>13</v>
      </c>
      <c r="F310" s="4" t="str">
        <f t="shared" si="22"/>
        <v>TN_34_CTRL_B1</v>
      </c>
      <c r="G310" s="4" t="s">
        <v>8</v>
      </c>
      <c r="H310" s="4" t="s">
        <v>9</v>
      </c>
      <c r="I310" s="4">
        <v>2</v>
      </c>
      <c r="J310" s="4" t="str">
        <f t="shared" si="23"/>
        <v>F_2_NA</v>
      </c>
      <c r="K310" s="4">
        <v>8</v>
      </c>
      <c r="L310" s="4">
        <v>6</v>
      </c>
      <c r="M310" s="4">
        <v>14</v>
      </c>
      <c r="N310" s="4">
        <v>16</v>
      </c>
      <c r="O310" s="4">
        <v>3.46</v>
      </c>
      <c r="P310" s="4"/>
      <c r="Q310" s="4" t="str">
        <f t="shared" si="26"/>
        <v>3.46</v>
      </c>
      <c r="R310" s="4" t="str">
        <f>VLOOKUP(J310,eq!$D$2:$K$42,8,)</f>
        <v>((pi*X2*100/32)*((a+b)^2 + (c+d)^2))*0.33</v>
      </c>
      <c r="S310" s="4" t="str">
        <f t="shared" si="24"/>
        <v>((3.141593*3.46*100/32)*((8+6)^2 + (14+16)^2))*0.33</v>
      </c>
      <c r="T310" s="4" cm="1">
        <f t="array" ref="T310">eval_dw/2</f>
        <v>6142.8588946725004</v>
      </c>
      <c r="U310" s="1">
        <f>T310*2/VLOOKUP(J310,eq!$D$2:$G$42,4,)</f>
        <v>37229.447846499999</v>
      </c>
      <c r="V310" s="1">
        <f t="shared" si="25"/>
        <v>12285.717789345001</v>
      </c>
      <c r="W310" s="1" cm="1">
        <f t="array" ref="W310">IF(LEFT(J310,1)="S",eval_S/2,((3.141593*Q310/32)*((K310/100+L310/100)^2+(M310/100+N310/100)^2))*1000000*VLOOKUP(J310,eq!$D$2:$G$42,4,)/2)</f>
        <v>6142.8588946725013</v>
      </c>
      <c r="X310" s="1">
        <f>((3.141593*Q310/32)*((K310+L310)^2+(M310+N310)^2))*1000000*VLOOKUP(J310,eq!$D$2:$G$42,4,)/2</f>
        <v>61428588.946724989</v>
      </c>
      <c r="Y310" s="1"/>
      <c r="Z310" s="1"/>
      <c r="AA310" s="1"/>
      <c r="AB310" s="1"/>
      <c r="AC310" s="1"/>
      <c r="AD310" s="1"/>
      <c r="AE310" s="1"/>
      <c r="AF310" s="1"/>
      <c r="AG310" s="1"/>
      <c r="AH310" s="1"/>
    </row>
    <row r="311" spans="1:34" ht="15.75" customHeight="1">
      <c r="A311" s="9" t="s">
        <v>6</v>
      </c>
      <c r="B311" s="8">
        <v>34</v>
      </c>
      <c r="C311" s="10" t="s">
        <v>23</v>
      </c>
      <c r="D311" s="9" t="s">
        <v>15</v>
      </c>
      <c r="E311" s="8" t="s">
        <v>13</v>
      </c>
      <c r="F311" s="4" t="str">
        <f t="shared" si="22"/>
        <v>TN_34_CTRL_B1</v>
      </c>
      <c r="G311" s="8" t="s">
        <v>8</v>
      </c>
      <c r="H311" s="8" t="s">
        <v>9</v>
      </c>
      <c r="I311" s="8">
        <v>3</v>
      </c>
      <c r="J311" s="4" t="str">
        <f t="shared" si="23"/>
        <v>F_3_NA</v>
      </c>
      <c r="K311" s="8">
        <v>17</v>
      </c>
      <c r="L311" s="8">
        <v>8</v>
      </c>
      <c r="M311" s="8">
        <v>8</v>
      </c>
      <c r="N311" s="8">
        <v>9</v>
      </c>
      <c r="O311" s="8">
        <v>2.29</v>
      </c>
      <c r="P311" s="8"/>
      <c r="Q311" s="4" t="str">
        <f t="shared" si="26"/>
        <v>2.29</v>
      </c>
      <c r="R311" s="4" t="str">
        <f>VLOOKUP(J311,eq!$D$2:$K$42,8,)</f>
        <v>((pi*X2*100/32)*((a+b)^2 + (c+d)^2))*0.26</v>
      </c>
      <c r="S311" s="4" t="str">
        <f t="shared" si="24"/>
        <v>((3.141593*2.29*100/32)*((17+8)^2 + (8+9)^2))*0.26</v>
      </c>
      <c r="T311" s="4" cm="1">
        <f t="array" ref="T311">eval_dw/2</f>
        <v>2671.314199360625</v>
      </c>
      <c r="U311" s="1">
        <f>T311*2/VLOOKUP(J311,eq!$D$2:$G$42,4,)</f>
        <v>20548.570764312499</v>
      </c>
      <c r="V311" s="1">
        <f t="shared" si="25"/>
        <v>5342.6283987212501</v>
      </c>
      <c r="W311" s="1" cm="1">
        <f t="array" ref="W311">IF(LEFT(J311,1)="S",eval_S/2,((3.141593*Q311/32)*((K311/100+L311/100)^2+(M311/100+N311/100)^2))*1000000*VLOOKUP(J311,eq!$D$2:$G$42,4,)/2)</f>
        <v>2671.3141993606255</v>
      </c>
      <c r="X311" s="1">
        <f>((3.141593*Q311/32)*((K311+L311)^2+(M311+N311)^2))*1000000*VLOOKUP(J311,eq!$D$2:$G$42,4,)/2</f>
        <v>26713141.993606251</v>
      </c>
      <c r="Y311" s="1"/>
      <c r="Z311" s="1"/>
      <c r="AA311" s="1"/>
      <c r="AB311" s="1"/>
      <c r="AC311" s="1"/>
      <c r="AD311" s="1"/>
      <c r="AE311" s="1"/>
      <c r="AF311" s="1"/>
      <c r="AG311" s="1"/>
      <c r="AH311" s="1"/>
    </row>
    <row r="312" spans="1:34" ht="15.75" customHeight="1">
      <c r="A312" s="1" t="s">
        <v>6</v>
      </c>
      <c r="B312" s="4">
        <v>34</v>
      </c>
      <c r="C312" s="2" t="s">
        <v>23</v>
      </c>
      <c r="D312" s="1" t="s">
        <v>15</v>
      </c>
      <c r="E312" s="4" t="s">
        <v>13</v>
      </c>
      <c r="F312" s="4" t="str">
        <f t="shared" si="22"/>
        <v>TN_34_CTRL_B1</v>
      </c>
      <c r="G312" s="4" t="s">
        <v>8</v>
      </c>
      <c r="H312" s="4" t="s">
        <v>9</v>
      </c>
      <c r="I312" s="4">
        <v>4</v>
      </c>
      <c r="J312" s="4" t="str">
        <f t="shared" si="23"/>
        <v>F_4_NA</v>
      </c>
      <c r="K312" s="4">
        <v>11</v>
      </c>
      <c r="L312" s="4">
        <v>12</v>
      </c>
      <c r="M312" s="4">
        <v>10</v>
      </c>
      <c r="N312" s="4">
        <v>12</v>
      </c>
      <c r="O312" s="4">
        <v>1.89</v>
      </c>
      <c r="P312" s="4"/>
      <c r="Q312" s="4" t="str">
        <f t="shared" si="26"/>
        <v>1.89</v>
      </c>
      <c r="R312" s="4" t="str">
        <f>VLOOKUP(J312,eq!$D$2:$K$42,8,)</f>
        <v>((pi*X2*100/32)*((a+b)^2 + (c+d)^2))*0.15</v>
      </c>
      <c r="S312" s="4" t="str">
        <f t="shared" si="24"/>
        <v>((3.141593*1.89*100/32)*((11+12)^2 + (10+12)^2))*0.15</v>
      </c>
      <c r="T312" s="4" cm="1">
        <f t="array" ref="T312">eval_dw/2</f>
        <v>1409.7186820335935</v>
      </c>
      <c r="U312" s="1">
        <f>T312*2/VLOOKUP(J312,eq!$D$2:$G$42,4,)</f>
        <v>18796.249093781247</v>
      </c>
      <c r="V312" s="1">
        <f t="shared" si="25"/>
        <v>2819.437364067187</v>
      </c>
      <c r="W312" s="1" cm="1">
        <f t="array" ref="W312">IF(LEFT(J312,1)="S",eval_S/2,((3.141593*Q312/32)*((K312/100+L312/100)^2+(M312/100+N312/100)^2))*1000000*VLOOKUP(J312,eq!$D$2:$G$42,4,)/2)</f>
        <v>1409.7186820335933</v>
      </c>
      <c r="X312" s="1">
        <f>((3.141593*Q312/32)*((K312+L312)^2+(M312+N312)^2))*1000000*VLOOKUP(J312,eq!$D$2:$G$42,4,)/2</f>
        <v>14097186.820335936</v>
      </c>
      <c r="Y312" s="1"/>
      <c r="Z312" s="1"/>
      <c r="AA312" s="1"/>
      <c r="AB312" s="1"/>
      <c r="AC312" s="1"/>
      <c r="AD312" s="1"/>
      <c r="AE312" s="1"/>
      <c r="AF312" s="1"/>
      <c r="AG312" s="1"/>
      <c r="AH312" s="1"/>
    </row>
    <row r="313" spans="1:34" ht="15.75" customHeight="1">
      <c r="A313" s="1" t="s">
        <v>6</v>
      </c>
      <c r="B313" s="4">
        <v>34</v>
      </c>
      <c r="C313" s="2" t="s">
        <v>23</v>
      </c>
      <c r="D313" s="1" t="s">
        <v>15</v>
      </c>
      <c r="E313" s="4" t="s">
        <v>13</v>
      </c>
      <c r="F313" s="4" t="str">
        <f t="shared" si="22"/>
        <v>TN_34_CTRL_B1</v>
      </c>
      <c r="G313" s="4" t="s">
        <v>8</v>
      </c>
      <c r="H313" s="4" t="s">
        <v>32</v>
      </c>
      <c r="I313" s="4">
        <v>3</v>
      </c>
      <c r="J313" s="4" t="str">
        <f t="shared" si="23"/>
        <v>T_3_NA</v>
      </c>
      <c r="K313" s="4">
        <v>10</v>
      </c>
      <c r="L313" s="4">
        <v>10</v>
      </c>
      <c r="M313" s="4">
        <v>10</v>
      </c>
      <c r="N313" s="4">
        <v>10</v>
      </c>
      <c r="O313" s="4"/>
      <c r="P313" s="4">
        <v>0.42</v>
      </c>
      <c r="Q313" s="4" t="str">
        <f t="shared" si="26"/>
        <v>0.42</v>
      </c>
      <c r="R313" s="4" t="str">
        <f>VLOOKUP(J313,eq!$D$2:$K$42,8,)</f>
        <v>((pi*X2*100/32)*((a+b)^2 + (c+d)^2))*0.35</v>
      </c>
      <c r="S313" s="4" t="str">
        <f t="shared" si="24"/>
        <v>((3.141593*0.42*100/32)*((10+10)^2 + (10+10)^2))*0.35</v>
      </c>
      <c r="T313" s="4" cm="1">
        <f t="array" ref="T313">eval_dw/2</f>
        <v>577.26771374999987</v>
      </c>
      <c r="U313" s="1">
        <f>T313*2/VLOOKUP(J313,eq!$D$2:$G$42,4,)</f>
        <v>3298.6726499999995</v>
      </c>
      <c r="V313" s="1">
        <f t="shared" si="25"/>
        <v>1154.5354274999997</v>
      </c>
      <c r="W313" s="1" cm="1">
        <f t="array" ref="W313">IF(LEFT(J313,1)="S",eval_S/2,((3.141593*Q313/32)*((K313/100+L313/100)^2+(M313/100+N313/100)^2))*1000000*VLOOKUP(J313,eq!$D$2:$G$42,4,)/2)</f>
        <v>577.26771374999998</v>
      </c>
      <c r="X313" s="1">
        <f>((3.141593*Q313/32)*((K313+L313)^2+(M313+N313)^2))*1000000*VLOOKUP(J313,eq!$D$2:$G$42,4,)/2</f>
        <v>5772677.1374999993</v>
      </c>
      <c r="Y313" s="1"/>
      <c r="Z313" s="1"/>
      <c r="AA313" s="1"/>
      <c r="AB313" s="1"/>
      <c r="AC313" s="1"/>
      <c r="AD313" s="1"/>
      <c r="AE313" s="1"/>
      <c r="AF313" s="1"/>
      <c r="AG313" s="1"/>
      <c r="AH313" s="1"/>
    </row>
    <row r="314" spans="1:34" ht="15.75" customHeight="1">
      <c r="A314" s="1" t="s">
        <v>6</v>
      </c>
      <c r="B314" s="4">
        <v>34</v>
      </c>
      <c r="C314" s="2" t="s">
        <v>23</v>
      </c>
      <c r="D314" s="1" t="s">
        <v>15</v>
      </c>
      <c r="E314" s="4" t="s">
        <v>7</v>
      </c>
      <c r="F314" s="4" t="str">
        <f t="shared" si="22"/>
        <v>TN_34_CTRL_B2</v>
      </c>
      <c r="G314" s="4" t="s">
        <v>8</v>
      </c>
      <c r="H314" s="4" t="s">
        <v>9</v>
      </c>
      <c r="I314" s="4">
        <v>3</v>
      </c>
      <c r="J314" s="4" t="str">
        <f t="shared" si="23"/>
        <v>F_3_NA</v>
      </c>
      <c r="K314" s="4">
        <v>33</v>
      </c>
      <c r="L314" s="4">
        <v>30</v>
      </c>
      <c r="M314" s="4">
        <v>31</v>
      </c>
      <c r="N314" s="4">
        <v>10</v>
      </c>
      <c r="O314" s="4">
        <v>3.34</v>
      </c>
      <c r="P314" s="4"/>
      <c r="Q314" s="4" t="str">
        <f t="shared" si="26"/>
        <v>3.34</v>
      </c>
      <c r="R314" s="4" t="str">
        <f>VLOOKUP(J314,eq!$D$2:$K$42,8,)</f>
        <v>((pi*X2*100/32)*((a+b)^2 + (c+d)^2))*0.26</v>
      </c>
      <c r="S314" s="4" t="str">
        <f t="shared" si="24"/>
        <v>((3.141593*3.34*100/32)*((33+30)^2 + (31+10)^2))*0.26</v>
      </c>
      <c r="T314" s="4" cm="1">
        <f t="array" ref="T314">eval_dw/2</f>
        <v>24084.53186059375</v>
      </c>
      <c r="U314" s="1">
        <f>T314*2/VLOOKUP(J314,eq!$D$2:$G$42,4,)</f>
        <v>185265.629696875</v>
      </c>
      <c r="V314" s="1">
        <f t="shared" si="25"/>
        <v>48169.0637211875</v>
      </c>
      <c r="W314" s="1" cm="1">
        <f t="array" ref="W314">IF(LEFT(J314,1)="S",eval_S/2,((3.141593*Q314/32)*((K314/100+L314/100)^2+(M314/100+N314/100)^2))*1000000*VLOOKUP(J314,eq!$D$2:$G$42,4,)/2)</f>
        <v>24084.531860593754</v>
      </c>
      <c r="X314" s="1">
        <f>((3.141593*Q314/32)*((K314+L314)^2+(M314+N314)^2))*1000000*VLOOKUP(J314,eq!$D$2:$G$42,4,)/2</f>
        <v>240845318.60593751</v>
      </c>
      <c r="Y314" s="1"/>
      <c r="Z314" s="1"/>
      <c r="AA314" s="1"/>
      <c r="AB314" s="1"/>
      <c r="AC314" s="1"/>
      <c r="AD314" s="1"/>
      <c r="AE314" s="1"/>
      <c r="AF314" s="1"/>
      <c r="AG314" s="1"/>
      <c r="AH314" s="1"/>
    </row>
    <row r="315" spans="1:34" ht="15.75" customHeight="1">
      <c r="A315" s="1" t="s">
        <v>6</v>
      </c>
      <c r="B315" s="4">
        <v>34</v>
      </c>
      <c r="C315" s="2" t="s">
        <v>23</v>
      </c>
      <c r="D315" s="1" t="s">
        <v>15</v>
      </c>
      <c r="E315" s="4" t="s">
        <v>7</v>
      </c>
      <c r="F315" s="4" t="str">
        <f t="shared" si="22"/>
        <v>TN_34_CTRL_B2</v>
      </c>
      <c r="G315" s="4" t="s">
        <v>8</v>
      </c>
      <c r="H315" s="4" t="s">
        <v>32</v>
      </c>
      <c r="I315" s="4">
        <v>2</v>
      </c>
      <c r="J315" s="4" t="str">
        <f t="shared" si="23"/>
        <v>T_2_NA</v>
      </c>
      <c r="K315" s="4">
        <v>24</v>
      </c>
      <c r="L315" s="4">
        <v>23</v>
      </c>
      <c r="M315" s="4">
        <v>24</v>
      </c>
      <c r="N315" s="4">
        <v>23</v>
      </c>
      <c r="O315" s="4"/>
      <c r="P315" s="4">
        <v>1.32</v>
      </c>
      <c r="Q315" s="4" t="str">
        <f t="shared" si="26"/>
        <v>1.32</v>
      </c>
      <c r="R315" s="4" t="str">
        <f>VLOOKUP(J315,eq!$D$2:$K$42,8,)</f>
        <v>((pi*X2*100/32)*((a+b)^2 + (c+d)^2))*0.38</v>
      </c>
      <c r="S315" s="4" t="str">
        <f t="shared" si="24"/>
        <v>((3.141593*1.32*100/32)*((24+23)^2 + (24+23)^2))*0.38</v>
      </c>
      <c r="T315" s="4" cm="1">
        <f t="array" ref="T315">eval_dw/2</f>
        <v>10878.1034837475</v>
      </c>
      <c r="U315" s="1">
        <f>T315*2/VLOOKUP(J315,eq!$D$2:$G$42,4,)</f>
        <v>57253.176230249999</v>
      </c>
      <c r="V315" s="1">
        <f t="shared" si="25"/>
        <v>21756.206967495</v>
      </c>
      <c r="W315" s="1" cm="1">
        <f t="array" ref="W315">IF(LEFT(J315,1)="S",eval_S/2,((3.141593*Q315/32)*((K315/100+L315/100)^2+(M315/100+N315/100)^2))*1000000*VLOOKUP(J315,eq!$D$2:$G$42,4,)/2)</f>
        <v>10878.103483747498</v>
      </c>
      <c r="X315" s="1">
        <f>((3.141593*Q315/32)*((K315+L315)^2+(M315+N315)^2))*1000000*VLOOKUP(J315,eq!$D$2:$G$42,4,)/2</f>
        <v>108781034.83747499</v>
      </c>
      <c r="Y315" s="1"/>
      <c r="Z315" s="1"/>
      <c r="AA315" s="1"/>
      <c r="AB315" s="1"/>
      <c r="AC315" s="1"/>
      <c r="AD315" s="1"/>
      <c r="AE315" s="1"/>
      <c r="AF315" s="1"/>
      <c r="AG315" s="1"/>
      <c r="AH315" s="1"/>
    </row>
    <row r="316" spans="1:34" ht="15.75" customHeight="1">
      <c r="A316" s="1" t="s">
        <v>6</v>
      </c>
      <c r="B316" s="4">
        <v>34</v>
      </c>
      <c r="C316" s="2" t="s">
        <v>23</v>
      </c>
      <c r="D316" s="1" t="s">
        <v>15</v>
      </c>
      <c r="E316" s="4" t="s">
        <v>7</v>
      </c>
      <c r="F316" s="4" t="str">
        <f t="shared" si="22"/>
        <v>TN_34_CTRL_B2</v>
      </c>
      <c r="G316" s="4" t="s">
        <v>8</v>
      </c>
      <c r="H316" s="4" t="s">
        <v>9</v>
      </c>
      <c r="I316" s="4">
        <v>4</v>
      </c>
      <c r="J316" s="4" t="str">
        <f t="shared" si="23"/>
        <v>F_4_NA</v>
      </c>
      <c r="K316" s="4">
        <v>15</v>
      </c>
      <c r="L316" s="4">
        <v>14</v>
      </c>
      <c r="M316" s="4">
        <v>13</v>
      </c>
      <c r="N316" s="4">
        <v>10</v>
      </c>
      <c r="O316" s="4">
        <v>1.7</v>
      </c>
      <c r="P316" s="4"/>
      <c r="Q316" s="4" t="str">
        <f t="shared" si="26"/>
        <v>1.7</v>
      </c>
      <c r="R316" s="4" t="str">
        <f>VLOOKUP(J316,eq!$D$2:$K$42,8,)</f>
        <v>((pi*X2*100/32)*((a+b)^2 + (c+d)^2))*0.15</v>
      </c>
      <c r="S316" s="4" t="str">
        <f t="shared" si="24"/>
        <v>((3.141593*1.7*100/32)*((15+14)^2 + (13+10)^2))*0.15</v>
      </c>
      <c r="T316" s="4" cm="1">
        <f t="array" ref="T316">eval_dw/2</f>
        <v>1714.8679914843749</v>
      </c>
      <c r="U316" s="1">
        <f>T316*2/VLOOKUP(J316,eq!$D$2:$G$42,4,)</f>
        <v>22864.906553124998</v>
      </c>
      <c r="V316" s="1">
        <f t="shared" si="25"/>
        <v>3429.7359829687498</v>
      </c>
      <c r="W316" s="1" cm="1">
        <f t="array" ref="W316">IF(LEFT(J316,1)="S",eval_S/2,((3.141593*Q316/32)*((K316/100+L316/100)^2+(M316/100+N316/100)^2))*1000000*VLOOKUP(J316,eq!$D$2:$G$42,4,)/2)</f>
        <v>1714.8679914843751</v>
      </c>
      <c r="X316" s="1">
        <f>((3.141593*Q316/32)*((K316+L316)^2+(M316+N316)^2))*1000000*VLOOKUP(J316,eq!$D$2:$G$42,4,)/2</f>
        <v>17148679.914843749</v>
      </c>
      <c r="Y316" s="1"/>
      <c r="Z316" s="1"/>
      <c r="AA316" s="1"/>
      <c r="AB316" s="1"/>
      <c r="AC316" s="1"/>
      <c r="AD316" s="1"/>
      <c r="AE316" s="1"/>
      <c r="AF316" s="1"/>
      <c r="AG316" s="1"/>
      <c r="AH316" s="1"/>
    </row>
    <row r="317" spans="1:34" ht="15.75" customHeight="1">
      <c r="A317" s="1" t="s">
        <v>6</v>
      </c>
      <c r="B317" s="4">
        <v>34</v>
      </c>
      <c r="C317" s="2" t="s">
        <v>23</v>
      </c>
      <c r="D317" s="1" t="s">
        <v>15</v>
      </c>
      <c r="E317" s="4" t="s">
        <v>7</v>
      </c>
      <c r="F317" s="4" t="str">
        <f t="shared" si="22"/>
        <v>TN_34_CTRL_B2</v>
      </c>
      <c r="G317" s="4" t="s">
        <v>8</v>
      </c>
      <c r="H317" s="4" t="s">
        <v>9</v>
      </c>
      <c r="I317" s="4">
        <v>3</v>
      </c>
      <c r="J317" s="4" t="str">
        <f t="shared" si="23"/>
        <v>F_3_NA</v>
      </c>
      <c r="K317" s="4">
        <v>17</v>
      </c>
      <c r="L317" s="4">
        <v>18</v>
      </c>
      <c r="M317" s="4">
        <v>19</v>
      </c>
      <c r="N317" s="4">
        <v>19</v>
      </c>
      <c r="O317" s="4">
        <v>0.43</v>
      </c>
      <c r="P317" s="4"/>
      <c r="Q317" s="4" t="str">
        <f t="shared" si="26"/>
        <v>0.43</v>
      </c>
      <c r="R317" s="4" t="str">
        <f>VLOOKUP(J317,eq!$D$2:$K$42,8,)</f>
        <v>((pi*X2*100/32)*((a+b)^2 + (c+d)^2))*0.26</v>
      </c>
      <c r="S317" s="4" t="str">
        <f t="shared" si="24"/>
        <v>((3.141593*0.43*100/32)*((17+18)^2 + (19+19)^2))*0.26</v>
      </c>
      <c r="T317" s="4" cm="1">
        <f t="array" ref="T317">eval_dw/2</f>
        <v>1464.7392655634374</v>
      </c>
      <c r="U317" s="1">
        <f>T317*2/VLOOKUP(J317,eq!$D$2:$G$42,4,)</f>
        <v>11267.225119718749</v>
      </c>
      <c r="V317" s="1">
        <f t="shared" si="25"/>
        <v>2929.4785311268747</v>
      </c>
      <c r="W317" s="1" cm="1">
        <f t="array" ref="W317">IF(LEFT(J317,1)="S",eval_S/2,((3.141593*Q317/32)*((K317/100+L317/100)^2+(M317/100+N317/100)^2))*1000000*VLOOKUP(J317,eq!$D$2:$G$42,4,)/2)</f>
        <v>1464.7392655634371</v>
      </c>
      <c r="X317" s="1">
        <f>((3.141593*Q317/32)*((K317+L317)^2+(M317+N317)^2))*1000000*VLOOKUP(J317,eq!$D$2:$G$42,4,)/2</f>
        <v>14647392.655634375</v>
      </c>
      <c r="Y317" s="1"/>
      <c r="Z317" s="1"/>
      <c r="AA317" s="1"/>
      <c r="AB317" s="1"/>
      <c r="AC317" s="1"/>
      <c r="AD317" s="1"/>
      <c r="AE317" s="1"/>
      <c r="AF317" s="1"/>
      <c r="AG317" s="1"/>
      <c r="AH317" s="1"/>
    </row>
    <row r="318" spans="1:34" ht="15.75" customHeight="1">
      <c r="A318" s="1" t="s">
        <v>6</v>
      </c>
      <c r="B318" s="4">
        <v>34</v>
      </c>
      <c r="C318" s="2" t="s">
        <v>23</v>
      </c>
      <c r="D318" s="1" t="s">
        <v>15</v>
      </c>
      <c r="E318" s="4" t="s">
        <v>12</v>
      </c>
      <c r="F318" s="4" t="str">
        <f t="shared" si="22"/>
        <v>TN_34_CTRL_B3</v>
      </c>
      <c r="G318" s="4" t="s">
        <v>8</v>
      </c>
      <c r="H318" s="4" t="s">
        <v>9</v>
      </c>
      <c r="I318" s="4">
        <v>2</v>
      </c>
      <c r="J318" s="4" t="str">
        <f t="shared" si="23"/>
        <v>F_2_NA</v>
      </c>
      <c r="K318" s="4">
        <v>19</v>
      </c>
      <c r="L318" s="4">
        <v>21</v>
      </c>
      <c r="M318" s="4">
        <v>16</v>
      </c>
      <c r="N318" s="4">
        <v>18</v>
      </c>
      <c r="O318" s="4">
        <v>3.06</v>
      </c>
      <c r="P318" s="4"/>
      <c r="Q318" s="4" t="str">
        <f t="shared" si="26"/>
        <v>3.06</v>
      </c>
      <c r="R318" s="4" t="str">
        <f>VLOOKUP(J318,eq!$D$2:$K$42,8,)</f>
        <v>((pi*X2*100/32)*((a+b)^2 + (c+d)^2))*0.33</v>
      </c>
      <c r="S318" s="4" t="str">
        <f t="shared" si="24"/>
        <v>((3.141593*3.06*100/32)*((19+21)^2 + (16+18)^2))*0.33</v>
      </c>
      <c r="T318" s="4" cm="1">
        <f t="array" ref="T318">eval_dw/2</f>
        <v>13661.064007841253</v>
      </c>
      <c r="U318" s="1">
        <f>T318*2/VLOOKUP(J318,eq!$D$2:$G$42,4,)</f>
        <v>82794.327320250013</v>
      </c>
      <c r="V318" s="1">
        <f t="shared" si="25"/>
        <v>27322.128015682505</v>
      </c>
      <c r="W318" s="1" cm="1">
        <f t="array" ref="W318">IF(LEFT(J318,1)="S",eval_S/2,((3.141593*Q318/32)*((K318/100+L318/100)^2+(M318/100+N318/100)^2))*1000000*VLOOKUP(J318,eq!$D$2:$G$42,4,)/2)</f>
        <v>13661.064007841253</v>
      </c>
      <c r="X318" s="1">
        <f>((3.141593*Q318/32)*((K318+L318)^2+(M318+N318)^2))*1000000*VLOOKUP(J318,eq!$D$2:$G$42,4,)/2</f>
        <v>136610640.0784125</v>
      </c>
      <c r="Y318" s="1"/>
      <c r="Z318" s="1"/>
      <c r="AA318" s="1"/>
      <c r="AB318" s="1"/>
      <c r="AC318" s="1"/>
      <c r="AD318" s="1"/>
      <c r="AE318" s="1"/>
      <c r="AF318" s="1"/>
      <c r="AG318" s="1"/>
      <c r="AH318" s="1"/>
    </row>
    <row r="319" spans="1:34" ht="15.75" customHeight="1">
      <c r="A319" s="1" t="s">
        <v>6</v>
      </c>
      <c r="B319" s="4">
        <v>34</v>
      </c>
      <c r="C319" s="2" t="s">
        <v>23</v>
      </c>
      <c r="D319" s="1" t="s">
        <v>15</v>
      </c>
      <c r="E319" s="4" t="s">
        <v>12</v>
      </c>
      <c r="F319" s="4" t="str">
        <f t="shared" si="22"/>
        <v>TN_34_CTRL_B3</v>
      </c>
      <c r="G319" s="4" t="s">
        <v>8</v>
      </c>
      <c r="H319" s="4" t="s">
        <v>9</v>
      </c>
      <c r="I319" s="4">
        <v>1</v>
      </c>
      <c r="J319" s="4" t="str">
        <f t="shared" si="23"/>
        <v>F_1_NA</v>
      </c>
      <c r="K319" s="4">
        <v>16</v>
      </c>
      <c r="L319" s="4">
        <v>12</v>
      </c>
      <c r="M319" s="4">
        <v>18</v>
      </c>
      <c r="N319" s="4">
        <v>16</v>
      </c>
      <c r="O319" s="4">
        <v>2.78</v>
      </c>
      <c r="P319" s="4"/>
      <c r="Q319" s="4" t="str">
        <f t="shared" si="26"/>
        <v>2.78</v>
      </c>
      <c r="R319" s="4" t="str">
        <f>VLOOKUP(J319,eq!$D$2:$K$42,8,)</f>
        <v>((pi*X2*100/32)*((a+b)^2 + (c+d)^2))*0.4</v>
      </c>
      <c r="S319" s="4" t="str">
        <f t="shared" si="24"/>
        <v>((3.141593*2.78*100/32)*((16+12)^2 + (18+16)^2))*0.4</v>
      </c>
      <c r="T319" s="4" cm="1">
        <f t="array" ref="T319">eval_dw/2</f>
        <v>10589.52460475</v>
      </c>
      <c r="U319" s="1">
        <f>T319*2/VLOOKUP(J319,eq!$D$2:$G$42,4,)</f>
        <v>52947.623023749999</v>
      </c>
      <c r="V319" s="1">
        <f t="shared" si="25"/>
        <v>21179.049209500001</v>
      </c>
      <c r="W319" s="1" cm="1">
        <f t="array" ref="W319">IF(LEFT(J319,1)="S",eval_S/2,((3.141593*Q319/32)*((K319/100+L319/100)^2+(M319/100+N319/100)^2))*1000000*VLOOKUP(J319,eq!$D$2:$G$42,4,)/2)</f>
        <v>10589.52460475</v>
      </c>
      <c r="X319" s="1">
        <f>((3.141593*Q319/32)*((K319+L319)^2+(M319+N319)^2))*1000000*VLOOKUP(J319,eq!$D$2:$G$42,4,)/2</f>
        <v>105895246.0475</v>
      </c>
      <c r="Y319" s="1"/>
      <c r="Z319" s="1"/>
      <c r="AA319" s="1"/>
      <c r="AB319" s="1"/>
      <c r="AC319" s="1"/>
      <c r="AD319" s="1"/>
      <c r="AE319" s="1"/>
      <c r="AF319" s="1"/>
      <c r="AG319" s="1"/>
      <c r="AH319" s="1"/>
    </row>
    <row r="320" spans="1:34" ht="15.75" customHeight="1">
      <c r="A320" s="1" t="s">
        <v>6</v>
      </c>
      <c r="B320" s="4">
        <v>34</v>
      </c>
      <c r="C320" s="2" t="s">
        <v>23</v>
      </c>
      <c r="D320" s="1" t="s">
        <v>15</v>
      </c>
      <c r="E320" s="4" t="s">
        <v>10</v>
      </c>
      <c r="F320" s="4" t="str">
        <f t="shared" si="22"/>
        <v>TN_34_CTRL_B4</v>
      </c>
      <c r="G320" s="4" t="s">
        <v>8</v>
      </c>
      <c r="H320" s="4" t="s">
        <v>9</v>
      </c>
      <c r="I320" s="4">
        <v>2</v>
      </c>
      <c r="J320" s="4" t="str">
        <f t="shared" si="23"/>
        <v>F_2_NA</v>
      </c>
      <c r="K320" s="4">
        <v>24</v>
      </c>
      <c r="L320" s="4">
        <v>25</v>
      </c>
      <c r="M320" s="4">
        <v>11</v>
      </c>
      <c r="N320" s="4">
        <v>11</v>
      </c>
      <c r="O320" s="4">
        <v>1.42</v>
      </c>
      <c r="P320" s="4"/>
      <c r="Q320" s="4" t="str">
        <f t="shared" si="26"/>
        <v>1.42</v>
      </c>
      <c r="R320" s="4" t="str">
        <f>VLOOKUP(J320,eq!$D$2:$K$42,8,)</f>
        <v>((pi*X2*100/32)*((a+b)^2 + (c+d)^2))*0.33</v>
      </c>
      <c r="S320" s="4" t="str">
        <f t="shared" si="24"/>
        <v>((3.141593*1.42*100/32)*((24+25)^2 + (11+11)^2))*0.33</v>
      </c>
      <c r="T320" s="4" cm="1">
        <f t="array" ref="T320">eval_dw/2</f>
        <v>6636.1783347234377</v>
      </c>
      <c r="U320" s="1">
        <f>T320*2/VLOOKUP(J320,eq!$D$2:$G$42,4,)</f>
        <v>40219.262634687497</v>
      </c>
      <c r="V320" s="1">
        <f t="shared" si="25"/>
        <v>13272.356669446875</v>
      </c>
      <c r="W320" s="1" cm="1">
        <f t="array" ref="W320">IF(LEFT(J320,1)="S",eval_S/2,((3.141593*Q320/32)*((K320/100+L320/100)^2+(M320/100+N320/100)^2))*1000000*VLOOKUP(J320,eq!$D$2:$G$42,4,)/2)</f>
        <v>6636.1783347234377</v>
      </c>
      <c r="X320" s="1">
        <f>((3.141593*Q320/32)*((K320+L320)^2+(M320+N320)^2))*1000000*VLOOKUP(J320,eq!$D$2:$G$42,4,)/2</f>
        <v>66361783.347234383</v>
      </c>
      <c r="Y320" s="1"/>
      <c r="Z320" s="1"/>
      <c r="AA320" s="1"/>
      <c r="AB320" s="1"/>
      <c r="AC320" s="1"/>
      <c r="AD320" s="1"/>
      <c r="AE320" s="1"/>
      <c r="AF320" s="1"/>
      <c r="AG320" s="1"/>
      <c r="AH320" s="1"/>
    </row>
    <row r="321" spans="1:34" ht="15.75" customHeight="1">
      <c r="A321" s="1" t="s">
        <v>6</v>
      </c>
      <c r="B321" s="4">
        <v>34</v>
      </c>
      <c r="C321" s="1" t="s">
        <v>22</v>
      </c>
      <c r="D321" s="1" t="s">
        <v>15</v>
      </c>
      <c r="E321" s="4" t="s">
        <v>13</v>
      </c>
      <c r="F321" s="4" t="str">
        <f t="shared" si="22"/>
        <v>TN_34_EX_B1</v>
      </c>
      <c r="G321" s="4" t="s">
        <v>8</v>
      </c>
      <c r="H321" s="4" t="s">
        <v>8</v>
      </c>
      <c r="I321" s="4" t="s">
        <v>8</v>
      </c>
      <c r="J321" s="4" t="str">
        <f t="shared" si="23"/>
        <v>NA_NA_NA</v>
      </c>
      <c r="K321" s="4"/>
      <c r="L321" s="4"/>
      <c r="M321" s="4"/>
      <c r="N321" s="4"/>
      <c r="O321" s="4"/>
      <c r="P321" s="4"/>
      <c r="Q321" s="4" t="str">
        <f t="shared" si="26"/>
        <v/>
      </c>
      <c r="R321" s="4">
        <f>VLOOKUP(J321,eq!$D$2:$K$42,8,)</f>
        <v>0</v>
      </c>
      <c r="S321" s="4" t="str">
        <f t="shared" si="24"/>
        <v>0</v>
      </c>
      <c r="T321" s="4" cm="1">
        <f t="array" ref="T321">eval_dw/2</f>
        <v>0</v>
      </c>
      <c r="U321" s="1" t="e">
        <f>T321*2/VLOOKUP(J321,eq!$D$2:$G$42,4,)</f>
        <v>#DIV/0!</v>
      </c>
      <c r="V321" s="1">
        <f t="shared" si="25"/>
        <v>0</v>
      </c>
      <c r="W321" s="1" t="e" cm="1">
        <f t="array" ref="W321">IF(LEFT(J321,1)="S",eval_S/2,((3.141593*Q321/32)*((K321/100+L321/100)^2+(M321/100+N321/100)^2))*1000000*VLOOKUP(J321,eq!$D$2:$G$42,4,)/2)</f>
        <v>#VALUE!</v>
      </c>
      <c r="X321" s="1" t="e">
        <f>((3.141593*Q321/32)*((K321+L321)^2+(M321+N321)^2))*1000000*VLOOKUP(J321,eq!$D$2:$G$42,4,)/2</f>
        <v>#VALUE!</v>
      </c>
      <c r="Y321" s="1"/>
      <c r="Z321" s="1"/>
      <c r="AA321" s="1"/>
      <c r="AB321" s="1"/>
      <c r="AC321" s="1"/>
      <c r="AD321" s="1"/>
      <c r="AE321" s="1"/>
      <c r="AF321" s="1"/>
      <c r="AG321" s="1"/>
      <c r="AH321" s="1"/>
    </row>
    <row r="322" spans="1:34" ht="15.75" customHeight="1">
      <c r="A322" s="1" t="s">
        <v>6</v>
      </c>
      <c r="B322" s="4">
        <v>34</v>
      </c>
      <c r="C322" s="6" t="s">
        <v>22</v>
      </c>
      <c r="D322" s="1" t="s">
        <v>15</v>
      </c>
      <c r="E322" s="4" t="s">
        <v>7</v>
      </c>
      <c r="F322" s="4" t="str">
        <f t="shared" ref="F322:F329" si="27">A322&amp;"_"&amp;B322&amp;"_"&amp;C322&amp;"_"&amp;E322</f>
        <v>TN_34_EX_B2</v>
      </c>
      <c r="G322" s="4" t="s">
        <v>8</v>
      </c>
      <c r="H322" s="4" t="s">
        <v>9</v>
      </c>
      <c r="I322" s="4">
        <v>3</v>
      </c>
      <c r="J322" s="4" t="str">
        <f t="shared" ref="J322:J329" si="28">H322&amp;"_"&amp;I322&amp;"_"&amp;G322</f>
        <v>F_3_NA</v>
      </c>
      <c r="K322" s="4">
        <v>32</v>
      </c>
      <c r="L322" s="4">
        <v>33</v>
      </c>
      <c r="M322" s="4">
        <v>24</v>
      </c>
      <c r="N322" s="4">
        <v>20</v>
      </c>
      <c r="O322" s="4">
        <v>1.71</v>
      </c>
      <c r="P322" s="4"/>
      <c r="Q322" s="4" t="str">
        <f t="shared" si="26"/>
        <v>1.71</v>
      </c>
      <c r="R322" s="4" t="str">
        <f>VLOOKUP(J322,eq!$D$2:$K$42,8,)</f>
        <v>((pi*X2*100/32)*((a+b)^2 + (c+d)^2))*0.26</v>
      </c>
      <c r="S322" s="4" t="str">
        <f t="shared" si="24"/>
        <v>((3.141593*1.71*100/32)*((32+33)^2 + (24+20)^2))*0.26</v>
      </c>
      <c r="T322" s="4" cm="1">
        <f t="array" ref="T322">eval_dw/2</f>
        <v>13445.922810462183</v>
      </c>
      <c r="U322" s="1">
        <f>T322*2/VLOOKUP(J322,eq!$D$2:$G$42,4,)</f>
        <v>103430.17546509372</v>
      </c>
      <c r="V322" s="1">
        <f t="shared" si="25"/>
        <v>26891.845620924367</v>
      </c>
      <c r="W322" s="1" cm="1">
        <f t="array" ref="W322">IF(LEFT(J322,1)="S",eval_S/2,((3.141593*Q322/32)*((K322/100+L322/100)^2+(M322/100+N322/100)^2))*1000000*VLOOKUP(J322,eq!$D$2:$G$42,4,)/2)</f>
        <v>13445.922810462189</v>
      </c>
      <c r="X322" s="1">
        <f>((3.141593*Q322/32)*((K322+L322)^2+(M322+N322)^2))*1000000*VLOOKUP(J322,eq!$D$2:$G$42,4,)/2</f>
        <v>134459228.10462183</v>
      </c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spans="1:34" ht="15.75" customHeight="1">
      <c r="A323" s="1" t="s">
        <v>6</v>
      </c>
      <c r="B323" s="4">
        <v>34</v>
      </c>
      <c r="C323" s="6" t="s">
        <v>22</v>
      </c>
      <c r="D323" s="1" t="s">
        <v>15</v>
      </c>
      <c r="E323" s="4" t="s">
        <v>7</v>
      </c>
      <c r="F323" s="4" t="str">
        <f t="shared" si="27"/>
        <v>TN_34_EX_B2</v>
      </c>
      <c r="G323" s="4" t="s">
        <v>8</v>
      </c>
      <c r="H323" s="4" t="s">
        <v>9</v>
      </c>
      <c r="I323" s="4">
        <v>3</v>
      </c>
      <c r="J323" s="4" t="str">
        <f t="shared" si="28"/>
        <v>F_3_NA</v>
      </c>
      <c r="K323" s="4">
        <v>11</v>
      </c>
      <c r="L323" s="4">
        <v>12</v>
      </c>
      <c r="M323" s="4">
        <v>13</v>
      </c>
      <c r="N323" s="4">
        <v>12</v>
      </c>
      <c r="O323" s="4">
        <v>2.4500000000000002</v>
      </c>
      <c r="P323" s="4"/>
      <c r="Q323" s="4" t="str">
        <f t="shared" si="26"/>
        <v>2.45</v>
      </c>
      <c r="R323" s="4" t="str">
        <f>VLOOKUP(J323,eq!$D$2:$K$42,8,)</f>
        <v>((pi*X2*100/32)*((a+b)^2 + (c+d)^2))*0.26</v>
      </c>
      <c r="S323" s="4" t="str">
        <f t="shared" ref="S323:S329" si="29">SUBSTITUTE(SUBSTITUTE(SUBSTITUTE(SUBSTITUTE(SUBSTITUTE(SUBSTITUTE(SUBSTITUTE(R323,"X2",Q323),"X4",K323),"a",K323),"b",L323),"c",M323),"d",N323),"pi",3.141593)</f>
        <v>((3.141593*2.45*100/32)*((11+12)^2 + (13+12)^2))*0.26</v>
      </c>
      <c r="T323" s="4" cm="1">
        <f t="array" ref="T323">eval_dw/2</f>
        <v>3608.4042673656254</v>
      </c>
      <c r="U323" s="1">
        <f>T323*2/VLOOKUP(J323,eq!$D$2:$G$42,4,)</f>
        <v>27756.9559028125</v>
      </c>
      <c r="V323" s="1">
        <f t="shared" ref="V323:V329" si="30">T323*2</f>
        <v>7216.8085347312508</v>
      </c>
      <c r="W323" s="1" cm="1">
        <f t="array" ref="W323">IF(LEFT(J323,1)="S",eval_S/2,((3.141593*Q323/32)*((K323/100+L323/100)^2+(M323/100+N323/100)^2))*1000000*VLOOKUP(J323,eq!$D$2:$G$42,4,)/2)</f>
        <v>3608.4042673656245</v>
      </c>
      <c r="X323" s="1">
        <f>((3.141593*Q323/32)*((K323+L323)^2+(M323+N323)^2))*1000000*VLOOKUP(J323,eq!$D$2:$G$42,4,)/2</f>
        <v>36084042.673656248</v>
      </c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spans="1:34" ht="15.75" customHeight="1">
      <c r="A324" s="1" t="s">
        <v>6</v>
      </c>
      <c r="B324" s="4">
        <v>34</v>
      </c>
      <c r="C324" s="6" t="s">
        <v>22</v>
      </c>
      <c r="D324" s="1" t="s">
        <v>15</v>
      </c>
      <c r="E324" s="4" t="s">
        <v>7</v>
      </c>
      <c r="F324" s="4" t="str">
        <f t="shared" si="27"/>
        <v>TN_34_EX_B2</v>
      </c>
      <c r="G324" s="4" t="s">
        <v>8</v>
      </c>
      <c r="H324" s="4" t="s">
        <v>9</v>
      </c>
      <c r="I324" s="4">
        <v>3</v>
      </c>
      <c r="J324" s="4" t="str">
        <f t="shared" si="28"/>
        <v>F_3_NA</v>
      </c>
      <c r="K324" s="4">
        <v>10</v>
      </c>
      <c r="L324" s="4">
        <v>9</v>
      </c>
      <c r="M324" s="4">
        <v>10</v>
      </c>
      <c r="N324" s="4">
        <v>9</v>
      </c>
      <c r="O324" s="4">
        <v>1.32</v>
      </c>
      <c r="P324" s="4"/>
      <c r="Q324" s="4" t="str">
        <f t="shared" si="26"/>
        <v>1.32</v>
      </c>
      <c r="R324" s="4" t="str">
        <f>VLOOKUP(J324,eq!$D$2:$K$42,8,)</f>
        <v>((pi*X2*100/32)*((a+b)^2 + (c+d)^2))*0.26</v>
      </c>
      <c r="S324" s="4" t="str">
        <f t="shared" si="29"/>
        <v>((3.141593*1.32*100/32)*((10+9)^2 + (10+9)^2))*0.26</v>
      </c>
      <c r="T324" s="4" cm="1">
        <f t="array" ref="T324">eval_dw/2</f>
        <v>1216.3384157925</v>
      </c>
      <c r="U324" s="1">
        <f>T324*2/VLOOKUP(J324,eq!$D$2:$G$42,4,)</f>
        <v>9356.4493522499997</v>
      </c>
      <c r="V324" s="1">
        <f t="shared" si="30"/>
        <v>2432.6768315849999</v>
      </c>
      <c r="W324" s="1" cm="1">
        <f t="array" ref="W324">IF(LEFT(J324,1)="S",eval_S/2,((3.141593*Q324/32)*((K324/100+L324/100)^2+(M324/100+N324/100)^2))*1000000*VLOOKUP(J324,eq!$D$2:$G$42,4,)/2)</f>
        <v>1216.3384157925</v>
      </c>
      <c r="X324" s="1">
        <f>((3.141593*Q324/32)*((K324+L324)^2+(M324+N324)^2))*1000000*VLOOKUP(J324,eq!$D$2:$G$42,4,)/2</f>
        <v>12163384.157925</v>
      </c>
      <c r="Y324" s="1"/>
      <c r="Z324" s="1"/>
      <c r="AA324" s="1"/>
      <c r="AB324" s="1"/>
      <c r="AC324" s="1"/>
      <c r="AD324" s="1"/>
      <c r="AE324" s="1"/>
      <c r="AF324" s="1"/>
      <c r="AG324" s="1"/>
      <c r="AH324" s="1"/>
    </row>
    <row r="325" spans="1:34" ht="15.75" customHeight="1">
      <c r="A325" s="1" t="s">
        <v>6</v>
      </c>
      <c r="B325" s="4">
        <v>34</v>
      </c>
      <c r="C325" s="1" t="s">
        <v>22</v>
      </c>
      <c r="D325" s="1" t="s">
        <v>15</v>
      </c>
      <c r="E325" s="4" t="s">
        <v>7</v>
      </c>
      <c r="F325" s="4" t="str">
        <f t="shared" si="27"/>
        <v>TN_34_EX_B2</v>
      </c>
      <c r="G325" s="4" t="s">
        <v>8</v>
      </c>
      <c r="H325" s="4" t="s">
        <v>9</v>
      </c>
      <c r="I325" s="4">
        <v>5</v>
      </c>
      <c r="J325" s="4" t="str">
        <f t="shared" si="28"/>
        <v>F_5_NA</v>
      </c>
      <c r="K325" s="4">
        <v>10</v>
      </c>
      <c r="L325" s="4">
        <v>8</v>
      </c>
      <c r="M325" s="4">
        <v>17</v>
      </c>
      <c r="N325" s="4">
        <v>12</v>
      </c>
      <c r="O325" s="4">
        <v>1.8</v>
      </c>
      <c r="P325" s="4"/>
      <c r="Q325" s="4" t="str">
        <f t="shared" si="26"/>
        <v>1.8</v>
      </c>
      <c r="R325" s="4" t="str">
        <f>VLOOKUP(J325,eq!$D$2:$K$42,8,)</f>
        <v>((pi*X2*100/32)*((a+b)^2 + (c+d)^2))*0.11</v>
      </c>
      <c r="S325" s="4" t="str">
        <f t="shared" si="29"/>
        <v>((3.141593*1.8*100/32)*((10+8)^2 + (17+12)^2))*0.11</v>
      </c>
      <c r="T325" s="4" cm="1">
        <f t="array" ref="T325">eval_dw/2</f>
        <v>1132.2988395468749</v>
      </c>
      <c r="U325" s="1">
        <f>T325*2/VLOOKUP(J325,eq!$D$2:$G$42,4,)</f>
        <v>20587.251628124999</v>
      </c>
      <c r="V325" s="1">
        <f t="shared" si="30"/>
        <v>2264.5976790937498</v>
      </c>
      <c r="W325" s="1" cm="1">
        <f t="array" ref="W325">IF(LEFT(J325,1)="S",eval_S/2,((3.141593*Q325/32)*((K325/100+L325/100)^2+(M325/100+N325/100)^2))*1000000*VLOOKUP(J325,eq!$D$2:$G$42,4,)/2)</f>
        <v>1132.2988395468749</v>
      </c>
      <c r="X325" s="1">
        <f>((3.141593*Q325/32)*((K325+L325)^2+(M325+N325)^2))*1000000*VLOOKUP(J325,eq!$D$2:$G$42,4,)/2</f>
        <v>11322988.395468751</v>
      </c>
      <c r="Y325" s="1"/>
      <c r="Z325" s="1"/>
      <c r="AA325" s="1"/>
      <c r="AB325" s="1"/>
      <c r="AC325" s="1"/>
      <c r="AD325" s="1"/>
      <c r="AE325" s="1"/>
      <c r="AF325" s="1"/>
      <c r="AG325" s="1"/>
      <c r="AH325" s="1"/>
    </row>
    <row r="326" spans="1:34" ht="15.75" customHeight="1">
      <c r="A326" s="1" t="s">
        <v>6</v>
      </c>
      <c r="B326" s="4">
        <v>34</v>
      </c>
      <c r="C326" s="1" t="s">
        <v>22</v>
      </c>
      <c r="D326" s="1" t="s">
        <v>15</v>
      </c>
      <c r="E326" s="4" t="s">
        <v>12</v>
      </c>
      <c r="F326" s="4" t="str">
        <f t="shared" si="27"/>
        <v>TN_34_EX_B3</v>
      </c>
      <c r="G326" s="4" t="s">
        <v>8</v>
      </c>
      <c r="H326" s="4" t="s">
        <v>9</v>
      </c>
      <c r="I326" s="4">
        <v>3</v>
      </c>
      <c r="J326" s="4" t="str">
        <f t="shared" si="28"/>
        <v>F_3_NA</v>
      </c>
      <c r="K326" s="4">
        <v>21</v>
      </c>
      <c r="L326" s="4">
        <v>21</v>
      </c>
      <c r="M326" s="4">
        <v>6</v>
      </c>
      <c r="N326" s="4">
        <v>6</v>
      </c>
      <c r="O326" s="4">
        <v>1.86</v>
      </c>
      <c r="P326" s="4"/>
      <c r="Q326" s="4" t="str">
        <f t="shared" si="26"/>
        <v>1.86</v>
      </c>
      <c r="R326" s="4" t="str">
        <f>VLOOKUP(J326,eq!$D$2:$K$42,8,)</f>
        <v>((pi*X2*100/32)*((a+b)^2 + (c+d)^2))*0.26</v>
      </c>
      <c r="S326" s="4" t="str">
        <f t="shared" si="29"/>
        <v>((3.141593*1.86*100/32)*((21+21)^2 + (6+6)^2))*0.26</v>
      </c>
      <c r="T326" s="4" cm="1">
        <f t="array" ref="T326">eval_dw/2</f>
        <v>4529.3367298725007</v>
      </c>
      <c r="U326" s="1">
        <f>T326*2/VLOOKUP(J326,eq!$D$2:$G$42,4,)</f>
        <v>34841.051768250007</v>
      </c>
      <c r="V326" s="1">
        <f t="shared" si="30"/>
        <v>9058.6734597450013</v>
      </c>
      <c r="W326" s="1" cm="1">
        <f t="array" ref="W326">IF(LEFT(J326,1)="S",eval_S/2,((3.141593*Q326/32)*((K326/100+L326/100)^2+(M326/100+N326/100)^2))*1000000*VLOOKUP(J326,eq!$D$2:$G$42,4,)/2)</f>
        <v>4529.3367298724997</v>
      </c>
      <c r="X326" s="1">
        <f>((3.141593*Q326/32)*((K326+L326)^2+(M326+N326)^2))*1000000*VLOOKUP(J326,eq!$D$2:$G$42,4,)/2</f>
        <v>45293367.298725002</v>
      </c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spans="1:34" ht="15.75" customHeight="1">
      <c r="A327" s="1" t="s">
        <v>6</v>
      </c>
      <c r="B327" s="4">
        <v>34</v>
      </c>
      <c r="C327" s="1" t="s">
        <v>22</v>
      </c>
      <c r="D327" s="1" t="s">
        <v>15</v>
      </c>
      <c r="E327" s="4" t="s">
        <v>12</v>
      </c>
      <c r="F327" s="4" t="str">
        <f t="shared" si="27"/>
        <v>TN_34_EX_B3</v>
      </c>
      <c r="G327" s="4" t="s">
        <v>8</v>
      </c>
      <c r="H327" s="4" t="s">
        <v>9</v>
      </c>
      <c r="I327" s="4">
        <v>5</v>
      </c>
      <c r="J327" s="4" t="str">
        <f t="shared" si="28"/>
        <v>F_5_NA</v>
      </c>
      <c r="K327" s="4">
        <v>30</v>
      </c>
      <c r="L327" s="4">
        <v>14</v>
      </c>
      <c r="M327" s="4">
        <v>19</v>
      </c>
      <c r="N327" s="4">
        <v>15</v>
      </c>
      <c r="O327" s="4">
        <v>1.4</v>
      </c>
      <c r="P327" s="4"/>
      <c r="Q327" s="4" t="str">
        <f t="shared" si="26"/>
        <v>1.4</v>
      </c>
      <c r="R327" s="4" t="str">
        <f>VLOOKUP(J327,eq!$D$2:$K$42,8,)</f>
        <v>((pi*X2*100/32)*((a+b)^2 + (c+d)^2))*0.11</v>
      </c>
      <c r="S327" s="4" t="str">
        <f t="shared" si="29"/>
        <v>((3.141593*1.4*100/32)*((30+14)^2 + (19+15)^2))*0.11</v>
      </c>
      <c r="T327" s="4" cm="1">
        <f t="array" ref="T327">eval_dw/2</f>
        <v>2337.3844619124998</v>
      </c>
      <c r="U327" s="1">
        <f>T327*2/VLOOKUP(J327,eq!$D$2:$G$42,4,)</f>
        <v>42497.899307499996</v>
      </c>
      <c r="V327" s="1">
        <f t="shared" si="30"/>
        <v>4674.7689238249995</v>
      </c>
      <c r="W327" s="1" cm="1">
        <f t="array" ref="W327">IF(LEFT(J327,1)="S",eval_S/2,((3.141593*Q327/32)*((K327/100+L327/100)^2+(M327/100+N327/100)^2))*1000000*VLOOKUP(J327,eq!$D$2:$G$42,4,)/2)</f>
        <v>2337.3844619124993</v>
      </c>
      <c r="X327" s="1">
        <f>((3.141593*Q327/32)*((K327+L327)^2+(M327+N327)^2))*1000000*VLOOKUP(J327,eq!$D$2:$G$42,4,)/2</f>
        <v>23373844.619124997</v>
      </c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spans="1:34" ht="15.75" customHeight="1">
      <c r="A328" s="1" t="s">
        <v>6</v>
      </c>
      <c r="B328" s="4">
        <v>34</v>
      </c>
      <c r="C328" s="1" t="s">
        <v>22</v>
      </c>
      <c r="D328" s="1" t="s">
        <v>15</v>
      </c>
      <c r="E328" s="4" t="s">
        <v>10</v>
      </c>
      <c r="F328" s="4" t="str">
        <f t="shared" si="27"/>
        <v>TN_34_EX_B4</v>
      </c>
      <c r="G328" s="4" t="s">
        <v>8</v>
      </c>
      <c r="H328" s="7" t="s">
        <v>9</v>
      </c>
      <c r="I328" s="4">
        <v>2</v>
      </c>
      <c r="J328" s="4" t="str">
        <f t="shared" si="28"/>
        <v>F_2_NA</v>
      </c>
      <c r="K328" s="4">
        <v>20</v>
      </c>
      <c r="L328" s="4">
        <v>21</v>
      </c>
      <c r="M328" s="4">
        <v>27</v>
      </c>
      <c r="N328" s="4">
        <v>27</v>
      </c>
      <c r="O328" s="4">
        <v>1.4</v>
      </c>
      <c r="P328" s="4"/>
      <c r="Q328" s="4" t="str">
        <f t="shared" si="26"/>
        <v>1.4</v>
      </c>
      <c r="R328" s="4" t="str">
        <f>VLOOKUP(J328,eq!$D$2:$K$42,8,)</f>
        <v>((pi*X2*100/32)*((a+b)^2 + (c+d)^2))*0.33</v>
      </c>
      <c r="S328" s="4" t="str">
        <f t="shared" si="29"/>
        <v>((3.141593*1.4*100/32)*((20+21)^2 + (27+27)^2))*0.33</v>
      </c>
      <c r="T328" s="4" cm="1">
        <f t="array" ref="T328">eval_dw/2</f>
        <v>10425.248743284374</v>
      </c>
      <c r="U328" s="1">
        <f>T328*2/VLOOKUP(J328,eq!$D$2:$G$42,4,)</f>
        <v>63183.325716874991</v>
      </c>
      <c r="V328" s="1">
        <f t="shared" si="30"/>
        <v>20850.497486568747</v>
      </c>
      <c r="W328" s="1" cm="1">
        <f t="array" ref="W328">IF(LEFT(J328,1)="S",eval_S/2,((3.141593*Q328/32)*((K328/100+L328/100)^2+(M328/100+N328/100)^2))*1000000*VLOOKUP(J328,eq!$D$2:$G$42,4,)/2)</f>
        <v>10425.248743284375</v>
      </c>
      <c r="X328" s="1">
        <f>((3.141593*Q328/32)*((K328+L328)^2+(M328+N328)^2))*1000000*VLOOKUP(J328,eq!$D$2:$G$42,4,)/2</f>
        <v>104252487.43284374</v>
      </c>
      <c r="Y328" s="1"/>
      <c r="Z328" s="1"/>
      <c r="AA328" s="1"/>
      <c r="AB328" s="1"/>
      <c r="AC328" s="1"/>
      <c r="AD328" s="1"/>
      <c r="AE328" s="1"/>
      <c r="AF328" s="1"/>
      <c r="AG328" s="1"/>
      <c r="AH328" s="1"/>
    </row>
    <row r="329" spans="1:34" ht="15.75" customHeight="1">
      <c r="A329" s="1" t="s">
        <v>6</v>
      </c>
      <c r="B329" s="4">
        <v>34</v>
      </c>
      <c r="C329" s="1" t="s">
        <v>22</v>
      </c>
      <c r="D329" s="1" t="s">
        <v>15</v>
      </c>
      <c r="E329" s="4" t="s">
        <v>10</v>
      </c>
      <c r="F329" s="4" t="str">
        <f t="shared" si="27"/>
        <v>TN_34_EX_B4</v>
      </c>
      <c r="G329" s="4" t="s">
        <v>8</v>
      </c>
      <c r="H329" s="4" t="s">
        <v>9</v>
      </c>
      <c r="I329" s="4">
        <v>3</v>
      </c>
      <c r="J329" s="4" t="str">
        <f t="shared" si="28"/>
        <v>F_3_NA</v>
      </c>
      <c r="K329" s="4">
        <v>24</v>
      </c>
      <c r="L329" s="4">
        <v>19</v>
      </c>
      <c r="M329" s="4">
        <v>19</v>
      </c>
      <c r="N329" s="4">
        <v>18</v>
      </c>
      <c r="O329" s="4">
        <v>1.74</v>
      </c>
      <c r="P329" s="4"/>
      <c r="Q329" s="4" t="str">
        <f t="shared" si="26"/>
        <v>1.74</v>
      </c>
      <c r="R329" s="4" t="str">
        <f>VLOOKUP(J329,eq!$D$2:$K$42,8,)</f>
        <v>((pi*X2*100/32)*((a+b)^2 + (c+d)^2))*0.26</v>
      </c>
      <c r="S329" s="4" t="str">
        <f t="shared" si="29"/>
        <v>((3.141593*1.74*100/32)*((24+19)^2 + (19+18)^2))*0.26</v>
      </c>
      <c r="T329" s="4" cm="1">
        <f t="array" ref="T329">eval_dw/2</f>
        <v>7146.2562099337511</v>
      </c>
      <c r="U329" s="1">
        <f>T329*2/VLOOKUP(J329,eq!$D$2:$G$42,4,)</f>
        <v>54971.201614875004</v>
      </c>
      <c r="V329" s="1">
        <f t="shared" si="30"/>
        <v>14292.512419867502</v>
      </c>
      <c r="W329" s="1" cm="1">
        <f t="array" ref="W329">IF(LEFT(J329,1)="S",eval_S/2,((3.141593*Q329/32)*((K329/100+L329/100)^2+(M329/100+N329/100)^2))*1000000*VLOOKUP(J329,eq!$D$2:$G$42,4,)/2)</f>
        <v>7146.2562099337501</v>
      </c>
      <c r="X329" s="1">
        <f>((3.141593*Q329/32)*((K329+L329)^2+(M329+N329)^2))*1000000*VLOOKUP(J329,eq!$D$2:$G$42,4,)/2</f>
        <v>71462562.099337488</v>
      </c>
      <c r="Y329" s="1"/>
      <c r="Z329" s="1"/>
      <c r="AA329" s="1"/>
      <c r="AB329" s="1"/>
      <c r="AC329" s="1"/>
      <c r="AD329" s="1"/>
      <c r="AE329" s="1"/>
      <c r="AF329" s="1"/>
      <c r="AG329" s="1"/>
      <c r="AH329" s="1"/>
    </row>
  </sheetData>
  <autoFilter ref="A1:AH329" xr:uid="{00000000-0009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B829E-71CB-4DB8-A0A3-D6CA65E19314}">
  <dimension ref="A1:L80"/>
  <sheetViews>
    <sheetView workbookViewId="0">
      <selection activeCell="G34" sqref="G34"/>
    </sheetView>
  </sheetViews>
  <sheetFormatPr baseColWidth="10" defaultColWidth="8.83203125" defaultRowHeight="13"/>
  <cols>
    <col min="1" max="1" width="12.33203125" bestFit="1" customWidth="1"/>
    <col min="2" max="2" width="12" bestFit="1" customWidth="1"/>
    <col min="3" max="3" width="15.33203125" bestFit="1" customWidth="1"/>
    <col min="4" max="4" width="15.33203125" customWidth="1"/>
    <col min="5" max="5" width="19.5" bestFit="1" customWidth="1"/>
    <col min="6" max="6" width="50.33203125" bestFit="1" customWidth="1"/>
    <col min="7" max="7" width="17.6640625" bestFit="1" customWidth="1"/>
    <col min="8" max="8" width="11"/>
    <col min="9" max="9" width="18.33203125" bestFit="1" customWidth="1"/>
    <col min="10" max="10" width="11"/>
    <col min="11" max="11" width="56.33203125" bestFit="1" customWidth="1"/>
  </cols>
  <sheetData>
    <row r="1" spans="1:12" ht="16">
      <c r="A1" s="12" t="s">
        <v>34</v>
      </c>
      <c r="B1" s="12" t="s">
        <v>35</v>
      </c>
      <c r="C1" s="12" t="s">
        <v>36</v>
      </c>
      <c r="D1" s="13" t="s">
        <v>33</v>
      </c>
      <c r="E1" s="13" t="s">
        <v>37</v>
      </c>
      <c r="F1" s="13" t="s">
        <v>38</v>
      </c>
      <c r="G1" s="13" t="s">
        <v>39</v>
      </c>
      <c r="H1" s="13" t="s">
        <v>40</v>
      </c>
      <c r="I1" s="13" t="s">
        <v>41</v>
      </c>
      <c r="J1" s="13" t="s">
        <v>5</v>
      </c>
      <c r="K1" s="14" t="s">
        <v>42</v>
      </c>
    </row>
    <row r="2" spans="1:12" ht="16">
      <c r="A2" s="17" t="s">
        <v>9</v>
      </c>
      <c r="B2">
        <v>1</v>
      </c>
      <c r="C2" s="17" t="s">
        <v>31</v>
      </c>
      <c r="D2" s="17" t="s">
        <v>47</v>
      </c>
      <c r="E2" s="15" t="s">
        <v>43</v>
      </c>
      <c r="F2" s="15" t="s">
        <v>44</v>
      </c>
      <c r="G2">
        <v>0.43</v>
      </c>
      <c r="H2">
        <v>0</v>
      </c>
      <c r="I2" t="s">
        <v>45</v>
      </c>
      <c r="K2" s="15" t="str">
        <f t="shared" ref="K2:K16" si="0">"("&amp;TEXT(F2,)&amp;")*"&amp;VALUE(G2)</f>
        <v>((pi*X2*100/32)*((a+b)^2 + (c+d)^2))*0.43</v>
      </c>
    </row>
    <row r="3" spans="1:12" ht="16">
      <c r="A3" t="s">
        <v>9</v>
      </c>
      <c r="B3">
        <v>2</v>
      </c>
      <c r="C3" t="s">
        <v>31</v>
      </c>
      <c r="D3" t="str">
        <f>A3&amp;"_"&amp;B3&amp;"_"&amp;C3</f>
        <v>F_2_H</v>
      </c>
      <c r="E3" s="15" t="s">
        <v>43</v>
      </c>
      <c r="F3" s="15" t="s">
        <v>44</v>
      </c>
      <c r="G3">
        <v>0.33</v>
      </c>
      <c r="H3">
        <v>0.01</v>
      </c>
      <c r="I3" t="s">
        <v>45</v>
      </c>
      <c r="K3" s="15" t="str">
        <f t="shared" si="0"/>
        <v>((pi*X2*100/32)*((a+b)^2 + (c+d)^2))*0.33</v>
      </c>
    </row>
    <row r="4" spans="1:12" ht="16">
      <c r="A4" t="s">
        <v>9</v>
      </c>
      <c r="B4">
        <v>3</v>
      </c>
      <c r="C4" t="s">
        <v>31</v>
      </c>
      <c r="D4" t="str">
        <f>A4&amp;"_"&amp;B4&amp;"_"&amp;C4</f>
        <v>F_3_H</v>
      </c>
      <c r="E4" s="15" t="s">
        <v>43</v>
      </c>
      <c r="F4" s="15" t="s">
        <v>44</v>
      </c>
      <c r="G4">
        <v>0.23</v>
      </c>
      <c r="H4">
        <v>0.01</v>
      </c>
      <c r="I4" t="s">
        <v>45</v>
      </c>
      <c r="K4" s="15" t="str">
        <f t="shared" si="0"/>
        <v>((pi*X2*100/32)*((a+b)^2 + (c+d)^2))*0.23</v>
      </c>
    </row>
    <row r="5" spans="1:12" ht="16">
      <c r="A5" t="s">
        <v>9</v>
      </c>
      <c r="B5">
        <v>4</v>
      </c>
      <c r="C5" t="s">
        <v>31</v>
      </c>
      <c r="D5" t="str">
        <f>A5&amp;"_"&amp;B5&amp;"_"&amp;C5</f>
        <v>F_4_H</v>
      </c>
      <c r="E5" s="15" t="s">
        <v>43</v>
      </c>
      <c r="F5" s="15" t="s">
        <v>44</v>
      </c>
      <c r="G5">
        <v>0.13</v>
      </c>
      <c r="H5">
        <v>0.01</v>
      </c>
      <c r="I5" t="s">
        <v>45</v>
      </c>
      <c r="K5" s="15" t="str">
        <f t="shared" si="0"/>
        <v>((pi*X2*100/32)*((a+b)^2 + (c+d)^2))*0.13</v>
      </c>
    </row>
    <row r="6" spans="1:12" ht="16">
      <c r="A6" t="s">
        <v>9</v>
      </c>
      <c r="B6">
        <v>5</v>
      </c>
      <c r="C6" t="s">
        <v>31</v>
      </c>
      <c r="D6" t="str">
        <f>A6&amp;"_"&amp;B6&amp;"_"&amp;C6</f>
        <v>F_5_H</v>
      </c>
      <c r="E6" s="15" t="s">
        <v>43</v>
      </c>
      <c r="F6" s="15" t="s">
        <v>44</v>
      </c>
      <c r="G6">
        <v>0.11</v>
      </c>
      <c r="H6">
        <v>0.01</v>
      </c>
      <c r="I6" t="s">
        <v>45</v>
      </c>
      <c r="K6" s="15" t="str">
        <f t="shared" si="0"/>
        <v>((pi*X2*100/32)*((a+b)^2 + (c+d)^2))*0.11</v>
      </c>
    </row>
    <row r="7" spans="1:12" ht="16">
      <c r="A7" s="17" t="s">
        <v>9</v>
      </c>
      <c r="B7">
        <v>1</v>
      </c>
      <c r="C7" s="17" t="s">
        <v>8</v>
      </c>
      <c r="D7" s="17" t="s">
        <v>49</v>
      </c>
      <c r="E7" s="15" t="s">
        <v>43</v>
      </c>
      <c r="F7" s="15" t="s">
        <v>44</v>
      </c>
      <c r="G7">
        <v>0.4</v>
      </c>
      <c r="H7">
        <v>0</v>
      </c>
      <c r="I7" t="s">
        <v>45</v>
      </c>
      <c r="K7" s="15" t="str">
        <f t="shared" si="0"/>
        <v>((pi*X2*100/32)*((a+b)^2 + (c+d)^2))*0.4</v>
      </c>
      <c r="L7" s="15"/>
    </row>
    <row r="8" spans="1:12" ht="16">
      <c r="A8" s="17" t="s">
        <v>9</v>
      </c>
      <c r="B8">
        <v>2</v>
      </c>
      <c r="C8" s="17" t="s">
        <v>8</v>
      </c>
      <c r="D8" s="17" t="s">
        <v>48</v>
      </c>
      <c r="E8" s="15" t="s">
        <v>43</v>
      </c>
      <c r="F8" s="15" t="s">
        <v>44</v>
      </c>
      <c r="G8">
        <v>0.33</v>
      </c>
      <c r="H8">
        <v>0</v>
      </c>
      <c r="I8" t="s">
        <v>45</v>
      </c>
      <c r="K8" s="15" t="str">
        <f t="shared" si="0"/>
        <v>((pi*X2*100/32)*((a+b)^2 + (c+d)^2))*0.33</v>
      </c>
    </row>
    <row r="9" spans="1:12" ht="16">
      <c r="A9" s="17" t="s">
        <v>9</v>
      </c>
      <c r="B9">
        <v>3</v>
      </c>
      <c r="C9" s="17" t="s">
        <v>8</v>
      </c>
      <c r="D9" t="str">
        <f t="shared" ref="D9:D42" si="1">A9&amp;"_"&amp;B9&amp;"_"&amp;C9</f>
        <v>F_3_NA</v>
      </c>
      <c r="E9" s="15" t="s">
        <v>43</v>
      </c>
      <c r="F9" s="15" t="s">
        <v>44</v>
      </c>
      <c r="G9">
        <v>0.26</v>
      </c>
      <c r="H9">
        <v>0</v>
      </c>
      <c r="I9" t="s">
        <v>45</v>
      </c>
      <c r="K9" s="15" t="str">
        <f t="shared" si="0"/>
        <v>((pi*X2*100/32)*((a+b)^2 + (c+d)^2))*0.26</v>
      </c>
    </row>
    <row r="10" spans="1:12" ht="16">
      <c r="A10" s="17" t="s">
        <v>9</v>
      </c>
      <c r="B10">
        <v>4</v>
      </c>
      <c r="C10" s="17" t="s">
        <v>8</v>
      </c>
      <c r="D10" t="str">
        <f t="shared" si="1"/>
        <v>F_4_NA</v>
      </c>
      <c r="E10" s="15" t="s">
        <v>43</v>
      </c>
      <c r="F10" s="15" t="s">
        <v>44</v>
      </c>
      <c r="G10">
        <v>0.15</v>
      </c>
      <c r="H10">
        <v>0.01</v>
      </c>
      <c r="I10" t="s">
        <v>45</v>
      </c>
      <c r="K10" s="15" t="str">
        <f t="shared" si="0"/>
        <v>((pi*X2*100/32)*((a+b)^2 + (c+d)^2))*0.15</v>
      </c>
    </row>
    <row r="11" spans="1:12" ht="16">
      <c r="A11" s="17" t="s">
        <v>9</v>
      </c>
      <c r="B11">
        <v>5</v>
      </c>
      <c r="C11" s="17" t="s">
        <v>8</v>
      </c>
      <c r="D11" t="str">
        <f t="shared" si="1"/>
        <v>F_5_NA</v>
      </c>
      <c r="E11" s="15" t="s">
        <v>43</v>
      </c>
      <c r="F11" s="15" t="s">
        <v>44</v>
      </c>
      <c r="G11">
        <v>0.11</v>
      </c>
      <c r="H11">
        <v>0</v>
      </c>
      <c r="I11" t="s">
        <v>45</v>
      </c>
      <c r="K11" s="15" t="str">
        <f t="shared" si="0"/>
        <v>((pi*X2*100/32)*((a+b)^2 + (c+d)^2))*0.11</v>
      </c>
    </row>
    <row r="12" spans="1:12" ht="16">
      <c r="A12" t="s">
        <v>9</v>
      </c>
      <c r="B12">
        <v>1</v>
      </c>
      <c r="C12" t="s">
        <v>11</v>
      </c>
      <c r="D12" t="str">
        <f t="shared" si="1"/>
        <v>F_1_S</v>
      </c>
      <c r="E12" s="15" t="s">
        <v>43</v>
      </c>
      <c r="F12" s="15" t="s">
        <v>44</v>
      </c>
      <c r="G12">
        <v>0.38</v>
      </c>
      <c r="H12">
        <v>0</v>
      </c>
      <c r="I12" t="s">
        <v>45</v>
      </c>
      <c r="K12" s="15" t="str">
        <f t="shared" si="0"/>
        <v>((pi*X2*100/32)*((a+b)^2 + (c+d)^2))*0.38</v>
      </c>
    </row>
    <row r="13" spans="1:12" ht="16">
      <c r="A13" t="s">
        <v>9</v>
      </c>
      <c r="B13">
        <v>2</v>
      </c>
      <c r="C13" t="s">
        <v>11</v>
      </c>
      <c r="D13" t="str">
        <f t="shared" si="1"/>
        <v>F_2_S</v>
      </c>
      <c r="E13" s="15" t="s">
        <v>43</v>
      </c>
      <c r="F13" s="15" t="s">
        <v>44</v>
      </c>
      <c r="G13">
        <v>0.34</v>
      </c>
      <c r="H13">
        <v>0</v>
      </c>
      <c r="I13" t="s">
        <v>45</v>
      </c>
      <c r="K13" s="15" t="str">
        <f t="shared" si="0"/>
        <v>((pi*X2*100/32)*((a+b)^2 + (c+d)^2))*0.34</v>
      </c>
    </row>
    <row r="14" spans="1:12" ht="16">
      <c r="A14" t="s">
        <v>9</v>
      </c>
      <c r="B14">
        <v>3</v>
      </c>
      <c r="C14" t="s">
        <v>11</v>
      </c>
      <c r="D14" t="str">
        <f t="shared" si="1"/>
        <v>F_3_S</v>
      </c>
      <c r="E14" s="15" t="s">
        <v>43</v>
      </c>
      <c r="F14" s="15" t="s">
        <v>44</v>
      </c>
      <c r="G14">
        <v>0.27</v>
      </c>
      <c r="H14">
        <v>0</v>
      </c>
      <c r="I14" t="s">
        <v>45</v>
      </c>
      <c r="K14" s="15" t="str">
        <f t="shared" si="0"/>
        <v>((pi*X2*100/32)*((a+b)^2 + (c+d)^2))*0.27</v>
      </c>
    </row>
    <row r="15" spans="1:12" ht="16">
      <c r="A15" t="s">
        <v>9</v>
      </c>
      <c r="B15">
        <v>4</v>
      </c>
      <c r="C15" t="s">
        <v>11</v>
      </c>
      <c r="D15" t="str">
        <f t="shared" si="1"/>
        <v>F_4_S</v>
      </c>
      <c r="E15" s="15" t="s">
        <v>43</v>
      </c>
      <c r="F15" s="15" t="s">
        <v>44</v>
      </c>
      <c r="G15">
        <v>0.15</v>
      </c>
      <c r="H15">
        <v>0.01</v>
      </c>
      <c r="I15" t="s">
        <v>45</v>
      </c>
      <c r="K15" s="15" t="str">
        <f t="shared" si="0"/>
        <v>((pi*X2*100/32)*((a+b)^2 + (c+d)^2))*0.15</v>
      </c>
    </row>
    <row r="16" spans="1:12" ht="16">
      <c r="A16" t="s">
        <v>9</v>
      </c>
      <c r="B16">
        <v>5</v>
      </c>
      <c r="C16" t="s">
        <v>11</v>
      </c>
      <c r="D16" t="str">
        <f t="shared" si="1"/>
        <v>F_5_S</v>
      </c>
      <c r="E16" s="15" t="s">
        <v>43</v>
      </c>
      <c r="F16" s="15" t="s">
        <v>44</v>
      </c>
      <c r="G16">
        <v>0.11</v>
      </c>
      <c r="H16">
        <v>0</v>
      </c>
      <c r="I16" t="s">
        <v>45</v>
      </c>
      <c r="K16" s="15" t="str">
        <f t="shared" si="0"/>
        <v>((pi*X2*100/32)*((a+b)^2 + (c+d)^2))*0.11</v>
      </c>
    </row>
    <row r="17" spans="1:11">
      <c r="A17" s="17" t="s">
        <v>8</v>
      </c>
      <c r="B17" s="17" t="s">
        <v>8</v>
      </c>
      <c r="C17" s="17" t="s">
        <v>8</v>
      </c>
      <c r="D17" t="str">
        <f t="shared" si="1"/>
        <v>NA_NA_NA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ht="16">
      <c r="A18" t="s">
        <v>11</v>
      </c>
      <c r="B18">
        <v>1</v>
      </c>
      <c r="C18" t="s">
        <v>31</v>
      </c>
      <c r="D18" t="str">
        <f t="shared" si="1"/>
        <v>S_1_H</v>
      </c>
      <c r="E18" s="15" t="s">
        <v>43</v>
      </c>
      <c r="F18" s="28" t="s">
        <v>247</v>
      </c>
      <c r="G18">
        <v>0.46</v>
      </c>
      <c r="H18">
        <v>0.01</v>
      </c>
      <c r="I18" t="s">
        <v>45</v>
      </c>
      <c r="K18" s="15" t="str">
        <f t="shared" ref="K18:K42" si="2">"("&amp;TEXT(F18,)&amp;")*"&amp;VALUE(G18)</f>
        <v>((0.0000598*((X4^2)*X2)^0.946)*(1.0-0.0019*X4)*1000000)*0.46</v>
      </c>
    </row>
    <row r="19" spans="1:11" ht="16">
      <c r="A19" t="s">
        <v>11</v>
      </c>
      <c r="B19">
        <v>5</v>
      </c>
      <c r="C19" s="17" t="s">
        <v>31</v>
      </c>
      <c r="D19" t="str">
        <f t="shared" si="1"/>
        <v>S_5_H</v>
      </c>
      <c r="E19" s="15" t="s">
        <v>43</v>
      </c>
      <c r="F19" s="28" t="s">
        <v>255</v>
      </c>
      <c r="G19">
        <v>0.2</v>
      </c>
      <c r="H19">
        <v>0.01</v>
      </c>
      <c r="I19" t="s">
        <v>45</v>
      </c>
      <c r="K19" s="15" t="str">
        <f t="shared" si="2"/>
        <v>((0.0000598*((X4^2)*X2)^0.946)*(1.0-0.0019*X4)*1000008)*0.2</v>
      </c>
    </row>
    <row r="20" spans="1:11" ht="16">
      <c r="A20" s="17" t="s">
        <v>11</v>
      </c>
      <c r="B20">
        <v>1</v>
      </c>
      <c r="C20" s="17" t="s">
        <v>8</v>
      </c>
      <c r="D20" t="str">
        <f t="shared" si="1"/>
        <v>S_1_NA</v>
      </c>
      <c r="E20" s="15" t="s">
        <v>43</v>
      </c>
      <c r="F20" s="28" t="s">
        <v>250</v>
      </c>
      <c r="G20">
        <v>0.4</v>
      </c>
      <c r="H20">
        <v>0</v>
      </c>
      <c r="I20" t="s">
        <v>45</v>
      </c>
      <c r="K20" s="15" t="str">
        <f t="shared" si="2"/>
        <v>((0.0000598*((X4^2)*X2)^0.946)*(1.0-0.0019*X4)*1000003)*0.4</v>
      </c>
    </row>
    <row r="21" spans="1:11" ht="16">
      <c r="A21" s="17" t="s">
        <v>11</v>
      </c>
      <c r="B21">
        <v>2</v>
      </c>
      <c r="C21" s="17" t="s">
        <v>8</v>
      </c>
      <c r="D21" t="str">
        <f t="shared" si="1"/>
        <v>S_2_NA</v>
      </c>
      <c r="E21" s="15" t="s">
        <v>43</v>
      </c>
      <c r="F21" s="28" t="s">
        <v>250</v>
      </c>
      <c r="G21">
        <v>0.38</v>
      </c>
      <c r="H21">
        <v>0</v>
      </c>
      <c r="I21" t="s">
        <v>45</v>
      </c>
      <c r="K21" s="15" t="str">
        <f t="shared" si="2"/>
        <v>((0.0000598*((X4^2)*X2)^0.946)*(1.0-0.0019*X4)*1000003)*0.38</v>
      </c>
    </row>
    <row r="22" spans="1:11" ht="16">
      <c r="A22" t="s">
        <v>11</v>
      </c>
      <c r="B22">
        <v>4</v>
      </c>
      <c r="C22" s="17" t="s">
        <v>8</v>
      </c>
      <c r="D22" t="str">
        <f t="shared" si="1"/>
        <v>S_4_NA</v>
      </c>
      <c r="E22" s="15" t="s">
        <v>43</v>
      </c>
      <c r="F22" s="28" t="s">
        <v>253</v>
      </c>
      <c r="G22">
        <v>0.25</v>
      </c>
      <c r="H22">
        <v>0.01</v>
      </c>
      <c r="I22" t="s">
        <v>45</v>
      </c>
      <c r="K22" s="15" t="str">
        <f t="shared" si="2"/>
        <v>((0.0000598*((X4^2)*X2)^0.946)*(1.0-0.0019*X4)*1000006)*0.25</v>
      </c>
    </row>
    <row r="23" spans="1:11" ht="16">
      <c r="A23" t="s">
        <v>11</v>
      </c>
      <c r="B23">
        <v>5</v>
      </c>
      <c r="C23" s="17" t="s">
        <v>8</v>
      </c>
      <c r="D23" t="str">
        <f t="shared" si="1"/>
        <v>S_5_NA</v>
      </c>
      <c r="E23" s="15" t="s">
        <v>43</v>
      </c>
      <c r="F23" s="28" t="s">
        <v>256</v>
      </c>
      <c r="G23">
        <v>0.25</v>
      </c>
      <c r="H23">
        <v>0.01</v>
      </c>
      <c r="I23" t="s">
        <v>45</v>
      </c>
      <c r="K23" s="15" t="str">
        <f t="shared" si="2"/>
        <v>((0.0000598*((X4^2)*X2)^0.946)*(1.0-0.0019*X4)*1000009)*0.25</v>
      </c>
    </row>
    <row r="24" spans="1:11" ht="16">
      <c r="A24" t="s">
        <v>11</v>
      </c>
      <c r="B24">
        <v>1</v>
      </c>
      <c r="C24" t="s">
        <v>11</v>
      </c>
      <c r="D24" t="str">
        <f t="shared" si="1"/>
        <v>S_1_S</v>
      </c>
      <c r="E24" s="15" t="s">
        <v>43</v>
      </c>
      <c r="F24" s="28" t="s">
        <v>248</v>
      </c>
      <c r="G24">
        <v>0.38</v>
      </c>
      <c r="H24">
        <v>0</v>
      </c>
      <c r="I24" t="s">
        <v>45</v>
      </c>
      <c r="K24" s="15" t="str">
        <f t="shared" si="2"/>
        <v>((0.0000598*((X4^2)*X2)^0.946)*(1.0-0.0019*X4)*1000001)*0.38</v>
      </c>
    </row>
    <row r="25" spans="1:11" ht="16">
      <c r="A25" t="s">
        <v>11</v>
      </c>
      <c r="B25">
        <v>2</v>
      </c>
      <c r="C25" t="s">
        <v>11</v>
      </c>
      <c r="D25" t="str">
        <f t="shared" si="1"/>
        <v>S_2_S</v>
      </c>
      <c r="E25" s="15" t="s">
        <v>43</v>
      </c>
      <c r="F25" s="28" t="s">
        <v>249</v>
      </c>
      <c r="G25">
        <v>0.39</v>
      </c>
      <c r="H25">
        <v>0</v>
      </c>
      <c r="I25" t="s">
        <v>45</v>
      </c>
      <c r="K25" s="15" t="str">
        <f t="shared" si="2"/>
        <v>((0.0000598*((X4^2)*X2)^0.946)*(1.0-0.0019*X4)*1000002)*0.39</v>
      </c>
    </row>
    <row r="26" spans="1:11" ht="16">
      <c r="A26" t="s">
        <v>11</v>
      </c>
      <c r="B26">
        <v>3</v>
      </c>
      <c r="C26" t="s">
        <v>11</v>
      </c>
      <c r="D26" t="str">
        <f t="shared" si="1"/>
        <v>S_3_S</v>
      </c>
      <c r="E26" s="15" t="s">
        <v>43</v>
      </c>
      <c r="F26" s="28" t="s">
        <v>251</v>
      </c>
      <c r="G26">
        <v>0.38</v>
      </c>
      <c r="H26">
        <v>0.01</v>
      </c>
      <c r="I26" t="s">
        <v>45</v>
      </c>
      <c r="K26" s="15" t="str">
        <f t="shared" si="2"/>
        <v>((0.0000598*((X4^2)*X2)^0.946)*(1.0-0.0019*X4)*1000004)*0.38</v>
      </c>
    </row>
    <row r="27" spans="1:11" ht="16">
      <c r="A27" t="s">
        <v>11</v>
      </c>
      <c r="B27">
        <v>4</v>
      </c>
      <c r="C27" s="17" t="s">
        <v>11</v>
      </c>
      <c r="D27" t="str">
        <f t="shared" si="1"/>
        <v>S_4_S</v>
      </c>
      <c r="E27" s="15" t="s">
        <v>43</v>
      </c>
      <c r="F27" s="28" t="s">
        <v>252</v>
      </c>
      <c r="G27">
        <v>0.26</v>
      </c>
      <c r="H27">
        <v>0.01</v>
      </c>
      <c r="I27" t="s">
        <v>45</v>
      </c>
      <c r="K27" s="15" t="str">
        <f t="shared" si="2"/>
        <v>((0.0000598*((X4^2)*X2)^0.946)*(1.0-0.0019*X4)*1000005)*0.26</v>
      </c>
    </row>
    <row r="28" spans="1:11" ht="16">
      <c r="A28" t="s">
        <v>11</v>
      </c>
      <c r="B28">
        <v>5</v>
      </c>
      <c r="C28" s="17" t="s">
        <v>11</v>
      </c>
      <c r="D28" t="str">
        <f t="shared" si="1"/>
        <v>S_5_S</v>
      </c>
      <c r="E28" s="15" t="s">
        <v>43</v>
      </c>
      <c r="F28" s="28" t="s">
        <v>254</v>
      </c>
      <c r="G28">
        <v>0.26</v>
      </c>
      <c r="H28">
        <v>0.01</v>
      </c>
      <c r="I28" t="s">
        <v>45</v>
      </c>
      <c r="K28" s="15" t="str">
        <f t="shared" si="2"/>
        <v>((0.0000598*((X4^2)*X2)^0.946)*(1.0-0.0019*X4)*1000007)*0.26</v>
      </c>
    </row>
    <row r="29" spans="1:11" ht="16">
      <c r="A29" t="s">
        <v>32</v>
      </c>
      <c r="B29">
        <v>1</v>
      </c>
      <c r="C29" t="s">
        <v>31</v>
      </c>
      <c r="D29" t="str">
        <f t="shared" si="1"/>
        <v>T_1_H</v>
      </c>
      <c r="E29" s="15" t="s">
        <v>43</v>
      </c>
      <c r="F29" s="15" t="s">
        <v>44</v>
      </c>
      <c r="G29">
        <v>0.45</v>
      </c>
      <c r="H29">
        <v>0.01</v>
      </c>
      <c r="I29" t="s">
        <v>45</v>
      </c>
      <c r="J29" s="16" t="s">
        <v>46</v>
      </c>
      <c r="K29" s="15" t="str">
        <f t="shared" si="2"/>
        <v>((pi*X2*100/32)*((a+b)^2 + (c+d)^2))*0.45</v>
      </c>
    </row>
    <row r="30" spans="1:11" ht="16">
      <c r="A30" t="s">
        <v>32</v>
      </c>
      <c r="B30">
        <v>2</v>
      </c>
      <c r="C30" t="s">
        <v>31</v>
      </c>
      <c r="D30" t="str">
        <f t="shared" si="1"/>
        <v>T_2_H</v>
      </c>
      <c r="E30" s="15" t="s">
        <v>43</v>
      </c>
      <c r="F30" s="15" t="s">
        <v>44</v>
      </c>
      <c r="G30">
        <v>0.36</v>
      </c>
      <c r="H30">
        <v>0.01</v>
      </c>
      <c r="I30" t="s">
        <v>45</v>
      </c>
      <c r="K30" s="15" t="str">
        <f t="shared" si="2"/>
        <v>((pi*X2*100/32)*((a+b)^2 + (c+d)^2))*0.36</v>
      </c>
    </row>
    <row r="31" spans="1:11" ht="16">
      <c r="A31" t="s">
        <v>32</v>
      </c>
      <c r="B31">
        <v>3</v>
      </c>
      <c r="C31" t="s">
        <v>31</v>
      </c>
      <c r="D31" t="str">
        <f t="shared" si="1"/>
        <v>T_3_H</v>
      </c>
      <c r="E31" s="15" t="s">
        <v>43</v>
      </c>
      <c r="F31" s="15" t="s">
        <v>44</v>
      </c>
      <c r="G31">
        <v>0.24</v>
      </c>
      <c r="H31">
        <v>0.01</v>
      </c>
      <c r="I31" t="s">
        <v>45</v>
      </c>
      <c r="K31" s="15" t="str">
        <f t="shared" si="2"/>
        <v>((pi*X2*100/32)*((a+b)^2 + (c+d)^2))*0.24</v>
      </c>
    </row>
    <row r="32" spans="1:11" ht="16">
      <c r="A32" t="s">
        <v>32</v>
      </c>
      <c r="B32">
        <v>4</v>
      </c>
      <c r="C32" t="s">
        <v>31</v>
      </c>
      <c r="D32" t="str">
        <f t="shared" si="1"/>
        <v>T_4_H</v>
      </c>
      <c r="E32" s="15" t="s">
        <v>43</v>
      </c>
      <c r="F32" s="15" t="s">
        <v>44</v>
      </c>
      <c r="G32">
        <v>0.2</v>
      </c>
      <c r="H32">
        <v>0.03</v>
      </c>
      <c r="I32" t="s">
        <v>45</v>
      </c>
      <c r="K32" s="15" t="str">
        <f t="shared" si="2"/>
        <v>((pi*X2*100/32)*((a+b)^2 + (c+d)^2))*0.2</v>
      </c>
    </row>
    <row r="33" spans="1:11" ht="16">
      <c r="A33" s="17" t="s">
        <v>32</v>
      </c>
      <c r="B33">
        <v>1</v>
      </c>
      <c r="C33" s="17" t="s">
        <v>8</v>
      </c>
      <c r="D33" t="str">
        <f t="shared" si="1"/>
        <v>T_1_NA</v>
      </c>
      <c r="E33" s="15" t="s">
        <v>43</v>
      </c>
      <c r="F33" s="15" t="s">
        <v>44</v>
      </c>
      <c r="G33">
        <v>0.4</v>
      </c>
      <c r="H33">
        <v>0.01</v>
      </c>
      <c r="I33" t="s">
        <v>45</v>
      </c>
      <c r="K33" s="15" t="str">
        <f t="shared" si="2"/>
        <v>((pi*X2*100/32)*((a+b)^2 + (c+d)^2))*0.4</v>
      </c>
    </row>
    <row r="34" spans="1:11" ht="16">
      <c r="A34" s="17" t="s">
        <v>32</v>
      </c>
      <c r="B34">
        <v>2</v>
      </c>
      <c r="C34" s="17" t="s">
        <v>8</v>
      </c>
      <c r="D34" t="str">
        <f t="shared" si="1"/>
        <v>T_2_NA</v>
      </c>
      <c r="E34" s="15" t="s">
        <v>43</v>
      </c>
      <c r="F34" s="15" t="s">
        <v>44</v>
      </c>
      <c r="G34">
        <v>0.38</v>
      </c>
      <c r="H34">
        <v>0.01</v>
      </c>
      <c r="I34" t="s">
        <v>45</v>
      </c>
      <c r="K34" s="15" t="str">
        <f t="shared" si="2"/>
        <v>((pi*X2*100/32)*((a+b)^2 + (c+d)^2))*0.38</v>
      </c>
    </row>
    <row r="35" spans="1:11" ht="16">
      <c r="A35" s="17" t="s">
        <v>32</v>
      </c>
      <c r="B35">
        <v>3</v>
      </c>
      <c r="C35" s="17" t="s">
        <v>8</v>
      </c>
      <c r="D35" t="str">
        <f t="shared" si="1"/>
        <v>T_3_NA</v>
      </c>
      <c r="E35" s="15" t="s">
        <v>43</v>
      </c>
      <c r="F35" s="15" t="s">
        <v>44</v>
      </c>
      <c r="G35">
        <v>0.35</v>
      </c>
      <c r="H35">
        <v>0.01</v>
      </c>
      <c r="I35" t="s">
        <v>45</v>
      </c>
      <c r="K35" s="15" t="str">
        <f t="shared" si="2"/>
        <v>((pi*X2*100/32)*((a+b)^2 + (c+d)^2))*0.35</v>
      </c>
    </row>
    <row r="36" spans="1:11" ht="16">
      <c r="A36" s="17" t="s">
        <v>32</v>
      </c>
      <c r="B36">
        <v>4</v>
      </c>
      <c r="C36" s="17" t="s">
        <v>8</v>
      </c>
      <c r="D36" t="str">
        <f t="shared" si="1"/>
        <v>T_4_NA</v>
      </c>
      <c r="E36" s="15" t="s">
        <v>43</v>
      </c>
      <c r="F36" s="15" t="s">
        <v>44</v>
      </c>
      <c r="G36">
        <v>0.25</v>
      </c>
      <c r="H36">
        <v>0.03</v>
      </c>
      <c r="I36" t="s">
        <v>45</v>
      </c>
      <c r="K36" s="15" t="str">
        <f t="shared" si="2"/>
        <v>((pi*X2*100/32)*((a+b)^2 + (c+d)^2))*0.25</v>
      </c>
    </row>
    <row r="37" spans="1:11" ht="16">
      <c r="A37" s="17" t="s">
        <v>32</v>
      </c>
      <c r="B37">
        <v>5</v>
      </c>
      <c r="C37" s="17" t="s">
        <v>8</v>
      </c>
      <c r="D37" t="str">
        <f t="shared" si="1"/>
        <v>T_5_NA</v>
      </c>
      <c r="E37" s="15" t="s">
        <v>43</v>
      </c>
      <c r="F37" s="15" t="s">
        <v>44</v>
      </c>
      <c r="G37">
        <v>0.25</v>
      </c>
      <c r="H37">
        <v>0.01</v>
      </c>
      <c r="I37" t="s">
        <v>45</v>
      </c>
      <c r="K37" s="15" t="str">
        <f t="shared" si="2"/>
        <v>((pi*X2*100/32)*((a+b)^2 + (c+d)^2))*0.25</v>
      </c>
    </row>
    <row r="38" spans="1:11" ht="16">
      <c r="A38" t="s">
        <v>32</v>
      </c>
      <c r="B38">
        <v>1</v>
      </c>
      <c r="C38" t="s">
        <v>11</v>
      </c>
      <c r="D38" t="str">
        <f t="shared" si="1"/>
        <v>T_1_S</v>
      </c>
      <c r="E38" s="15" t="s">
        <v>43</v>
      </c>
      <c r="F38" s="15" t="s">
        <v>44</v>
      </c>
      <c r="G38">
        <v>0.38</v>
      </c>
      <c r="H38">
        <v>0</v>
      </c>
      <c r="I38" t="s">
        <v>45</v>
      </c>
      <c r="K38" s="15" t="str">
        <f t="shared" si="2"/>
        <v>((pi*X2*100/32)*((a+b)^2 + (c+d)^2))*0.38</v>
      </c>
    </row>
    <row r="39" spans="1:11" ht="16">
      <c r="A39" t="s">
        <v>32</v>
      </c>
      <c r="B39">
        <v>2</v>
      </c>
      <c r="C39" t="s">
        <v>11</v>
      </c>
      <c r="D39" t="str">
        <f t="shared" si="1"/>
        <v>T_2_S</v>
      </c>
      <c r="E39" s="15" t="s">
        <v>43</v>
      </c>
      <c r="F39" s="15" t="s">
        <v>44</v>
      </c>
      <c r="G39">
        <v>0.39</v>
      </c>
      <c r="H39">
        <v>0.01</v>
      </c>
      <c r="I39" t="s">
        <v>45</v>
      </c>
      <c r="K39" s="15" t="str">
        <f t="shared" si="2"/>
        <v>((pi*X2*100/32)*((a+b)^2 + (c+d)^2))*0.39</v>
      </c>
    </row>
    <row r="40" spans="1:11" ht="16">
      <c r="A40" t="s">
        <v>32</v>
      </c>
      <c r="B40">
        <v>3</v>
      </c>
      <c r="C40" t="s">
        <v>11</v>
      </c>
      <c r="D40" t="str">
        <f t="shared" si="1"/>
        <v>T_3_S</v>
      </c>
      <c r="E40" s="15" t="s">
        <v>43</v>
      </c>
      <c r="F40" s="15" t="s">
        <v>44</v>
      </c>
      <c r="G40">
        <v>0.38</v>
      </c>
      <c r="H40">
        <v>0.01</v>
      </c>
      <c r="I40" t="s">
        <v>45</v>
      </c>
      <c r="K40" s="15" t="str">
        <f t="shared" si="2"/>
        <v>((pi*X2*100/32)*((a+b)^2 + (c+d)^2))*0.38</v>
      </c>
    </row>
    <row r="41" spans="1:11" ht="16">
      <c r="A41" t="s">
        <v>32</v>
      </c>
      <c r="B41">
        <v>4</v>
      </c>
      <c r="C41" t="s">
        <v>11</v>
      </c>
      <c r="D41" t="str">
        <f t="shared" si="1"/>
        <v>T_4_S</v>
      </c>
      <c r="E41" s="15" t="s">
        <v>43</v>
      </c>
      <c r="F41" s="15" t="s">
        <v>44</v>
      </c>
      <c r="G41">
        <v>0.26</v>
      </c>
      <c r="H41">
        <v>0.03</v>
      </c>
      <c r="I41" t="s">
        <v>45</v>
      </c>
      <c r="K41" s="15" t="str">
        <f t="shared" si="2"/>
        <v>((pi*X2*100/32)*((a+b)^2 + (c+d)^2))*0.26</v>
      </c>
    </row>
    <row r="42" spans="1:11" ht="16">
      <c r="A42" t="s">
        <v>32</v>
      </c>
      <c r="B42">
        <v>5</v>
      </c>
      <c r="C42" t="s">
        <v>11</v>
      </c>
      <c r="D42" t="str">
        <f t="shared" si="1"/>
        <v>T_5_S</v>
      </c>
      <c r="E42" s="15" t="s">
        <v>43</v>
      </c>
      <c r="F42" s="15" t="s">
        <v>44</v>
      </c>
      <c r="G42">
        <v>0.11</v>
      </c>
      <c r="H42">
        <v>0.01</v>
      </c>
      <c r="I42" t="s">
        <v>45</v>
      </c>
      <c r="K42" s="15" t="str">
        <f t="shared" si="2"/>
        <v>((pi*X2*100/32)*((a+b)^2 + (c+d)^2))*0.11</v>
      </c>
    </row>
    <row r="46" spans="1:11" ht="16">
      <c r="F46" s="15"/>
    </row>
    <row r="56" spans="4:6" ht="16">
      <c r="F56" s="15"/>
    </row>
    <row r="57" spans="4:6" ht="16">
      <c r="F57" s="16"/>
    </row>
    <row r="61" spans="4:6">
      <c r="D61" s="17"/>
    </row>
    <row r="68" spans="2:4">
      <c r="D68" s="17"/>
    </row>
    <row r="80" spans="2:4">
      <c r="B80" t="s">
        <v>50</v>
      </c>
    </row>
  </sheetData>
  <autoFilter ref="A1:K42" xr:uid="{E8EB829E-71CB-4DB8-A0A3-D6CA65E19314}">
    <sortState xmlns:xlrd2="http://schemas.microsoft.com/office/spreadsheetml/2017/richdata2" ref="A2:K42">
      <sortCondition ref="A1:A42"/>
    </sortState>
  </autoFilter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F8392-1DD9-2A4F-AC8D-D78FC4A0E97C}">
  <dimension ref="A1:B182"/>
  <sheetViews>
    <sheetView topLeftCell="A125" workbookViewId="0">
      <selection activeCell="E13" sqref="E13"/>
    </sheetView>
  </sheetViews>
  <sheetFormatPr baseColWidth="10" defaultRowHeight="14"/>
  <cols>
    <col min="1" max="1" width="28" style="24" customWidth="1"/>
    <col min="2" max="16384" width="10.83203125" style="24"/>
  </cols>
  <sheetData>
    <row r="1" spans="1:2">
      <c r="A1" s="24" t="s">
        <v>53</v>
      </c>
      <c r="B1" s="24" t="s">
        <v>52</v>
      </c>
    </row>
    <row r="2" spans="1:2">
      <c r="A2" s="24" t="s">
        <v>54</v>
      </c>
      <c r="B2" s="24">
        <v>0</v>
      </c>
    </row>
    <row r="3" spans="1:2">
      <c r="A3" s="24" t="s">
        <v>55</v>
      </c>
      <c r="B3" s="24">
        <v>0</v>
      </c>
    </row>
    <row r="4" spans="1:2">
      <c r="A4" s="24" t="s">
        <v>56</v>
      </c>
      <c r="B4" s="24">
        <v>0</v>
      </c>
    </row>
    <row r="5" spans="1:2">
      <c r="A5" s="24" t="s">
        <v>57</v>
      </c>
      <c r="B5" s="24">
        <v>62374316.622815102</v>
      </c>
    </row>
    <row r="6" spans="1:2">
      <c r="A6" s="24" t="s">
        <v>58</v>
      </c>
      <c r="B6" s="24">
        <v>33573.084018810398</v>
      </c>
    </row>
    <row r="7" spans="1:2">
      <c r="A7" s="24" t="s">
        <v>59</v>
      </c>
      <c r="B7" s="24">
        <v>0</v>
      </c>
    </row>
    <row r="8" spans="1:2">
      <c r="A8" s="24" t="s">
        <v>60</v>
      </c>
      <c r="B8" s="24">
        <v>0</v>
      </c>
    </row>
    <row r="9" spans="1:2">
      <c r="A9" s="24" t="s">
        <v>61</v>
      </c>
      <c r="B9" s="24">
        <v>88560013.620378107</v>
      </c>
    </row>
    <row r="10" spans="1:2">
      <c r="A10" s="24" t="s">
        <v>62</v>
      </c>
      <c r="B10" s="24">
        <v>170092119.26813599</v>
      </c>
    </row>
    <row r="11" spans="1:2">
      <c r="A11" s="24" t="s">
        <v>63</v>
      </c>
      <c r="B11" s="24">
        <v>411366552.87355602</v>
      </c>
    </row>
    <row r="12" spans="1:2">
      <c r="A12" s="24" t="s">
        <v>64</v>
      </c>
      <c r="B12" s="24">
        <v>917870790.56132102</v>
      </c>
    </row>
    <row r="13" spans="1:2">
      <c r="A13" s="24" t="s">
        <v>65</v>
      </c>
      <c r="B13" s="24">
        <v>0</v>
      </c>
    </row>
    <row r="14" spans="1:2">
      <c r="A14" s="24" t="s">
        <v>66</v>
      </c>
      <c r="B14" s="24">
        <v>0</v>
      </c>
    </row>
    <row r="15" spans="1:2">
      <c r="A15" s="24" t="s">
        <v>67</v>
      </c>
      <c r="B15" s="24">
        <v>4776.9958333057602</v>
      </c>
    </row>
    <row r="16" spans="1:2">
      <c r="A16" s="24" t="s">
        <v>68</v>
      </c>
      <c r="B16" s="24">
        <v>6497.0222290108504</v>
      </c>
    </row>
    <row r="17" spans="1:2">
      <c r="A17" s="24" t="s">
        <v>69</v>
      </c>
      <c r="B17" s="24">
        <v>0</v>
      </c>
    </row>
    <row r="18" spans="1:2">
      <c r="A18" s="24" t="s">
        <v>70</v>
      </c>
      <c r="B18" s="24">
        <v>20008.803610713399</v>
      </c>
    </row>
    <row r="19" spans="1:2">
      <c r="A19" s="24" t="s">
        <v>71</v>
      </c>
      <c r="B19" s="24">
        <v>0</v>
      </c>
    </row>
    <row r="20" spans="1:2">
      <c r="A20" s="24" t="s">
        <v>72</v>
      </c>
      <c r="B20" s="24">
        <v>880022737.774032</v>
      </c>
    </row>
    <row r="21" spans="1:2">
      <c r="A21" s="24" t="s">
        <v>73</v>
      </c>
      <c r="B21" s="24">
        <v>106625.80732460599</v>
      </c>
    </row>
    <row r="22" spans="1:2">
      <c r="A22" s="24" t="s">
        <v>74</v>
      </c>
      <c r="B22" s="24">
        <v>0</v>
      </c>
    </row>
    <row r="23" spans="1:2">
      <c r="A23" s="24" t="s">
        <v>75</v>
      </c>
      <c r="B23" s="24">
        <v>15823.348075629099</v>
      </c>
    </row>
    <row r="24" spans="1:2">
      <c r="A24" s="24" t="s">
        <v>76</v>
      </c>
      <c r="B24" s="24">
        <v>15765232.632776299</v>
      </c>
    </row>
    <row r="25" spans="1:2">
      <c r="A25" s="24" t="s">
        <v>77</v>
      </c>
      <c r="B25" s="24">
        <v>0</v>
      </c>
    </row>
    <row r="26" spans="1:2">
      <c r="A26" s="24" t="s">
        <v>78</v>
      </c>
      <c r="B26" s="24">
        <v>302954382.46087003</v>
      </c>
    </row>
    <row r="27" spans="1:2">
      <c r="A27" s="24" t="s">
        <v>79</v>
      </c>
      <c r="B27" s="24">
        <v>130729475.21012001</v>
      </c>
    </row>
    <row r="28" spans="1:2">
      <c r="A28" s="24" t="s">
        <v>80</v>
      </c>
      <c r="B28" s="24">
        <v>16418.728970869601</v>
      </c>
    </row>
    <row r="29" spans="1:2">
      <c r="A29" s="24" t="s">
        <v>81</v>
      </c>
      <c r="B29" s="24">
        <v>0</v>
      </c>
    </row>
    <row r="30" spans="1:2">
      <c r="A30" s="24" t="s">
        <v>82</v>
      </c>
      <c r="B30" s="24">
        <v>0</v>
      </c>
    </row>
    <row r="31" spans="1:2">
      <c r="A31" s="24" t="s">
        <v>83</v>
      </c>
      <c r="B31" s="24">
        <v>0</v>
      </c>
    </row>
    <row r="32" spans="1:2">
      <c r="A32" s="24" t="s">
        <v>84</v>
      </c>
      <c r="B32" s="24">
        <v>59623.116709395203</v>
      </c>
    </row>
    <row r="33" spans="1:2">
      <c r="A33" s="24" t="s">
        <v>85</v>
      </c>
      <c r="B33" s="24">
        <v>0</v>
      </c>
    </row>
    <row r="34" spans="1:2">
      <c r="A34" s="24" t="s">
        <v>86</v>
      </c>
      <c r="B34" s="24">
        <v>0</v>
      </c>
    </row>
    <row r="35" spans="1:2">
      <c r="A35" s="24" t="s">
        <v>87</v>
      </c>
      <c r="B35" s="24">
        <v>0</v>
      </c>
    </row>
    <row r="36" spans="1:2">
      <c r="A36" s="24" t="s">
        <v>88</v>
      </c>
      <c r="B36" s="24">
        <v>67484233.960818306</v>
      </c>
    </row>
    <row r="37" spans="1:2">
      <c r="A37" s="24" t="s">
        <v>89</v>
      </c>
      <c r="B37" s="24">
        <v>31809091.775950301</v>
      </c>
    </row>
    <row r="38" spans="1:2">
      <c r="A38" s="24" t="s">
        <v>90</v>
      </c>
      <c r="B38" s="24">
        <v>146354628.05921599</v>
      </c>
    </row>
    <row r="39" spans="1:2">
      <c r="A39" s="24" t="s">
        <v>91</v>
      </c>
      <c r="B39" s="24">
        <v>80911874.599045604</v>
      </c>
    </row>
    <row r="40" spans="1:2">
      <c r="A40" s="24" t="s">
        <v>92</v>
      </c>
      <c r="B40" s="24">
        <v>0</v>
      </c>
    </row>
    <row r="41" spans="1:2">
      <c r="A41" s="24" t="s">
        <v>93</v>
      </c>
      <c r="B41" s="24">
        <v>0</v>
      </c>
    </row>
    <row r="42" spans="1:2">
      <c r="A42" s="24" t="s">
        <v>94</v>
      </c>
      <c r="B42" s="24">
        <v>46606901.462790497</v>
      </c>
    </row>
    <row r="43" spans="1:2">
      <c r="A43" s="24" t="s">
        <v>95</v>
      </c>
      <c r="B43" s="24">
        <v>0</v>
      </c>
    </row>
    <row r="44" spans="1:2">
      <c r="A44" s="24" t="s">
        <v>96</v>
      </c>
      <c r="B44" s="24">
        <v>0</v>
      </c>
    </row>
    <row r="45" spans="1:2">
      <c r="A45" s="24" t="s">
        <v>97</v>
      </c>
      <c r="B45" s="24">
        <v>0</v>
      </c>
    </row>
    <row r="46" spans="1:2">
      <c r="A46" s="24" t="s">
        <v>98</v>
      </c>
      <c r="B46" s="24">
        <v>0</v>
      </c>
    </row>
    <row r="47" spans="1:2">
      <c r="A47" s="24" t="s">
        <v>99</v>
      </c>
      <c r="B47" s="24">
        <v>429245896.62637299</v>
      </c>
    </row>
    <row r="48" spans="1:2">
      <c r="A48" s="24" t="s">
        <v>100</v>
      </c>
      <c r="B48" s="24">
        <v>0</v>
      </c>
    </row>
    <row r="49" spans="1:2">
      <c r="A49" s="24" t="s">
        <v>101</v>
      </c>
      <c r="B49" s="24">
        <v>22038.900783463101</v>
      </c>
    </row>
    <row r="50" spans="1:2">
      <c r="A50" s="24" t="s">
        <v>102</v>
      </c>
      <c r="B50" s="24">
        <v>6131.1665839154903</v>
      </c>
    </row>
    <row r="51" spans="1:2">
      <c r="A51" s="24" t="s">
        <v>103</v>
      </c>
      <c r="B51" s="24">
        <v>0</v>
      </c>
    </row>
    <row r="52" spans="1:2">
      <c r="A52" s="24" t="s">
        <v>104</v>
      </c>
      <c r="B52" s="24">
        <v>0</v>
      </c>
    </row>
    <row r="53" spans="1:2">
      <c r="A53" s="24" t="s">
        <v>105</v>
      </c>
      <c r="B53" s="24">
        <v>0</v>
      </c>
    </row>
    <row r="54" spans="1:2">
      <c r="A54" s="24" t="s">
        <v>106</v>
      </c>
      <c r="B54" s="24">
        <v>40112885.836123899</v>
      </c>
    </row>
    <row r="55" spans="1:2">
      <c r="A55" s="24" t="s">
        <v>107</v>
      </c>
      <c r="B55" s="24">
        <v>7736.8591328578405</v>
      </c>
    </row>
    <row r="56" spans="1:2">
      <c r="A56" s="24" t="s">
        <v>108</v>
      </c>
      <c r="B56" s="24">
        <v>0</v>
      </c>
    </row>
    <row r="57" spans="1:2">
      <c r="A57" s="24" t="s">
        <v>109</v>
      </c>
      <c r="B57" s="24">
        <v>24514632.874124601</v>
      </c>
    </row>
    <row r="58" spans="1:2">
      <c r="A58" s="24" t="s">
        <v>110</v>
      </c>
      <c r="B58" s="24">
        <v>70814590.917182297</v>
      </c>
    </row>
    <row r="59" spans="1:2">
      <c r="A59" s="24" t="s">
        <v>111</v>
      </c>
      <c r="B59" s="24">
        <v>29516981.038958501</v>
      </c>
    </row>
    <row r="60" spans="1:2">
      <c r="A60" s="24" t="s">
        <v>112</v>
      </c>
      <c r="B60" s="24">
        <v>366519025.32375997</v>
      </c>
    </row>
    <row r="61" spans="1:2">
      <c r="A61" s="24" t="s">
        <v>113</v>
      </c>
      <c r="B61" s="24">
        <v>219940245.25506601</v>
      </c>
    </row>
    <row r="62" spans="1:2">
      <c r="A62" s="24" t="s">
        <v>114</v>
      </c>
      <c r="B62" s="24">
        <v>40338915.495028302</v>
      </c>
    </row>
    <row r="63" spans="1:2">
      <c r="A63" s="24" t="s">
        <v>115</v>
      </c>
      <c r="B63" s="24">
        <v>246814798.39364499</v>
      </c>
    </row>
    <row r="64" spans="1:2">
      <c r="A64" s="24" t="s">
        <v>116</v>
      </c>
      <c r="B64" s="24">
        <v>15211.591628681799</v>
      </c>
    </row>
    <row r="65" spans="1:2">
      <c r="A65" s="24" t="s">
        <v>117</v>
      </c>
      <c r="B65" s="24">
        <v>5290.4106127186797</v>
      </c>
    </row>
    <row r="66" spans="1:2">
      <c r="A66" s="24" t="s">
        <v>118</v>
      </c>
      <c r="B66" s="24">
        <v>0</v>
      </c>
    </row>
    <row r="67" spans="1:2">
      <c r="A67" s="24" t="s">
        <v>119</v>
      </c>
      <c r="B67" s="24">
        <v>4794.8557875414199</v>
      </c>
    </row>
    <row r="68" spans="1:2">
      <c r="A68" s="24" t="s">
        <v>120</v>
      </c>
      <c r="B68" s="24">
        <v>0</v>
      </c>
    </row>
    <row r="69" spans="1:2">
      <c r="A69" s="24" t="s">
        <v>121</v>
      </c>
      <c r="B69" s="24">
        <v>16956294.743806999</v>
      </c>
    </row>
    <row r="70" spans="1:2">
      <c r="A70" s="24" t="s">
        <v>122</v>
      </c>
      <c r="B70" s="24">
        <v>201422623.93628699</v>
      </c>
    </row>
    <row r="71" spans="1:2">
      <c r="A71" s="24" t="s">
        <v>123</v>
      </c>
      <c r="B71" s="24">
        <v>31303928.757797498</v>
      </c>
    </row>
    <row r="72" spans="1:2">
      <c r="A72" s="24" t="s">
        <v>124</v>
      </c>
      <c r="B72" s="24">
        <v>84425393.826704502</v>
      </c>
    </row>
    <row r="73" spans="1:2">
      <c r="A73" s="24" t="s">
        <v>125</v>
      </c>
      <c r="B73" s="24">
        <v>0</v>
      </c>
    </row>
    <row r="74" spans="1:2">
      <c r="A74" s="24" t="s">
        <v>126</v>
      </c>
      <c r="B74" s="24">
        <v>46239649.281585902</v>
      </c>
    </row>
    <row r="75" spans="1:2">
      <c r="A75" s="24" t="s">
        <v>127</v>
      </c>
      <c r="B75" s="24">
        <v>1693219121.52314</v>
      </c>
    </row>
    <row r="76" spans="1:2">
      <c r="A76" s="24" t="s">
        <v>128</v>
      </c>
      <c r="B76" s="24">
        <v>669817497.05032301</v>
      </c>
    </row>
    <row r="77" spans="1:2">
      <c r="A77" s="24" t="s">
        <v>129</v>
      </c>
      <c r="B77" s="24">
        <v>209260966.72118801</v>
      </c>
    </row>
    <row r="78" spans="1:2">
      <c r="A78" s="24" t="s">
        <v>130</v>
      </c>
      <c r="B78" s="24">
        <v>200139872.38591799</v>
      </c>
    </row>
    <row r="79" spans="1:2">
      <c r="A79" s="24" t="s">
        <v>131</v>
      </c>
      <c r="B79" s="24">
        <v>162613646.31355801</v>
      </c>
    </row>
    <row r="80" spans="1:2">
      <c r="A80" s="24" t="s">
        <v>132</v>
      </c>
      <c r="B80" s="24">
        <v>308515140.46416098</v>
      </c>
    </row>
    <row r="81" spans="1:2">
      <c r="A81" s="24" t="s">
        <v>133</v>
      </c>
      <c r="B81" s="24">
        <v>73417763.677331999</v>
      </c>
    </row>
    <row r="82" spans="1:2">
      <c r="A82" s="24" t="s">
        <v>134</v>
      </c>
      <c r="B82" s="24">
        <v>347921532.77815002</v>
      </c>
    </row>
    <row r="83" spans="1:2">
      <c r="A83" s="24" t="s">
        <v>135</v>
      </c>
      <c r="B83" s="24">
        <v>349090408.03665298</v>
      </c>
    </row>
    <row r="84" spans="1:2">
      <c r="A84" s="24" t="s">
        <v>136</v>
      </c>
      <c r="B84" s="24">
        <v>121073348.93691599</v>
      </c>
    </row>
    <row r="85" spans="1:2">
      <c r="A85" s="24" t="s">
        <v>137</v>
      </c>
      <c r="B85" s="24">
        <v>81051676.745922595</v>
      </c>
    </row>
    <row r="86" spans="1:2">
      <c r="A86" s="24" t="s">
        <v>138</v>
      </c>
      <c r="B86" s="24">
        <v>35985.121723131997</v>
      </c>
    </row>
    <row r="87" spans="1:2">
      <c r="A87" s="24" t="s">
        <v>139</v>
      </c>
      <c r="B87" s="24">
        <v>132363427.36672901</v>
      </c>
    </row>
    <row r="88" spans="1:2">
      <c r="A88" s="24" t="s">
        <v>140</v>
      </c>
      <c r="B88" s="24">
        <v>0</v>
      </c>
    </row>
    <row r="89" spans="1:2">
      <c r="A89" s="24" t="s">
        <v>141</v>
      </c>
      <c r="B89" s="24">
        <v>219422889.55383599</v>
      </c>
    </row>
    <row r="90" spans="1:2">
      <c r="A90" s="24" t="s">
        <v>142</v>
      </c>
      <c r="B90" s="24">
        <v>0</v>
      </c>
    </row>
    <row r="91" spans="1:2">
      <c r="A91" s="24" t="s">
        <v>143</v>
      </c>
      <c r="B91" s="24">
        <v>497500438.52255398</v>
      </c>
    </row>
    <row r="92" spans="1:2">
      <c r="A92" s="24" t="s">
        <v>144</v>
      </c>
      <c r="B92" s="24">
        <v>298553020.970667</v>
      </c>
    </row>
    <row r="93" spans="1:2">
      <c r="A93" s="24" t="s">
        <v>145</v>
      </c>
      <c r="B93" s="24">
        <v>482957725.859752</v>
      </c>
    </row>
    <row r="94" spans="1:2">
      <c r="A94" s="24" t="s">
        <v>146</v>
      </c>
      <c r="B94" s="24">
        <v>2521889626.5650401</v>
      </c>
    </row>
    <row r="95" spans="1:2">
      <c r="A95" s="24" t="s">
        <v>147</v>
      </c>
      <c r="B95" s="24">
        <v>435245553.19656599</v>
      </c>
    </row>
    <row r="96" spans="1:2">
      <c r="A96" s="24" t="s">
        <v>148</v>
      </c>
      <c r="B96" s="24">
        <v>327297464.74115402</v>
      </c>
    </row>
    <row r="97" spans="1:2">
      <c r="A97" s="24" t="s">
        <v>149</v>
      </c>
      <c r="B97" s="24">
        <v>1168323985.9703</v>
      </c>
    </row>
    <row r="98" spans="1:2">
      <c r="A98" s="24" t="s">
        <v>150</v>
      </c>
      <c r="B98" s="24">
        <v>0</v>
      </c>
    </row>
    <row r="99" spans="1:2">
      <c r="A99" s="24" t="s">
        <v>151</v>
      </c>
      <c r="B99" s="24">
        <v>188205276.054196</v>
      </c>
    </row>
    <row r="100" spans="1:2">
      <c r="A100" s="24" t="s">
        <v>152</v>
      </c>
      <c r="B100" s="24">
        <v>157610171.829344</v>
      </c>
    </row>
    <row r="101" spans="1:2">
      <c r="A101" s="24" t="s">
        <v>153</v>
      </c>
      <c r="B101" s="24">
        <v>1215208250.7945001</v>
      </c>
    </row>
    <row r="102" spans="1:2">
      <c r="A102" s="24" t="s">
        <v>154</v>
      </c>
      <c r="B102" s="24">
        <v>118402.652999093</v>
      </c>
    </row>
    <row r="103" spans="1:2">
      <c r="A103" s="24" t="s">
        <v>155</v>
      </c>
      <c r="B103" s="24">
        <v>0</v>
      </c>
    </row>
    <row r="104" spans="1:2">
      <c r="A104" s="24" t="s">
        <v>156</v>
      </c>
      <c r="B104" s="24">
        <v>99963515.409407094</v>
      </c>
    </row>
    <row r="105" spans="1:2">
      <c r="A105" s="24" t="s">
        <v>157</v>
      </c>
      <c r="B105" s="24">
        <v>31820872.468603201</v>
      </c>
    </row>
    <row r="106" spans="1:2">
      <c r="A106" s="24" t="s">
        <v>158</v>
      </c>
      <c r="B106" s="24">
        <v>147049.19001627801</v>
      </c>
    </row>
    <row r="107" spans="1:2">
      <c r="A107" s="24" t="s">
        <v>159</v>
      </c>
      <c r="B107" s="24">
        <v>92529603.315537393</v>
      </c>
    </row>
    <row r="108" spans="1:2">
      <c r="A108" s="24" t="s">
        <v>160</v>
      </c>
      <c r="B108" s="24">
        <v>0</v>
      </c>
    </row>
    <row r="109" spans="1:2">
      <c r="A109" s="24" t="s">
        <v>161</v>
      </c>
      <c r="B109" s="24">
        <v>66591711.159612097</v>
      </c>
    </row>
    <row r="110" spans="1:2">
      <c r="A110" s="24" t="s">
        <v>162</v>
      </c>
      <c r="B110" s="24">
        <v>0</v>
      </c>
    </row>
    <row r="111" spans="1:2">
      <c r="A111" s="24" t="s">
        <v>163</v>
      </c>
      <c r="B111" s="24">
        <v>209088110.01104599</v>
      </c>
    </row>
    <row r="112" spans="1:2">
      <c r="A112" s="24" t="s">
        <v>164</v>
      </c>
      <c r="B112" s="24">
        <v>0</v>
      </c>
    </row>
    <row r="113" spans="1:2">
      <c r="A113" s="24" t="s">
        <v>165</v>
      </c>
      <c r="B113" s="24">
        <v>98094267.112932801</v>
      </c>
    </row>
    <row r="114" spans="1:2">
      <c r="A114" s="24" t="s">
        <v>166</v>
      </c>
      <c r="B114" s="24">
        <v>0</v>
      </c>
    </row>
    <row r="115" spans="1:2">
      <c r="A115" s="24" t="s">
        <v>167</v>
      </c>
      <c r="B115" s="24">
        <v>1298765494.94381</v>
      </c>
    </row>
    <row r="116" spans="1:2">
      <c r="A116" s="24" t="s">
        <v>168</v>
      </c>
      <c r="B116" s="24">
        <v>0</v>
      </c>
    </row>
    <row r="117" spans="1:2">
      <c r="A117" s="24" t="s">
        <v>169</v>
      </c>
      <c r="B117" s="24">
        <v>256507142.62722099</v>
      </c>
    </row>
    <row r="118" spans="1:2">
      <c r="A118" s="24" t="s">
        <v>170</v>
      </c>
      <c r="B118" s="24">
        <v>2414002308.29252</v>
      </c>
    </row>
    <row r="119" spans="1:2">
      <c r="A119" s="24" t="s">
        <v>171</v>
      </c>
      <c r="B119" s="24">
        <v>0</v>
      </c>
    </row>
    <row r="120" spans="1:2">
      <c r="A120" s="24" t="s">
        <v>172</v>
      </c>
      <c r="B120" s="24">
        <v>139698771.323504</v>
      </c>
    </row>
    <row r="121" spans="1:2">
      <c r="A121" s="24" t="s">
        <v>173</v>
      </c>
      <c r="B121" s="24">
        <v>2051355966.9899199</v>
      </c>
    </row>
    <row r="122" spans="1:2">
      <c r="A122" s="24" t="s">
        <v>174</v>
      </c>
      <c r="B122" s="24">
        <v>229905481.03097701</v>
      </c>
    </row>
    <row r="123" spans="1:2">
      <c r="A123" s="24" t="s">
        <v>175</v>
      </c>
      <c r="B123" s="24">
        <v>0</v>
      </c>
    </row>
    <row r="124" spans="1:2">
      <c r="A124" s="24" t="s">
        <v>176</v>
      </c>
      <c r="B124" s="24">
        <v>0</v>
      </c>
    </row>
    <row r="125" spans="1:2">
      <c r="A125" s="24" t="s">
        <v>177</v>
      </c>
      <c r="B125" s="24">
        <v>0</v>
      </c>
    </row>
    <row r="126" spans="1:2">
      <c r="A126" s="24" t="s">
        <v>178</v>
      </c>
      <c r="B126" s="24">
        <v>6454.7457184967097</v>
      </c>
    </row>
    <row r="127" spans="1:2">
      <c r="A127" s="24" t="s">
        <v>179</v>
      </c>
      <c r="B127" s="24">
        <v>60842.082167745801</v>
      </c>
    </row>
    <row r="128" spans="1:2">
      <c r="A128" s="24" t="s">
        <v>180</v>
      </c>
      <c r="B128" s="24">
        <v>0</v>
      </c>
    </row>
    <row r="129" spans="1:2">
      <c r="A129" s="24" t="s">
        <v>181</v>
      </c>
      <c r="B129" s="24">
        <v>401074999.68218398</v>
      </c>
    </row>
    <row r="130" spans="1:2">
      <c r="A130" s="24" t="s">
        <v>182</v>
      </c>
      <c r="B130" s="24">
        <v>13912857.2256878</v>
      </c>
    </row>
    <row r="131" spans="1:2">
      <c r="A131" s="24" t="s">
        <v>183</v>
      </c>
      <c r="B131" s="24">
        <v>0</v>
      </c>
    </row>
    <row r="132" spans="1:2">
      <c r="A132" s="24" t="s">
        <v>184</v>
      </c>
      <c r="B132" s="24">
        <v>0</v>
      </c>
    </row>
    <row r="133" spans="1:2">
      <c r="A133" s="24" t="s">
        <v>185</v>
      </c>
      <c r="B133" s="24">
        <v>0</v>
      </c>
    </row>
    <row r="134" spans="1:2">
      <c r="A134" s="24" t="s">
        <v>186</v>
      </c>
      <c r="B134" s="24">
        <v>0</v>
      </c>
    </row>
    <row r="135" spans="1:2">
      <c r="A135" s="24" t="s">
        <v>187</v>
      </c>
      <c r="B135" s="24">
        <v>9246.4925776781602</v>
      </c>
    </row>
    <row r="136" spans="1:2">
      <c r="A136" s="24" t="s">
        <v>188</v>
      </c>
      <c r="B136" s="24">
        <v>136286.66398049501</v>
      </c>
    </row>
    <row r="137" spans="1:2">
      <c r="A137" s="24" t="s">
        <v>189</v>
      </c>
      <c r="B137" s="24">
        <v>37480.378454571299</v>
      </c>
    </row>
    <row r="138" spans="1:2">
      <c r="A138" s="24" t="s">
        <v>190</v>
      </c>
      <c r="B138" s="24">
        <v>41147.042668940398</v>
      </c>
    </row>
    <row r="139" spans="1:2">
      <c r="A139" s="24" t="s">
        <v>191</v>
      </c>
      <c r="B139" s="24">
        <v>0</v>
      </c>
    </row>
    <row r="140" spans="1:2">
      <c r="A140" s="24" t="s">
        <v>192</v>
      </c>
      <c r="B140" s="24">
        <v>0</v>
      </c>
    </row>
    <row r="141" spans="1:2">
      <c r="A141" s="24" t="s">
        <v>193</v>
      </c>
      <c r="B141" s="24">
        <v>45402100.680138797</v>
      </c>
    </row>
    <row r="142" spans="1:2">
      <c r="A142" s="24" t="s">
        <v>194</v>
      </c>
      <c r="B142" s="24">
        <v>0</v>
      </c>
    </row>
    <row r="143" spans="1:2">
      <c r="A143" s="24" t="s">
        <v>195</v>
      </c>
      <c r="B143" s="24">
        <v>77299240.670750394</v>
      </c>
    </row>
    <row r="144" spans="1:2">
      <c r="A144" s="24" t="s">
        <v>196</v>
      </c>
      <c r="B144" s="24">
        <v>0</v>
      </c>
    </row>
    <row r="145" spans="1:2">
      <c r="A145" s="24" t="s">
        <v>197</v>
      </c>
      <c r="B145" s="24">
        <v>8343.4047111329692</v>
      </c>
    </row>
    <row r="146" spans="1:2">
      <c r="A146" s="24" t="s">
        <v>198</v>
      </c>
      <c r="B146" s="24">
        <v>0</v>
      </c>
    </row>
    <row r="147" spans="1:2">
      <c r="A147" s="24" t="s">
        <v>199</v>
      </c>
      <c r="B147" s="24">
        <v>0</v>
      </c>
    </row>
    <row r="148" spans="1:2">
      <c r="A148" s="24" t="s">
        <v>200</v>
      </c>
      <c r="B148" s="24">
        <v>205507283.434576</v>
      </c>
    </row>
    <row r="149" spans="1:2">
      <c r="A149" s="24" t="s">
        <v>201</v>
      </c>
      <c r="B149" s="24">
        <v>0</v>
      </c>
    </row>
    <row r="150" spans="1:2">
      <c r="A150" s="24" t="s">
        <v>202</v>
      </c>
      <c r="B150" s="24">
        <v>218386095.25581199</v>
      </c>
    </row>
    <row r="151" spans="1:2">
      <c r="A151" s="24" t="s">
        <v>203</v>
      </c>
      <c r="B151" s="24">
        <v>6340.9439789896896</v>
      </c>
    </row>
    <row r="152" spans="1:2">
      <c r="A152" s="24" t="s">
        <v>204</v>
      </c>
      <c r="B152" s="24">
        <v>22263819.727866899</v>
      </c>
    </row>
    <row r="153" spans="1:2">
      <c r="A153" s="24" t="s">
        <v>205</v>
      </c>
      <c r="B153" s="24">
        <v>17744240.591584299</v>
      </c>
    </row>
    <row r="154" spans="1:2">
      <c r="A154" s="24" t="s">
        <v>206</v>
      </c>
      <c r="B154" s="24">
        <v>4221.5568525387198</v>
      </c>
    </row>
    <row r="155" spans="1:2">
      <c r="A155" s="24" t="s">
        <v>207</v>
      </c>
      <c r="B155" s="24">
        <v>4637619.0752292499</v>
      </c>
    </row>
    <row r="156" spans="1:2">
      <c r="A156" s="24" t="s">
        <v>208</v>
      </c>
      <c r="B156" s="24">
        <v>213886166.296103</v>
      </c>
    </row>
    <row r="157" spans="1:2">
      <c r="A157" s="24" t="s">
        <v>209</v>
      </c>
      <c r="B157" s="24">
        <v>0</v>
      </c>
    </row>
    <row r="158" spans="1:2">
      <c r="A158" s="24" t="s">
        <v>210</v>
      </c>
      <c r="B158" s="24">
        <v>0</v>
      </c>
    </row>
    <row r="159" spans="1:2">
      <c r="A159" s="24" t="s">
        <v>211</v>
      </c>
      <c r="B159" s="24">
        <v>2104845771.10815</v>
      </c>
    </row>
    <row r="160" spans="1:2">
      <c r="A160" s="24" t="s">
        <v>212</v>
      </c>
      <c r="B160" s="24">
        <v>1215852022.03408</v>
      </c>
    </row>
    <row r="161" spans="1:2">
      <c r="A161" s="24" t="s">
        <v>213</v>
      </c>
      <c r="B161" s="24">
        <v>2536026577.5216999</v>
      </c>
    </row>
    <row r="162" spans="1:2">
      <c r="A162" s="24" t="s">
        <v>214</v>
      </c>
      <c r="B162" s="24">
        <v>659555700.63186705</v>
      </c>
    </row>
    <row r="163" spans="1:2">
      <c r="A163" s="24" t="s">
        <v>215</v>
      </c>
      <c r="B163" s="24">
        <v>571195231.77686203</v>
      </c>
    </row>
    <row r="164" spans="1:2">
      <c r="A164" s="24" t="s">
        <v>216</v>
      </c>
      <c r="B164" s="24">
        <v>180234837.946578</v>
      </c>
    </row>
    <row r="165" spans="1:2">
      <c r="A165" s="24" t="s">
        <v>217</v>
      </c>
      <c r="B165" s="24">
        <v>0</v>
      </c>
    </row>
    <row r="166" spans="1:2">
      <c r="A166" s="24" t="s">
        <v>218</v>
      </c>
      <c r="B166" s="24">
        <v>157581239.82542801</v>
      </c>
    </row>
    <row r="167" spans="1:2">
      <c r="A167" s="24" t="s">
        <v>219</v>
      </c>
      <c r="B167" s="24">
        <v>0</v>
      </c>
    </row>
    <row r="168" spans="1:2">
      <c r="A168" s="24" t="s">
        <v>220</v>
      </c>
      <c r="B168" s="24">
        <v>0</v>
      </c>
    </row>
    <row r="169" spans="1:2">
      <c r="A169" s="24" t="s">
        <v>221</v>
      </c>
      <c r="B169" s="24">
        <v>18010.510154842701</v>
      </c>
    </row>
    <row r="170" spans="1:2">
      <c r="A170" s="24" t="s">
        <v>222</v>
      </c>
      <c r="B170" s="24">
        <v>0</v>
      </c>
    </row>
    <row r="171" spans="1:2">
      <c r="A171" s="24" t="s">
        <v>223</v>
      </c>
      <c r="B171" s="24">
        <v>1431017189.60432</v>
      </c>
    </row>
    <row r="172" spans="1:2">
      <c r="A172" s="24" t="s">
        <v>224</v>
      </c>
      <c r="B172" s="24">
        <v>1720863610.51231</v>
      </c>
    </row>
    <row r="173" spans="1:2">
      <c r="A173" s="24" t="s">
        <v>225</v>
      </c>
      <c r="B173" s="24">
        <v>221757485.59453499</v>
      </c>
    </row>
    <row r="174" spans="1:2">
      <c r="A174" s="24" t="s">
        <v>226</v>
      </c>
      <c r="B174" s="24">
        <v>565449970.09950101</v>
      </c>
    </row>
    <row r="175" spans="1:2">
      <c r="A175" s="24" t="s">
        <v>227</v>
      </c>
      <c r="B175" s="24">
        <v>413389839.772928</v>
      </c>
    </row>
    <row r="176" spans="1:2">
      <c r="A176" s="24" t="s">
        <v>228</v>
      </c>
      <c r="B176" s="24">
        <v>312131542.902372</v>
      </c>
    </row>
    <row r="177" spans="1:2">
      <c r="A177" s="24" t="s">
        <v>229</v>
      </c>
      <c r="B177" s="24">
        <v>76891.473725286894</v>
      </c>
    </row>
    <row r="178" spans="1:2">
      <c r="A178" s="24" t="s">
        <v>230</v>
      </c>
      <c r="B178" s="24">
        <v>21919.4957189341</v>
      </c>
    </row>
    <row r="179" spans="1:2">
      <c r="A179" s="24" t="s">
        <v>231</v>
      </c>
      <c r="B179" s="24">
        <v>0</v>
      </c>
    </row>
    <row r="180" spans="1:2">
      <c r="A180" s="24" t="s">
        <v>232</v>
      </c>
      <c r="B180" s="24">
        <v>73740.022361251002</v>
      </c>
    </row>
    <row r="181" spans="1:2">
      <c r="A181" s="24" t="s">
        <v>233</v>
      </c>
      <c r="B181" s="24">
        <v>29685.560864245599</v>
      </c>
    </row>
    <row r="182" spans="1:2">
      <c r="A182" s="24" t="s">
        <v>234</v>
      </c>
      <c r="B182" s="24">
        <v>60821.082584351898</v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DW carbon</vt:lpstr>
      <vt:lpstr>Sheet1</vt:lpstr>
      <vt:lpstr>eq</vt:lpstr>
      <vt:lpstr>og_dw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Emmerson Wilson</cp:lastModifiedBy>
  <dcterms:created xsi:type="dcterms:W3CDTF">2023-12-08T14:43:39Z</dcterms:created>
  <dcterms:modified xsi:type="dcterms:W3CDTF">2023-12-12T15:21:05Z</dcterms:modified>
</cp:coreProperties>
</file>